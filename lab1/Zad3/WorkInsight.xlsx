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agh\Eksploracja-danych\lab1\Zad3\"/>
    </mc:Choice>
  </mc:AlternateContent>
  <xr:revisionPtr revIDLastSave="0" documentId="13_ncr:1_{C9500851-9D1B-485F-9895-C66D300ED01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" sheetId="3" r:id="rId1"/>
    <sheet name="1-2" sheetId="1" r:id="rId2"/>
    <sheet name="3-7" sheetId="2" r:id="rId3"/>
    <sheet name="Hipoteza 1" sheetId="4" r:id="rId4"/>
    <sheet name="Hipoteza 2" sheetId="6" r:id="rId5"/>
    <sheet name="Hipoteza 3" sheetId="11" r:id="rId6"/>
  </sheets>
  <externalReferences>
    <externalReference r:id="rId7"/>
  </externalReferences>
  <definedNames>
    <definedName name="_xlchart.v1.0" hidden="1">[1]Data!$Q$1</definedName>
    <definedName name="_xlchart.v1.1" hidden="1">[1]Data!$Q$2:$Q$644</definedName>
    <definedName name="_xlchart.v1.2" hidden="1">[1]Data!$R$1</definedName>
    <definedName name="_xlchart.v1.3" hidden="1">[1]Data!$R$2:$R$644</definedName>
    <definedName name="_xlchart.v1.4" hidden="1">[1]Data!$Q$1</definedName>
    <definedName name="_xlchart.v1.5" hidden="1">[1]Data!$Q$2:$Q$644</definedName>
    <definedName name="_xlchart.v1.6" hidden="1">[1]Data!$R$1</definedName>
    <definedName name="_xlchart.v1.7" hidden="1">[1]Data!$R$2:$R$644</definedName>
  </definedNames>
  <calcPr calcId="191029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2" l="1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S6" i="3"/>
  <c r="R2" i="3"/>
  <c r="S2" i="3"/>
  <c r="S3" i="3"/>
  <c r="S4" i="3"/>
  <c r="S5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Q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</calcChain>
</file>

<file path=xl/sharedStrings.xml><?xml version="1.0" encoding="utf-8"?>
<sst xmlns="http://schemas.openxmlformats.org/spreadsheetml/2006/main" count="5936" uniqueCount="138">
  <si>
    <t>Nazwa organizacji</t>
  </si>
  <si>
    <t>WorkInsight</t>
  </si>
  <si>
    <t>Organizacja zajmuje się analizą danych o rynku pracy w celu identyfikacji czynników związanych z dochodem, czasem pracy oraz poziomem wykształcenia.</t>
  </si>
  <si>
    <t>Cel analizy</t>
  </si>
  <si>
    <t>Celem analizy jest zbadanie, jakie cechy społeczno-zawodowe osób ze zbioru Adult są związane z poziomem dochodu, liczbą przepracowanych godzin tygodniowo oraz poziomem wykształcenia.</t>
  </si>
  <si>
    <t>Hipoteza 1</t>
  </si>
  <si>
    <t>Zmienna zależna</t>
  </si>
  <si>
    <t>Zmienne objaśniające</t>
  </si>
  <si>
    <t>Treść</t>
  </si>
  <si>
    <t>Hipoteza 2</t>
  </si>
  <si>
    <t>Hipoteza 3</t>
  </si>
  <si>
    <t>hours-per-week</t>
  </si>
  <si>
    <t>sex</t>
  </si>
  <si>
    <t>marital-status</t>
  </si>
  <si>
    <t>Income</t>
  </si>
  <si>
    <t>Liczba przepracowanych godzin tygodniowo zależy od płci, stanu cywilnego oraz poziomu dochodu.</t>
  </si>
  <si>
    <t>sex, marital-status, Income</t>
  </si>
  <si>
    <t>education-num</t>
  </si>
  <si>
    <r>
      <t>education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sex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</si>
  <si>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Income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race</t>
    </r>
  </si>
  <si>
    <t>Poziom dochodu zależy od wykształcenia, rasy oraz płci.</t>
  </si>
  <si>
    <r>
      <t xml:space="preserve">Poziom wykształcenia wyrażony zmienną </t>
    </r>
    <r>
      <rPr>
        <sz val="10"/>
        <color theme="1"/>
        <rFont val="Arial Unicode MS"/>
      </rPr>
      <t>education-num</t>
    </r>
    <r>
      <rPr>
        <sz val="11"/>
        <color theme="1"/>
        <rFont val="Calibri"/>
        <family val="2"/>
        <scheme val="minor"/>
      </rPr>
      <t xml:space="preserve"> zależy od wieku, poziomu dochodu oraz rasy.</t>
    </r>
  </si>
  <si>
    <t>Numer</t>
  </si>
  <si>
    <t>Cel organizacji</t>
  </si>
  <si>
    <t>Age</t>
  </si>
  <si>
    <t>Work_class</t>
  </si>
  <si>
    <t>fnlwgt</t>
  </si>
  <si>
    <t>education</t>
  </si>
  <si>
    <t>occupation</t>
  </si>
  <si>
    <t>relationship</t>
  </si>
  <si>
    <t>race</t>
  </si>
  <si>
    <t>capital-gain</t>
  </si>
  <si>
    <t>capital-loss</t>
  </si>
  <si>
    <t>native-country</t>
  </si>
  <si>
    <t>Private</t>
  </si>
  <si>
    <t>11th</t>
  </si>
  <si>
    <t>Never-married</t>
  </si>
  <si>
    <t>Other-service</t>
  </si>
  <si>
    <t>Own-child</t>
  </si>
  <si>
    <t>White</t>
  </si>
  <si>
    <t>Female</t>
  </si>
  <si>
    <t>United-States</t>
  </si>
  <si>
    <t>&lt;=50K</t>
  </si>
  <si>
    <t>Assoc-acdm</t>
  </si>
  <si>
    <t>Sales</t>
  </si>
  <si>
    <t>Not-in-family</t>
  </si>
  <si>
    <t>Some-college</t>
  </si>
  <si>
    <t>Amer-Indian-Eskimo</t>
  </si>
  <si>
    <t>5th-6th</t>
  </si>
  <si>
    <t>Divorced</t>
  </si>
  <si>
    <t>Craft-repair</t>
  </si>
  <si>
    <t>12th</t>
  </si>
  <si>
    <t>Male</t>
  </si>
  <si>
    <t>&gt;50K</t>
  </si>
  <si>
    <t>Local-gov</t>
  </si>
  <si>
    <t>Separated</t>
  </si>
  <si>
    <t>Machine-op-inspct</t>
  </si>
  <si>
    <t>Black</t>
  </si>
  <si>
    <t>Farming-fishing</t>
  </si>
  <si>
    <t>State-gov</t>
  </si>
  <si>
    <t>Bachelors</t>
  </si>
  <si>
    <t>Prof-specialty</t>
  </si>
  <si>
    <t>HS-grad</t>
  </si>
  <si>
    <t>Married-civ-spouse</t>
  </si>
  <si>
    <t>Tech-support</t>
  </si>
  <si>
    <t>Wife</t>
  </si>
  <si>
    <t>Husband</t>
  </si>
  <si>
    <t>Adm-clerical</t>
  </si>
  <si>
    <t>Handlers-cleaners</t>
  </si>
  <si>
    <t>Unmarried</t>
  </si>
  <si>
    <t>Asian-Pac-Islander</t>
  </si>
  <si>
    <t>?</t>
  </si>
  <si>
    <t>Transport-moving</t>
  </si>
  <si>
    <t>Masters</t>
  </si>
  <si>
    <t>Self-emp-not-inc</t>
  </si>
  <si>
    <t>Federal-gov</t>
  </si>
  <si>
    <t>Armed-Forces</t>
  </si>
  <si>
    <t>10th</t>
  </si>
  <si>
    <t>Assoc-voc</t>
  </si>
  <si>
    <t>Other-relative</t>
  </si>
  <si>
    <t>Exec-managerial</t>
  </si>
  <si>
    <t>Widowed</t>
  </si>
  <si>
    <t>Honduras</t>
  </si>
  <si>
    <t>Self-emp-inc</t>
  </si>
  <si>
    <t>Prof-school</t>
  </si>
  <si>
    <t>Greece</t>
  </si>
  <si>
    <t>Preschool</t>
  </si>
  <si>
    <t>El-Salvador</t>
  </si>
  <si>
    <t>Mexico</t>
  </si>
  <si>
    <t>Protective-serv</t>
  </si>
  <si>
    <t>Married-spouse-absent</t>
  </si>
  <si>
    <t>7th-8th</t>
  </si>
  <si>
    <t>Puerto-Rico</t>
  </si>
  <si>
    <t>China</t>
  </si>
  <si>
    <t>Taiwan</t>
  </si>
  <si>
    <t>Columbia</t>
  </si>
  <si>
    <t>Cambodia</t>
  </si>
  <si>
    <t>Doctorate</t>
  </si>
  <si>
    <t>9th</t>
  </si>
  <si>
    <t>1st-4th</t>
  </si>
  <si>
    <t>Trinadad&amp;Tobago</t>
  </si>
  <si>
    <t>Italy</t>
  </si>
  <si>
    <t>Cuba</t>
  </si>
  <si>
    <t>Hungary</t>
  </si>
  <si>
    <t>Jamaica</t>
  </si>
  <si>
    <t>England</t>
  </si>
  <si>
    <t>Philippines</t>
  </si>
  <si>
    <t>Priv-house-serv</t>
  </si>
  <si>
    <t>Guatemala</t>
  </si>
  <si>
    <t>Nicaragua</t>
  </si>
  <si>
    <t>Portugal</t>
  </si>
  <si>
    <t>Canada</t>
  </si>
  <si>
    <t>Indeks</t>
  </si>
  <si>
    <t>Etykiety wierszy</t>
  </si>
  <si>
    <t>Suma końcowa</t>
  </si>
  <si>
    <t>Etykiety kolumn</t>
  </si>
  <si>
    <t>Średnia z hours-per-week</t>
  </si>
  <si>
    <t>Razem: Średnia z hours-per-week</t>
  </si>
  <si>
    <t>Razem: Liczba z hours-per-week</t>
  </si>
  <si>
    <t>Liczba z hours-per-week</t>
  </si>
  <si>
    <r>
      <t xml:space="preserve">Na podstawie tabeli widać, że mężczyźni przeciętnie pracują więcej godzin tygodniowo niż kobiety. Widoczne są również różnice między osobami o dochodzie </t>
    </r>
    <r>
      <rPr>
        <sz val="10"/>
        <color theme="1"/>
        <rFont val="Arial Unicode MS"/>
      </rPr>
      <t>&lt;=50K</t>
    </r>
    <r>
      <rPr>
        <sz val="11"/>
        <color theme="1"/>
        <rFont val="Calibri"/>
        <family val="2"/>
        <scheme val="minor"/>
      </rPr>
      <t xml:space="preserve"> i </t>
    </r>
    <r>
      <rPr>
        <sz val="10"/>
        <color theme="1"/>
        <rFont val="Arial Unicode MS"/>
      </rPr>
      <t>&gt;50K</t>
    </r>
    <r>
      <rPr>
        <sz val="11"/>
        <color theme="1"/>
        <rFont val="Calibri"/>
        <family val="2"/>
        <scheme val="minor"/>
      </rPr>
      <t xml:space="preserve"> oraz między różnymi kategoriami stanu cywilnego, co sugeruje, że wszystkie trzy zmienne mogą mieć związek z liczbą przepracowanych godzin.</t>
    </r>
  </si>
  <si>
    <t>(Wszystko)</t>
  </si>
  <si>
    <t>Liczba z Income</t>
  </si>
  <si>
    <r>
      <t xml:space="preserve">Tabela pozwala ocenić, jak rozkładają się dochody </t>
    </r>
    <r>
      <rPr>
        <sz val="10"/>
        <color theme="1"/>
        <rFont val="Arial Unicode MS"/>
      </rPr>
      <t>&lt;=50K</t>
    </r>
    <r>
      <rPr>
        <sz val="11"/>
        <color theme="1"/>
        <rFont val="Calibri"/>
        <family val="2"/>
        <scheme val="minor"/>
      </rPr>
      <t xml:space="preserve"> i </t>
    </r>
    <r>
      <rPr>
        <sz val="10"/>
        <color theme="1"/>
        <rFont val="Arial Unicode MS"/>
      </rPr>
      <t>&gt;50K</t>
    </r>
    <r>
      <rPr>
        <sz val="11"/>
        <color theme="1"/>
        <rFont val="Calibri"/>
        <family val="2"/>
        <scheme val="minor"/>
      </rPr>
      <t xml:space="preserve"> w zależności od poziomu wykształcenia i rasy. Dodatkowo zastosowanie filtra </t>
    </r>
    <r>
      <rPr>
        <sz val="10"/>
        <color theme="1"/>
        <rFont val="Arial Unicode MS"/>
      </rPr>
      <t>sex</t>
    </r>
    <r>
      <rPr>
        <sz val="11"/>
        <color theme="1"/>
        <rFont val="Calibri"/>
        <family val="2"/>
        <scheme val="minor"/>
      </rPr>
      <t xml:space="preserve"> umożliwia sprawdzenie, czy zależności te różnią się między kobietami i mężczyznami.</t>
    </r>
  </si>
  <si>
    <t>Średnia z education-num</t>
  </si>
  <si>
    <t>Tabela pozwala ocenić, jak kształtuje się średni poziom wykształcenia wyrażony zmienną education-num w zależności od rasy i poziomu dochodu. Dodatkowo zastosowanie filtra Age umożliwia sprawdzenie, czy zależności te różnią się pomiędzy poszczególnymi grupami wieku.</t>
  </si>
  <si>
    <t>Zaleznosci</t>
  </si>
  <si>
    <t>Dla hipotezy 1 wykorzystano tabelę przestawną oraz wykres ramka-wąsy dla zmiennej hours-per-week z podziałem na płeć. Analiza wskazuje, że mężczyźni przeciętnie pracują więcej godzin tygodniowo niż kobiety, a liczba godzin pracy różni się także w zależności od poziomu dochodu i stanu cywilnego.</t>
  </si>
  <si>
    <t>Dla hipotezy 2 wykorzystano tabelę przestawną oraz wykres kolumnowy przedstawiający liczebność osób w grupach dochodowych &lt;=50K i &gt;50K w zależności od poziomu wykształcenia i rasy. Analiza sugeruje, że wyższe poziomy wykształcenia częściej współwystępują z dochodem &gt;50K, a zastosowanie filtra sex pozwala dodatkowo porównać te zależności między kobietami i mężczyznami.</t>
  </si>
  <si>
    <t>Age_&lt;=50K</t>
  </si>
  <si>
    <t>Edu_&lt;=50K</t>
  </si>
  <si>
    <t>Age_&gt;50K</t>
  </si>
  <si>
    <t>Edu_&gt;50K</t>
  </si>
  <si>
    <t>Dla hipotezy 3 wykorzystano tabelę przestawną, wykres rozrzutu Age względem education-num oraz współczynnik korelacji. Analiza wskazuje, że zależność liniowa między wiekiem a poziomem wykształcenia jest bardzo słaba, natomiast wyraźniejsze różnice można zauważyć pomiędzy grupami dochodowymi i rasami.</t>
  </si>
  <si>
    <t>Regresja</t>
  </si>
  <si>
    <t>Możliwość zastosowania regresji liniowej zależy od rodzaju zmiennej zależnej. W przypadku hipotezy 1 regresja liniowa mogłaby zostać zastosowana dopiero po zakodowaniu zmiennych jakościowych sex, marital-status oraz Income do postaci zmiennych zero-jedynkowych. W obecnej formie bardziej odpowiednie są tabele przestawne i wykresy porównawcze.</t>
  </si>
  <si>
    <t>Dla hipotezy 2 klasyczna regresja liniowa nie jest najlepszym rozwiązaniem, ponieważ zmienna Income ma charakter jakościowy binarny (&lt;=50K, &gt;50K). W tym przypadku bardziej właściwa byłaby regresja logistyczna, dlatego analizę oparto na tabelach przestawnych i wykresach.</t>
  </si>
  <si>
    <t>Największą możliwość zastosowania regresji liniowej daje hipoteza 3, ponieważ zmienna zależna education-num jest ilościowa. Jednak zależność pomiędzy Age a education-num okazała się bardzo słaba, więc prosty model liniowy miałby niewielką wartość wyjaśniającą. Uwzględnienie zmiennych Income i race wymagałoby dodatkowo zakodowania zmiennych jakościowych.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</si>
</sst>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ny" xfId="0" builtinId="0"/>
  </cellStyles>
  <dxfs count="5"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[WorkInsight.xlsx]Hipoteza 2!Tabela przestawna2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'Hipoteza 2'!$B$3:$B$4</c:f>
              <c:strCache>
                <c:ptCount val="1"/>
                <c:pt idx="0">
                  <c:v>&lt;=50K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'Hipoteza 2'!$A$5:$A$55</c:f>
              <c:multiLvlStrCache>
                <c:ptCount val="34"/>
                <c:lvl>
                  <c:pt idx="0">
                    <c:v>Amer-Indian-Eskimo</c:v>
                  </c:pt>
                  <c:pt idx="1">
                    <c:v>Black</c:v>
                  </c:pt>
                  <c:pt idx="2">
                    <c:v>White</c:v>
                  </c:pt>
                  <c:pt idx="3">
                    <c:v>Asian-Pac-Islander</c:v>
                  </c:pt>
                  <c:pt idx="4">
                    <c:v>Black</c:v>
                  </c:pt>
                  <c:pt idx="5">
                    <c:v>White</c:v>
                  </c:pt>
                  <c:pt idx="6">
                    <c:v>White</c:v>
                  </c:pt>
                  <c:pt idx="7">
                    <c:v>White</c:v>
                  </c:pt>
                  <c:pt idx="8">
                    <c:v>White</c:v>
                  </c:pt>
                  <c:pt idx="9">
                    <c:v>Asian-Pac-Islander</c:v>
                  </c:pt>
                  <c:pt idx="10">
                    <c:v>White</c:v>
                  </c:pt>
                  <c:pt idx="11">
                    <c:v>Black</c:v>
                  </c:pt>
                  <c:pt idx="12">
                    <c:v>White</c:v>
                  </c:pt>
                  <c:pt idx="13">
                    <c:v>Asian-Pac-Islander</c:v>
                  </c:pt>
                  <c:pt idx="14">
                    <c:v>Black</c:v>
                  </c:pt>
                  <c:pt idx="15">
                    <c:v>White</c:v>
                  </c:pt>
                  <c:pt idx="16">
                    <c:v>Black</c:v>
                  </c:pt>
                  <c:pt idx="17">
                    <c:v>White</c:v>
                  </c:pt>
                  <c:pt idx="18">
                    <c:v>Asian-Pac-Islander</c:v>
                  </c:pt>
                  <c:pt idx="19">
                    <c:v>Black</c:v>
                  </c:pt>
                  <c:pt idx="20">
                    <c:v>White</c:v>
                  </c:pt>
                  <c:pt idx="21">
                    <c:v>White</c:v>
                  </c:pt>
                  <c:pt idx="22">
                    <c:v>Asian-Pac-Islander</c:v>
                  </c:pt>
                  <c:pt idx="23">
                    <c:v>Black</c:v>
                  </c:pt>
                  <c:pt idx="24">
                    <c:v>White</c:v>
                  </c:pt>
                  <c:pt idx="25">
                    <c:v>Asian-Pac-Islander</c:v>
                  </c:pt>
                  <c:pt idx="26">
                    <c:v>Black</c:v>
                  </c:pt>
                  <c:pt idx="27">
                    <c:v>White</c:v>
                  </c:pt>
                  <c:pt idx="28">
                    <c:v>White</c:v>
                  </c:pt>
                  <c:pt idx="29">
                    <c:v>White</c:v>
                  </c:pt>
                  <c:pt idx="30">
                    <c:v>Amer-Indian-Eskimo</c:v>
                  </c:pt>
                  <c:pt idx="31">
                    <c:v>Asian-Pac-Islander</c:v>
                  </c:pt>
                  <c:pt idx="32">
                    <c:v>Black</c:v>
                  </c:pt>
                  <c:pt idx="33">
                    <c:v>White</c:v>
                  </c:pt>
                </c:lvl>
                <c:lvl>
                  <c:pt idx="0">
                    <c:v>10th</c:v>
                  </c:pt>
                  <c:pt idx="3">
                    <c:v>11th</c:v>
                  </c:pt>
                  <c:pt idx="6">
                    <c:v>12th</c:v>
                  </c:pt>
                  <c:pt idx="7">
                    <c:v>1st-4th</c:v>
                  </c:pt>
                  <c:pt idx="8">
                    <c:v>5th-6th</c:v>
                  </c:pt>
                  <c:pt idx="9">
                    <c:v>7th-8th</c:v>
                  </c:pt>
                  <c:pt idx="11">
                    <c:v>9th</c:v>
                  </c:pt>
                  <c:pt idx="13">
                    <c:v>Assoc-acdm</c:v>
                  </c:pt>
                  <c:pt idx="16">
                    <c:v>Assoc-voc</c:v>
                  </c:pt>
                  <c:pt idx="18">
                    <c:v>Bachelors</c:v>
                  </c:pt>
                  <c:pt idx="21">
                    <c:v>Doctorate</c:v>
                  </c:pt>
                  <c:pt idx="22">
                    <c:v>HS-grad</c:v>
                  </c:pt>
                  <c:pt idx="25">
                    <c:v>Masters</c:v>
                  </c:pt>
                  <c:pt idx="28">
                    <c:v>Preschool</c:v>
                  </c:pt>
                  <c:pt idx="29">
                    <c:v>Prof-school</c:v>
                  </c:pt>
                  <c:pt idx="30">
                    <c:v>Some-college</c:v>
                  </c:pt>
                </c:lvl>
              </c:multiLvlStrCache>
            </c:multiLvlStrRef>
          </c:cat>
          <c:val>
            <c:numRef>
              <c:f>'Hipoteza 2'!$B$5:$B$55</c:f>
              <c:numCache>
                <c:formatCode>General</c:formatCode>
                <c:ptCount val="34"/>
                <c:pt idx="0">
                  <c:v>1</c:v>
                </c:pt>
                <c:pt idx="1">
                  <c:v>2</c:v>
                </c:pt>
                <c:pt idx="2">
                  <c:v>20</c:v>
                </c:pt>
                <c:pt idx="3">
                  <c:v>1</c:v>
                </c:pt>
                <c:pt idx="4">
                  <c:v>5</c:v>
                </c:pt>
                <c:pt idx="5">
                  <c:v>15</c:v>
                </c:pt>
                <c:pt idx="6">
                  <c:v>6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10</c:v>
                </c:pt>
                <c:pt idx="11">
                  <c:v>3</c:v>
                </c:pt>
                <c:pt idx="12">
                  <c:v>7</c:v>
                </c:pt>
                <c:pt idx="13">
                  <c:v>1</c:v>
                </c:pt>
                <c:pt idx="14">
                  <c:v>6</c:v>
                </c:pt>
                <c:pt idx="15">
                  <c:v>11</c:v>
                </c:pt>
                <c:pt idx="16">
                  <c:v>5</c:v>
                </c:pt>
                <c:pt idx="17">
                  <c:v>17</c:v>
                </c:pt>
                <c:pt idx="18">
                  <c:v>5</c:v>
                </c:pt>
                <c:pt idx="19">
                  <c:v>5</c:v>
                </c:pt>
                <c:pt idx="20">
                  <c:v>59</c:v>
                </c:pt>
                <c:pt idx="22">
                  <c:v>2</c:v>
                </c:pt>
                <c:pt idx="23">
                  <c:v>20</c:v>
                </c:pt>
                <c:pt idx="24">
                  <c:v>173</c:v>
                </c:pt>
                <c:pt idx="25">
                  <c:v>1</c:v>
                </c:pt>
                <c:pt idx="26">
                  <c:v>1</c:v>
                </c:pt>
                <c:pt idx="27">
                  <c:v>10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3</c:v>
                </c:pt>
                <c:pt idx="32">
                  <c:v>13</c:v>
                </c:pt>
                <c:pt idx="33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C-49DF-8873-0089BFCF4EAE}"/>
            </c:ext>
          </c:extLst>
        </c:ser>
        <c:ser>
          <c:idx val="1"/>
          <c:order val="1"/>
          <c:tx>
            <c:strRef>
              <c:f>'Hipoteza 2'!$C$3:$C$4</c:f>
              <c:strCache>
                <c:ptCount val="1"/>
                <c:pt idx="0">
                  <c:v>&gt;50K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'Hipoteza 2'!$A$5:$A$55</c:f>
              <c:multiLvlStrCache>
                <c:ptCount val="34"/>
                <c:lvl>
                  <c:pt idx="0">
                    <c:v>Amer-Indian-Eskimo</c:v>
                  </c:pt>
                  <c:pt idx="1">
                    <c:v>Black</c:v>
                  </c:pt>
                  <c:pt idx="2">
                    <c:v>White</c:v>
                  </c:pt>
                  <c:pt idx="3">
                    <c:v>Asian-Pac-Islander</c:v>
                  </c:pt>
                  <c:pt idx="4">
                    <c:v>Black</c:v>
                  </c:pt>
                  <c:pt idx="5">
                    <c:v>White</c:v>
                  </c:pt>
                  <c:pt idx="6">
                    <c:v>White</c:v>
                  </c:pt>
                  <c:pt idx="7">
                    <c:v>White</c:v>
                  </c:pt>
                  <c:pt idx="8">
                    <c:v>White</c:v>
                  </c:pt>
                  <c:pt idx="9">
                    <c:v>Asian-Pac-Islander</c:v>
                  </c:pt>
                  <c:pt idx="10">
                    <c:v>White</c:v>
                  </c:pt>
                  <c:pt idx="11">
                    <c:v>Black</c:v>
                  </c:pt>
                  <c:pt idx="12">
                    <c:v>White</c:v>
                  </c:pt>
                  <c:pt idx="13">
                    <c:v>Asian-Pac-Islander</c:v>
                  </c:pt>
                  <c:pt idx="14">
                    <c:v>Black</c:v>
                  </c:pt>
                  <c:pt idx="15">
                    <c:v>White</c:v>
                  </c:pt>
                  <c:pt idx="16">
                    <c:v>Black</c:v>
                  </c:pt>
                  <c:pt idx="17">
                    <c:v>White</c:v>
                  </c:pt>
                  <c:pt idx="18">
                    <c:v>Asian-Pac-Islander</c:v>
                  </c:pt>
                  <c:pt idx="19">
                    <c:v>Black</c:v>
                  </c:pt>
                  <c:pt idx="20">
                    <c:v>White</c:v>
                  </c:pt>
                  <c:pt idx="21">
                    <c:v>White</c:v>
                  </c:pt>
                  <c:pt idx="22">
                    <c:v>Asian-Pac-Islander</c:v>
                  </c:pt>
                  <c:pt idx="23">
                    <c:v>Black</c:v>
                  </c:pt>
                  <c:pt idx="24">
                    <c:v>White</c:v>
                  </c:pt>
                  <c:pt idx="25">
                    <c:v>Asian-Pac-Islander</c:v>
                  </c:pt>
                  <c:pt idx="26">
                    <c:v>Black</c:v>
                  </c:pt>
                  <c:pt idx="27">
                    <c:v>White</c:v>
                  </c:pt>
                  <c:pt idx="28">
                    <c:v>White</c:v>
                  </c:pt>
                  <c:pt idx="29">
                    <c:v>White</c:v>
                  </c:pt>
                  <c:pt idx="30">
                    <c:v>Amer-Indian-Eskimo</c:v>
                  </c:pt>
                  <c:pt idx="31">
                    <c:v>Asian-Pac-Islander</c:v>
                  </c:pt>
                  <c:pt idx="32">
                    <c:v>Black</c:v>
                  </c:pt>
                  <c:pt idx="33">
                    <c:v>White</c:v>
                  </c:pt>
                </c:lvl>
                <c:lvl>
                  <c:pt idx="0">
                    <c:v>10th</c:v>
                  </c:pt>
                  <c:pt idx="3">
                    <c:v>11th</c:v>
                  </c:pt>
                  <c:pt idx="6">
                    <c:v>12th</c:v>
                  </c:pt>
                  <c:pt idx="7">
                    <c:v>1st-4th</c:v>
                  </c:pt>
                  <c:pt idx="8">
                    <c:v>5th-6th</c:v>
                  </c:pt>
                  <c:pt idx="9">
                    <c:v>7th-8th</c:v>
                  </c:pt>
                  <c:pt idx="11">
                    <c:v>9th</c:v>
                  </c:pt>
                  <c:pt idx="13">
                    <c:v>Assoc-acdm</c:v>
                  </c:pt>
                  <c:pt idx="16">
                    <c:v>Assoc-voc</c:v>
                  </c:pt>
                  <c:pt idx="18">
                    <c:v>Bachelors</c:v>
                  </c:pt>
                  <c:pt idx="21">
                    <c:v>Doctorate</c:v>
                  </c:pt>
                  <c:pt idx="22">
                    <c:v>HS-grad</c:v>
                  </c:pt>
                  <c:pt idx="25">
                    <c:v>Masters</c:v>
                  </c:pt>
                  <c:pt idx="28">
                    <c:v>Preschool</c:v>
                  </c:pt>
                  <c:pt idx="29">
                    <c:v>Prof-school</c:v>
                  </c:pt>
                  <c:pt idx="30">
                    <c:v>Some-college</c:v>
                  </c:pt>
                </c:lvl>
              </c:multiLvlStrCache>
            </c:multiLvlStrRef>
          </c:cat>
          <c:val>
            <c:numRef>
              <c:f>'Hipoteza 2'!$C$5:$C$55</c:f>
              <c:numCache>
                <c:formatCode>General</c:formatCode>
                <c:ptCount val="34"/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8">
                  <c:v>1</c:v>
                </c:pt>
                <c:pt idx="14">
                  <c:v>1</c:v>
                </c:pt>
                <c:pt idx="15">
                  <c:v>7</c:v>
                </c:pt>
                <c:pt idx="17">
                  <c:v>10</c:v>
                </c:pt>
                <c:pt idx="18">
                  <c:v>1</c:v>
                </c:pt>
                <c:pt idx="19">
                  <c:v>6</c:v>
                </c:pt>
                <c:pt idx="20">
                  <c:v>36</c:v>
                </c:pt>
                <c:pt idx="21">
                  <c:v>6</c:v>
                </c:pt>
                <c:pt idx="22">
                  <c:v>1</c:v>
                </c:pt>
                <c:pt idx="23">
                  <c:v>3</c:v>
                </c:pt>
                <c:pt idx="24">
                  <c:v>26</c:v>
                </c:pt>
                <c:pt idx="27">
                  <c:v>10</c:v>
                </c:pt>
                <c:pt idx="29">
                  <c:v>11</c:v>
                </c:pt>
                <c:pt idx="30">
                  <c:v>1</c:v>
                </c:pt>
                <c:pt idx="32">
                  <c:v>1</c:v>
                </c:pt>
                <c:pt idx="3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1C-49DF-8873-0089BFCF4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9431312"/>
        <c:axId val="1099448112"/>
      </c:barChart>
      <c:catAx>
        <c:axId val="1099431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48112"/>
        <c:crosses val="autoZero"/>
        <c:auto val="1"/>
        <c:lblAlgn val="ctr"/>
        <c:lblOffset val="100"/>
        <c:noMultiLvlLbl val="0"/>
      </c:catAx>
      <c:valAx>
        <c:axId val="109944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431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&lt;=50K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Data!$Q$2:$Q$644</c:f>
              <c:numCache>
                <c:formatCode>General</c:formatCode>
                <c:ptCount val="643"/>
                <c:pt idx="0">
                  <c:v>18</c:v>
                </c:pt>
                <c:pt idx="1">
                  <c:v>28</c:v>
                </c:pt>
                <c:pt idx="2">
                  <c:v>35</c:v>
                </c:pt>
                <c:pt idx="3">
                  <c:v>46</c:v>
                </c:pt>
                <c:pt idx="4">
                  <c:v>#N/A</c:v>
                </c:pt>
                <c:pt idx="5">
                  <c:v>34</c:v>
                </c:pt>
                <c:pt idx="6">
                  <c:v>44</c:v>
                </c:pt>
                <c:pt idx="7">
                  <c:v>28</c:v>
                </c:pt>
                <c:pt idx="8">
                  <c:v>34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21</c:v>
                </c:pt>
                <c:pt idx="13">
                  <c:v>36</c:v>
                </c:pt>
                <c:pt idx="14">
                  <c:v>31</c:v>
                </c:pt>
                <c:pt idx="15">
                  <c:v>55</c:v>
                </c:pt>
                <c:pt idx="16">
                  <c:v>45</c:v>
                </c:pt>
                <c:pt idx="17">
                  <c:v>23</c:v>
                </c:pt>
                <c:pt idx="18">
                  <c:v>#N/A</c:v>
                </c:pt>
                <c:pt idx="19">
                  <c:v>#N/A</c:v>
                </c:pt>
                <c:pt idx="20">
                  <c:v>43</c:v>
                </c:pt>
                <c:pt idx="21">
                  <c:v>31</c:v>
                </c:pt>
                <c:pt idx="22">
                  <c:v>28</c:v>
                </c:pt>
                <c:pt idx="23">
                  <c:v>29</c:v>
                </c:pt>
                <c:pt idx="24">
                  <c:v>17</c:v>
                </c:pt>
                <c:pt idx="25">
                  <c:v>17</c:v>
                </c:pt>
                <c:pt idx="26">
                  <c:v>66</c:v>
                </c:pt>
                <c:pt idx="27">
                  <c:v>69</c:v>
                </c:pt>
                <c:pt idx="28">
                  <c:v>27</c:v>
                </c:pt>
                <c:pt idx="29">
                  <c:v>26</c:v>
                </c:pt>
                <c:pt idx="30">
                  <c:v>#N/A</c:v>
                </c:pt>
                <c:pt idx="31">
                  <c:v>59</c:v>
                </c:pt>
                <c:pt idx="32">
                  <c:v>37</c:v>
                </c:pt>
                <c:pt idx="33">
                  <c:v>18</c:v>
                </c:pt>
                <c:pt idx="34">
                  <c:v>21</c:v>
                </c:pt>
                <c:pt idx="35">
                  <c:v>64</c:v>
                </c:pt>
                <c:pt idx="36">
                  <c:v>50</c:v>
                </c:pt>
                <c:pt idx="37">
                  <c:v>19</c:v>
                </c:pt>
                <c:pt idx="38">
                  <c:v>28</c:v>
                </c:pt>
                <c:pt idx="39">
                  <c:v>47</c:v>
                </c:pt>
                <c:pt idx="40">
                  <c:v>56</c:v>
                </c:pt>
                <c:pt idx="41">
                  <c:v>26</c:v>
                </c:pt>
                <c:pt idx="42">
                  <c:v>#N/A</c:v>
                </c:pt>
                <c:pt idx="43">
                  <c:v>20</c:v>
                </c:pt>
                <c:pt idx="44">
                  <c:v>25</c:v>
                </c:pt>
                <c:pt idx="45">
                  <c:v>46</c:v>
                </c:pt>
                <c:pt idx="46">
                  <c:v>22</c:v>
                </c:pt>
                <c:pt idx="47">
                  <c:v>37</c:v>
                </c:pt>
                <c:pt idx="48">
                  <c:v>22</c:v>
                </c:pt>
                <c:pt idx="49">
                  <c:v>27</c:v>
                </c:pt>
                <c:pt idx="50">
                  <c:v>#N/A</c:v>
                </c:pt>
                <c:pt idx="51">
                  <c:v>#N/A</c:v>
                </c:pt>
                <c:pt idx="52">
                  <c:v>53</c:v>
                </c:pt>
                <c:pt idx="53">
                  <c:v>24</c:v>
                </c:pt>
                <c:pt idx="54">
                  <c:v>24</c:v>
                </c:pt>
                <c:pt idx="55">
                  <c:v>21</c:v>
                </c:pt>
                <c:pt idx="56">
                  <c:v>#N/A</c:v>
                </c:pt>
                <c:pt idx="57">
                  <c:v>58</c:v>
                </c:pt>
                <c:pt idx="58">
                  <c:v>41</c:v>
                </c:pt>
                <c:pt idx="59">
                  <c:v>17</c:v>
                </c:pt>
                <c:pt idx="60">
                  <c:v>31</c:v>
                </c:pt>
                <c:pt idx="61">
                  <c:v>#N/A</c:v>
                </c:pt>
                <c:pt idx="62">
                  <c:v>42</c:v>
                </c:pt>
                <c:pt idx="63">
                  <c:v>26</c:v>
                </c:pt>
                <c:pt idx="64">
                  <c:v>33</c:v>
                </c:pt>
                <c:pt idx="65">
                  <c:v>40</c:v>
                </c:pt>
                <c:pt idx="66">
                  <c:v>#N/A</c:v>
                </c:pt>
                <c:pt idx="67">
                  <c:v>35</c:v>
                </c:pt>
                <c:pt idx="68">
                  <c:v>44</c:v>
                </c:pt>
                <c:pt idx="69">
                  <c:v>58</c:v>
                </c:pt>
                <c:pt idx="70">
                  <c:v>73</c:v>
                </c:pt>
                <c:pt idx="71">
                  <c:v>#N/A</c:v>
                </c:pt>
                <c:pt idx="72">
                  <c:v>23</c:v>
                </c:pt>
                <c:pt idx="73">
                  <c:v>#N/A</c:v>
                </c:pt>
                <c:pt idx="74">
                  <c:v>24</c:v>
                </c:pt>
                <c:pt idx="75">
                  <c:v>39</c:v>
                </c:pt>
                <c:pt idx="76">
                  <c:v>43</c:v>
                </c:pt>
                <c:pt idx="77">
                  <c:v>51</c:v>
                </c:pt>
                <c:pt idx="78">
                  <c:v>70</c:v>
                </c:pt>
                <c:pt idx="79">
                  <c:v>70</c:v>
                </c:pt>
                <c:pt idx="80">
                  <c:v>28</c:v>
                </c:pt>
                <c:pt idx="81">
                  <c:v>19</c:v>
                </c:pt>
                <c:pt idx="82">
                  <c:v>#N/A</c:v>
                </c:pt>
                <c:pt idx="83">
                  <c:v>47</c:v>
                </c:pt>
                <c:pt idx="84">
                  <c:v>28</c:v>
                </c:pt>
                <c:pt idx="85">
                  <c:v>41</c:v>
                </c:pt>
                <c:pt idx="86">
                  <c:v>31</c:v>
                </c:pt>
                <c:pt idx="87">
                  <c:v>#N/A</c:v>
                </c:pt>
                <c:pt idx="88">
                  <c:v>21</c:v>
                </c:pt>
                <c:pt idx="89">
                  <c:v>44</c:v>
                </c:pt>
                <c:pt idx="90">
                  <c:v>29</c:v>
                </c:pt>
                <c:pt idx="91">
                  <c:v>25</c:v>
                </c:pt>
                <c:pt idx="92">
                  <c:v>20</c:v>
                </c:pt>
                <c:pt idx="93">
                  <c:v>43</c:v>
                </c:pt>
                <c:pt idx="94">
                  <c:v>27</c:v>
                </c:pt>
                <c:pt idx="95">
                  <c:v>32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42</c:v>
                </c:pt>
                <c:pt idx="101">
                  <c:v>25</c:v>
                </c:pt>
                <c:pt idx="102">
                  <c:v>52</c:v>
                </c:pt>
                <c:pt idx="103">
                  <c:v>26</c:v>
                </c:pt>
                <c:pt idx="104">
                  <c:v>57</c:v>
                </c:pt>
                <c:pt idx="105">
                  <c:v>28</c:v>
                </c:pt>
                <c:pt idx="106">
                  <c:v>28</c:v>
                </c:pt>
                <c:pt idx="107">
                  <c:v>59</c:v>
                </c:pt>
                <c:pt idx="108">
                  <c:v>61</c:v>
                </c:pt>
                <c:pt idx="109">
                  <c:v>21</c:v>
                </c:pt>
                <c:pt idx="110">
                  <c:v>19</c:v>
                </c:pt>
                <c:pt idx="111">
                  <c:v>28</c:v>
                </c:pt>
                <c:pt idx="112">
                  <c:v>#N/A</c:v>
                </c:pt>
                <c:pt idx="113">
                  <c:v>64</c:v>
                </c:pt>
                <c:pt idx="114">
                  <c:v>28</c:v>
                </c:pt>
                <c:pt idx="115">
                  <c:v>42</c:v>
                </c:pt>
                <c:pt idx="116">
                  <c:v>35</c:v>
                </c:pt>
                <c:pt idx="117">
                  <c:v>23</c:v>
                </c:pt>
                <c:pt idx="118">
                  <c:v>63</c:v>
                </c:pt>
                <c:pt idx="119">
                  <c:v>#N/A</c:v>
                </c:pt>
                <c:pt idx="120">
                  <c:v>56</c:v>
                </c:pt>
                <c:pt idx="121">
                  <c:v>49</c:v>
                </c:pt>
                <c:pt idx="122">
                  <c:v>47</c:v>
                </c:pt>
                <c:pt idx="123">
                  <c:v>22</c:v>
                </c:pt>
                <c:pt idx="124">
                  <c:v>20</c:v>
                </c:pt>
                <c:pt idx="125">
                  <c:v>18</c:v>
                </c:pt>
                <c:pt idx="126">
                  <c:v>31</c:v>
                </c:pt>
                <c:pt idx="127">
                  <c:v>51</c:v>
                </c:pt>
                <c:pt idx="128">
                  <c:v>90</c:v>
                </c:pt>
                <c:pt idx="129">
                  <c:v>26</c:v>
                </c:pt>
                <c:pt idx="130">
                  <c:v>51</c:v>
                </c:pt>
                <c:pt idx="131">
                  <c:v>34</c:v>
                </c:pt>
                <c:pt idx="132">
                  <c:v>#N/A</c:v>
                </c:pt>
                <c:pt idx="133">
                  <c:v>64</c:v>
                </c:pt>
                <c:pt idx="134">
                  <c:v>#N/A</c:v>
                </c:pt>
                <c:pt idx="135">
                  <c:v>20</c:v>
                </c:pt>
                <c:pt idx="136">
                  <c:v>37</c:v>
                </c:pt>
                <c:pt idx="137">
                  <c:v>23</c:v>
                </c:pt>
                <c:pt idx="138">
                  <c:v>30</c:v>
                </c:pt>
                <c:pt idx="139">
                  <c:v>45</c:v>
                </c:pt>
                <c:pt idx="140">
                  <c:v>41</c:v>
                </c:pt>
                <c:pt idx="141">
                  <c:v>32</c:v>
                </c:pt>
                <c:pt idx="142">
                  <c:v>39</c:v>
                </c:pt>
                <c:pt idx="143">
                  <c:v>#N/A</c:v>
                </c:pt>
                <c:pt idx="144">
                  <c:v>46</c:v>
                </c:pt>
                <c:pt idx="145">
                  <c:v>34</c:v>
                </c:pt>
                <c:pt idx="146">
                  <c:v>54</c:v>
                </c:pt>
                <c:pt idx="147">
                  <c:v>64</c:v>
                </c:pt>
                <c:pt idx="148">
                  <c:v>36</c:v>
                </c:pt>
                <c:pt idx="149">
                  <c:v>38</c:v>
                </c:pt>
                <c:pt idx="150">
                  <c:v>62</c:v>
                </c:pt>
                <c:pt idx="151">
                  <c:v>56</c:v>
                </c:pt>
                <c:pt idx="152">
                  <c:v>26</c:v>
                </c:pt>
                <c:pt idx="153">
                  <c:v>#N/A</c:v>
                </c:pt>
                <c:pt idx="154">
                  <c:v>38</c:v>
                </c:pt>
                <c:pt idx="155">
                  <c:v>43</c:v>
                </c:pt>
                <c:pt idx="156">
                  <c:v>30</c:v>
                </c:pt>
                <c:pt idx="157">
                  <c:v>26</c:v>
                </c:pt>
                <c:pt idx="158">
                  <c:v>42</c:v>
                </c:pt>
                <c:pt idx="159">
                  <c:v>#N/A</c:v>
                </c:pt>
                <c:pt idx="160">
                  <c:v>29</c:v>
                </c:pt>
                <c:pt idx="161">
                  <c:v>23</c:v>
                </c:pt>
                <c:pt idx="162">
                  <c:v>31</c:v>
                </c:pt>
                <c:pt idx="163">
                  <c:v>40</c:v>
                </c:pt>
                <c:pt idx="164">
                  <c:v>50</c:v>
                </c:pt>
                <c:pt idx="165">
                  <c:v>#N/A</c:v>
                </c:pt>
                <c:pt idx="166">
                  <c:v>17</c:v>
                </c:pt>
                <c:pt idx="167">
                  <c:v>23</c:v>
                </c:pt>
                <c:pt idx="168">
                  <c:v>#N/A</c:v>
                </c:pt>
                <c:pt idx="169">
                  <c:v>#N/A</c:v>
                </c:pt>
                <c:pt idx="170">
                  <c:v>40</c:v>
                </c:pt>
                <c:pt idx="171">
                  <c:v>21</c:v>
                </c:pt>
                <c:pt idx="172">
                  <c:v>#N/A</c:v>
                </c:pt>
                <c:pt idx="173">
                  <c:v>39</c:v>
                </c:pt>
                <c:pt idx="174">
                  <c:v>#N/A</c:v>
                </c:pt>
                <c:pt idx="175">
                  <c:v>17</c:v>
                </c:pt>
                <c:pt idx="176">
                  <c:v>25</c:v>
                </c:pt>
                <c:pt idx="177">
                  <c:v>33</c:v>
                </c:pt>
                <c:pt idx="178">
                  <c:v>51</c:v>
                </c:pt>
                <c:pt idx="179">
                  <c:v>#N/A</c:v>
                </c:pt>
                <c:pt idx="180">
                  <c:v>36</c:v>
                </c:pt>
                <c:pt idx="181">
                  <c:v>52</c:v>
                </c:pt>
                <c:pt idx="182">
                  <c:v>43</c:v>
                </c:pt>
                <c:pt idx="183">
                  <c:v>#N/A</c:v>
                </c:pt>
                <c:pt idx="184">
                  <c:v>#N/A</c:v>
                </c:pt>
                <c:pt idx="185">
                  <c:v>55</c:v>
                </c:pt>
                <c:pt idx="186">
                  <c:v>37</c:v>
                </c:pt>
                <c:pt idx="187">
                  <c:v>#N/A</c:v>
                </c:pt>
                <c:pt idx="188">
                  <c:v>27</c:v>
                </c:pt>
                <c:pt idx="189">
                  <c:v>#N/A</c:v>
                </c:pt>
                <c:pt idx="190">
                  <c:v>34</c:v>
                </c:pt>
                <c:pt idx="191">
                  <c:v>20</c:v>
                </c:pt>
                <c:pt idx="192">
                  <c:v>#N/A</c:v>
                </c:pt>
                <c:pt idx="193">
                  <c:v>38</c:v>
                </c:pt>
                <c:pt idx="194">
                  <c:v>39</c:v>
                </c:pt>
                <c:pt idx="195">
                  <c:v>36</c:v>
                </c:pt>
                <c:pt idx="196">
                  <c:v>64</c:v>
                </c:pt>
                <c:pt idx="197">
                  <c:v>18</c:v>
                </c:pt>
                <c:pt idx="198">
                  <c:v>46</c:v>
                </c:pt>
                <c:pt idx="199">
                  <c:v>18</c:v>
                </c:pt>
                <c:pt idx="200">
                  <c:v>63</c:v>
                </c:pt>
                <c:pt idx="201">
                  <c:v>56</c:v>
                </c:pt>
                <c:pt idx="202">
                  <c:v>#N/A</c:v>
                </c:pt>
                <c:pt idx="203">
                  <c:v>37</c:v>
                </c:pt>
                <c:pt idx="204">
                  <c:v>21</c:v>
                </c:pt>
                <c:pt idx="205">
                  <c:v>23</c:v>
                </c:pt>
                <c:pt idx="206">
                  <c:v>30</c:v>
                </c:pt>
                <c:pt idx="207">
                  <c:v>42</c:v>
                </c:pt>
                <c:pt idx="208">
                  <c:v>#N/A</c:v>
                </c:pt>
                <c:pt idx="209">
                  <c:v>56</c:v>
                </c:pt>
                <c:pt idx="210">
                  <c:v>25</c:v>
                </c:pt>
                <c:pt idx="211">
                  <c:v>#N/A</c:v>
                </c:pt>
                <c:pt idx="212">
                  <c:v>18</c:v>
                </c:pt>
                <c:pt idx="213">
                  <c:v>74</c:v>
                </c:pt>
                <c:pt idx="214">
                  <c:v>32</c:v>
                </c:pt>
                <c:pt idx="215">
                  <c:v>20</c:v>
                </c:pt>
                <c:pt idx="216">
                  <c:v>23</c:v>
                </c:pt>
                <c:pt idx="217">
                  <c:v>57</c:v>
                </c:pt>
                <c:pt idx="218">
                  <c:v>47</c:v>
                </c:pt>
                <c:pt idx="219">
                  <c:v>#N/A</c:v>
                </c:pt>
                <c:pt idx="220">
                  <c:v>26</c:v>
                </c:pt>
                <c:pt idx="221">
                  <c:v>47</c:v>
                </c:pt>
                <c:pt idx="222">
                  <c:v>24</c:v>
                </c:pt>
                <c:pt idx="223">
                  <c:v>28</c:v>
                </c:pt>
                <c:pt idx="224">
                  <c:v>23</c:v>
                </c:pt>
                <c:pt idx="225">
                  <c:v>40</c:v>
                </c:pt>
                <c:pt idx="226">
                  <c:v>#N/A</c:v>
                </c:pt>
                <c:pt idx="227">
                  <c:v>#N/A</c:v>
                </c:pt>
                <c:pt idx="228">
                  <c:v>43</c:v>
                </c:pt>
                <c:pt idx="229">
                  <c:v>42</c:v>
                </c:pt>
                <c:pt idx="230">
                  <c:v>67</c:v>
                </c:pt>
                <c:pt idx="231">
                  <c:v>25</c:v>
                </c:pt>
                <c:pt idx="232">
                  <c:v>30</c:v>
                </c:pt>
                <c:pt idx="233">
                  <c:v>37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58</c:v>
                </c:pt>
                <c:pt idx="238">
                  <c:v>35</c:v>
                </c:pt>
                <c:pt idx="239">
                  <c:v>49</c:v>
                </c:pt>
                <c:pt idx="240">
                  <c:v>90</c:v>
                </c:pt>
                <c:pt idx="241">
                  <c:v>#N/A</c:v>
                </c:pt>
                <c:pt idx="242">
                  <c:v>18</c:v>
                </c:pt>
                <c:pt idx="243">
                  <c:v>25</c:v>
                </c:pt>
                <c:pt idx="244">
                  <c:v>31</c:v>
                </c:pt>
                <c:pt idx="245">
                  <c:v>22</c:v>
                </c:pt>
                <c:pt idx="246">
                  <c:v>25</c:v>
                </c:pt>
                <c:pt idx="247">
                  <c:v>#N/A</c:v>
                </c:pt>
                <c:pt idx="248">
                  <c:v>26</c:v>
                </c:pt>
                <c:pt idx="249">
                  <c:v>37</c:v>
                </c:pt>
                <c:pt idx="250">
                  <c:v>27</c:v>
                </c:pt>
                <c:pt idx="251">
                  <c:v>18</c:v>
                </c:pt>
                <c:pt idx="252">
                  <c:v>24</c:v>
                </c:pt>
                <c:pt idx="253">
                  <c:v>47</c:v>
                </c:pt>
                <c:pt idx="254">
                  <c:v>48</c:v>
                </c:pt>
                <c:pt idx="255">
                  <c:v>39</c:v>
                </c:pt>
                <c:pt idx="256">
                  <c:v>26</c:v>
                </c:pt>
                <c:pt idx="257">
                  <c:v>#N/A</c:v>
                </c:pt>
                <c:pt idx="258">
                  <c:v>32</c:v>
                </c:pt>
                <c:pt idx="259">
                  <c:v>38</c:v>
                </c:pt>
                <c:pt idx="260">
                  <c:v>41</c:v>
                </c:pt>
                <c:pt idx="261">
                  <c:v>27</c:v>
                </c:pt>
                <c:pt idx="262">
                  <c:v>#N/A</c:v>
                </c:pt>
                <c:pt idx="263">
                  <c:v>28</c:v>
                </c:pt>
                <c:pt idx="264">
                  <c:v>#N/A</c:v>
                </c:pt>
                <c:pt idx="265">
                  <c:v>71</c:v>
                </c:pt>
                <c:pt idx="266">
                  <c:v>#N/A</c:v>
                </c:pt>
                <c:pt idx="267">
                  <c:v>33</c:v>
                </c:pt>
                <c:pt idx="268">
                  <c:v>50</c:v>
                </c:pt>
                <c:pt idx="269">
                  <c:v>#N/A</c:v>
                </c:pt>
                <c:pt idx="270">
                  <c:v>41</c:v>
                </c:pt>
                <c:pt idx="271">
                  <c:v>25</c:v>
                </c:pt>
                <c:pt idx="272">
                  <c:v>31</c:v>
                </c:pt>
                <c:pt idx="273">
                  <c:v>#N/A</c:v>
                </c:pt>
                <c:pt idx="274">
                  <c:v>21</c:v>
                </c:pt>
                <c:pt idx="275">
                  <c:v>64</c:v>
                </c:pt>
                <c:pt idx="276">
                  <c:v>39</c:v>
                </c:pt>
                <c:pt idx="277">
                  <c:v>26</c:v>
                </c:pt>
                <c:pt idx="278">
                  <c:v>22</c:v>
                </c:pt>
                <c:pt idx="279">
                  <c:v>30</c:v>
                </c:pt>
                <c:pt idx="280">
                  <c:v>30</c:v>
                </c:pt>
                <c:pt idx="281">
                  <c:v>49</c:v>
                </c:pt>
                <c:pt idx="282">
                  <c:v>22</c:v>
                </c:pt>
                <c:pt idx="283">
                  <c:v>#N/A</c:v>
                </c:pt>
                <c:pt idx="284">
                  <c:v>55</c:v>
                </c:pt>
                <c:pt idx="285">
                  <c:v>41</c:v>
                </c:pt>
                <c:pt idx="286">
                  <c:v>#N/A</c:v>
                </c:pt>
                <c:pt idx="287">
                  <c:v>38</c:v>
                </c:pt>
                <c:pt idx="288">
                  <c:v>75</c:v>
                </c:pt>
                <c:pt idx="289">
                  <c:v>#N/A</c:v>
                </c:pt>
                <c:pt idx="290">
                  <c:v>43</c:v>
                </c:pt>
                <c:pt idx="291">
                  <c:v>20</c:v>
                </c:pt>
                <c:pt idx="292">
                  <c:v>#N/A</c:v>
                </c:pt>
                <c:pt idx="293">
                  <c:v>31</c:v>
                </c:pt>
                <c:pt idx="294">
                  <c:v>45</c:v>
                </c:pt>
                <c:pt idx="295">
                  <c:v>23</c:v>
                </c:pt>
                <c:pt idx="296">
                  <c:v>34</c:v>
                </c:pt>
                <c:pt idx="297">
                  <c:v>#N/A</c:v>
                </c:pt>
                <c:pt idx="298">
                  <c:v>#N/A</c:v>
                </c:pt>
                <c:pt idx="299">
                  <c:v>63</c:v>
                </c:pt>
                <c:pt idx="300">
                  <c:v>44</c:v>
                </c:pt>
                <c:pt idx="301">
                  <c:v>#N/A</c:v>
                </c:pt>
                <c:pt idx="302">
                  <c:v>30</c:v>
                </c:pt>
                <c:pt idx="303">
                  <c:v>47</c:v>
                </c:pt>
                <c:pt idx="304">
                  <c:v>34</c:v>
                </c:pt>
                <c:pt idx="305">
                  <c:v>38</c:v>
                </c:pt>
                <c:pt idx="306">
                  <c:v>31</c:v>
                </c:pt>
                <c:pt idx="307">
                  <c:v>#N/A</c:v>
                </c:pt>
                <c:pt idx="308">
                  <c:v>22</c:v>
                </c:pt>
                <c:pt idx="309">
                  <c:v>#N/A</c:v>
                </c:pt>
                <c:pt idx="310">
                  <c:v>90</c:v>
                </c:pt>
                <c:pt idx="311">
                  <c:v>39</c:v>
                </c:pt>
                <c:pt idx="312">
                  <c:v>#N/A</c:v>
                </c:pt>
                <c:pt idx="313">
                  <c:v>51</c:v>
                </c:pt>
                <c:pt idx="314">
                  <c:v>42</c:v>
                </c:pt>
                <c:pt idx="315">
                  <c:v>36</c:v>
                </c:pt>
                <c:pt idx="316">
                  <c:v>57</c:v>
                </c:pt>
                <c:pt idx="317">
                  <c:v>71</c:v>
                </c:pt>
                <c:pt idx="318">
                  <c:v>53</c:v>
                </c:pt>
                <c:pt idx="319">
                  <c:v>23</c:v>
                </c:pt>
                <c:pt idx="320">
                  <c:v>45</c:v>
                </c:pt>
                <c:pt idx="321">
                  <c:v>19</c:v>
                </c:pt>
                <c:pt idx="322">
                  <c:v>#N/A</c:v>
                </c:pt>
                <c:pt idx="323">
                  <c:v>#N/A</c:v>
                </c:pt>
                <c:pt idx="324">
                  <c:v>32</c:v>
                </c:pt>
                <c:pt idx="325">
                  <c:v>#N/A</c:v>
                </c:pt>
                <c:pt idx="326">
                  <c:v>23</c:v>
                </c:pt>
                <c:pt idx="327">
                  <c:v>32</c:v>
                </c:pt>
                <c:pt idx="328">
                  <c:v>35</c:v>
                </c:pt>
                <c:pt idx="329">
                  <c:v>30</c:v>
                </c:pt>
                <c:pt idx="330">
                  <c:v>59</c:v>
                </c:pt>
                <c:pt idx="331">
                  <c:v>37</c:v>
                </c:pt>
                <c:pt idx="332">
                  <c:v>36</c:v>
                </c:pt>
                <c:pt idx="333">
                  <c:v>34</c:v>
                </c:pt>
                <c:pt idx="334">
                  <c:v>25</c:v>
                </c:pt>
                <c:pt idx="335">
                  <c:v>#N/A</c:v>
                </c:pt>
                <c:pt idx="336">
                  <c:v>#N/A</c:v>
                </c:pt>
                <c:pt idx="337">
                  <c:v>58</c:v>
                </c:pt>
                <c:pt idx="338">
                  <c:v>23</c:v>
                </c:pt>
                <c:pt idx="339">
                  <c:v>25</c:v>
                </c:pt>
                <c:pt idx="340">
                  <c:v>28</c:v>
                </c:pt>
                <c:pt idx="341">
                  <c:v>#N/A</c:v>
                </c:pt>
                <c:pt idx="342">
                  <c:v>44</c:v>
                </c:pt>
                <c:pt idx="343">
                  <c:v>22</c:v>
                </c:pt>
                <c:pt idx="344">
                  <c:v>25</c:v>
                </c:pt>
                <c:pt idx="345">
                  <c:v>52</c:v>
                </c:pt>
                <c:pt idx="346">
                  <c:v>#N/A</c:v>
                </c:pt>
                <c:pt idx="347">
                  <c:v>41</c:v>
                </c:pt>
                <c:pt idx="348">
                  <c:v>18</c:v>
                </c:pt>
                <c:pt idx="349">
                  <c:v>37</c:v>
                </c:pt>
                <c:pt idx="350">
                  <c:v>#N/A</c:v>
                </c:pt>
                <c:pt idx="351">
                  <c:v>#N/A</c:v>
                </c:pt>
                <c:pt idx="352">
                  <c:v>40</c:v>
                </c:pt>
                <c:pt idx="353">
                  <c:v>#N/A</c:v>
                </c:pt>
                <c:pt idx="354">
                  <c:v>48</c:v>
                </c:pt>
                <c:pt idx="355">
                  <c:v>38</c:v>
                </c:pt>
                <c:pt idx="356">
                  <c:v>35</c:v>
                </c:pt>
                <c:pt idx="357">
                  <c:v>22</c:v>
                </c:pt>
                <c:pt idx="358">
                  <c:v>35</c:v>
                </c:pt>
                <c:pt idx="359">
                  <c:v>28</c:v>
                </c:pt>
                <c:pt idx="360">
                  <c:v>#N/A</c:v>
                </c:pt>
                <c:pt idx="361">
                  <c:v>39</c:v>
                </c:pt>
                <c:pt idx="362">
                  <c:v>18</c:v>
                </c:pt>
                <c:pt idx="363">
                  <c:v>57</c:v>
                </c:pt>
                <c:pt idx="364">
                  <c:v>37</c:v>
                </c:pt>
                <c:pt idx="365">
                  <c:v>33</c:v>
                </c:pt>
                <c:pt idx="366">
                  <c:v>17</c:v>
                </c:pt>
                <c:pt idx="367">
                  <c:v>64</c:v>
                </c:pt>
                <c:pt idx="368">
                  <c:v>33</c:v>
                </c:pt>
                <c:pt idx="369">
                  <c:v>20</c:v>
                </c:pt>
                <c:pt idx="370">
                  <c:v>44</c:v>
                </c:pt>
                <c:pt idx="371">
                  <c:v>42</c:v>
                </c:pt>
                <c:pt idx="372">
                  <c:v>28</c:v>
                </c:pt>
                <c:pt idx="373">
                  <c:v>39</c:v>
                </c:pt>
                <c:pt idx="374">
                  <c:v>32</c:v>
                </c:pt>
                <c:pt idx="375">
                  <c:v>22</c:v>
                </c:pt>
                <c:pt idx="376">
                  <c:v>#N/A</c:v>
                </c:pt>
                <c:pt idx="377">
                  <c:v>44</c:v>
                </c:pt>
                <c:pt idx="378">
                  <c:v>62</c:v>
                </c:pt>
                <c:pt idx="379">
                  <c:v>29</c:v>
                </c:pt>
                <c:pt idx="380">
                  <c:v>31</c:v>
                </c:pt>
                <c:pt idx="381">
                  <c:v>33</c:v>
                </c:pt>
                <c:pt idx="382">
                  <c:v>33</c:v>
                </c:pt>
                <c:pt idx="383">
                  <c:v>21</c:v>
                </c:pt>
                <c:pt idx="384">
                  <c:v>44</c:v>
                </c:pt>
                <c:pt idx="385">
                  <c:v>37</c:v>
                </c:pt>
                <c:pt idx="386">
                  <c:v>19</c:v>
                </c:pt>
                <c:pt idx="387">
                  <c:v>32</c:v>
                </c:pt>
                <c:pt idx="388">
                  <c:v>58</c:v>
                </c:pt>
                <c:pt idx="389">
                  <c:v>44</c:v>
                </c:pt>
                <c:pt idx="390">
                  <c:v>25</c:v>
                </c:pt>
                <c:pt idx="391">
                  <c:v>#N/A</c:v>
                </c:pt>
                <c:pt idx="392">
                  <c:v>#N/A</c:v>
                </c:pt>
                <c:pt idx="393">
                  <c:v>38</c:v>
                </c:pt>
                <c:pt idx="394">
                  <c:v>#N/A</c:v>
                </c:pt>
                <c:pt idx="395">
                  <c:v>#N/A</c:v>
                </c:pt>
                <c:pt idx="396">
                  <c:v>28</c:v>
                </c:pt>
                <c:pt idx="397">
                  <c:v>41</c:v>
                </c:pt>
                <c:pt idx="398">
                  <c:v>23</c:v>
                </c:pt>
                <c:pt idx="399">
                  <c:v>37</c:v>
                </c:pt>
                <c:pt idx="400">
                  <c:v>34</c:v>
                </c:pt>
                <c:pt idx="401">
                  <c:v>46</c:v>
                </c:pt>
                <c:pt idx="402">
                  <c:v>#N/A</c:v>
                </c:pt>
                <c:pt idx="403">
                  <c:v>30</c:v>
                </c:pt>
                <c:pt idx="404">
                  <c:v>27</c:v>
                </c:pt>
                <c:pt idx="405">
                  <c:v>29</c:v>
                </c:pt>
                <c:pt idx="406">
                  <c:v>25</c:v>
                </c:pt>
                <c:pt idx="407">
                  <c:v>23</c:v>
                </c:pt>
                <c:pt idx="408">
                  <c:v>27</c:v>
                </c:pt>
                <c:pt idx="409">
                  <c:v>#N/A</c:v>
                </c:pt>
                <c:pt idx="410">
                  <c:v>41</c:v>
                </c:pt>
                <c:pt idx="411">
                  <c:v>#N/A</c:v>
                </c:pt>
                <c:pt idx="412">
                  <c:v>34</c:v>
                </c:pt>
                <c:pt idx="413">
                  <c:v>23</c:v>
                </c:pt>
                <c:pt idx="414">
                  <c:v>#N/A</c:v>
                </c:pt>
                <c:pt idx="415">
                  <c:v>#N/A</c:v>
                </c:pt>
                <c:pt idx="416">
                  <c:v>21</c:v>
                </c:pt>
                <c:pt idx="417">
                  <c:v>59</c:v>
                </c:pt>
                <c:pt idx="418">
                  <c:v>27</c:v>
                </c:pt>
                <c:pt idx="419">
                  <c:v>#N/A</c:v>
                </c:pt>
                <c:pt idx="420">
                  <c:v>#N/A</c:v>
                </c:pt>
                <c:pt idx="421">
                  <c:v>49</c:v>
                </c:pt>
                <c:pt idx="422">
                  <c:v>57</c:v>
                </c:pt>
                <c:pt idx="423">
                  <c:v>55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42</c:v>
                </c:pt>
                <c:pt idx="428">
                  <c:v>41</c:v>
                </c:pt>
                <c:pt idx="429">
                  <c:v>43</c:v>
                </c:pt>
                <c:pt idx="430">
                  <c:v>26</c:v>
                </c:pt>
                <c:pt idx="431">
                  <c:v>27</c:v>
                </c:pt>
                <c:pt idx="432">
                  <c:v>#N/A</c:v>
                </c:pt>
                <c:pt idx="433">
                  <c:v>19</c:v>
                </c:pt>
                <c:pt idx="434">
                  <c:v>43</c:v>
                </c:pt>
                <c:pt idx="435">
                  <c:v>33</c:v>
                </c:pt>
                <c:pt idx="436">
                  <c:v>18</c:v>
                </c:pt>
                <c:pt idx="437">
                  <c:v>#N/A</c:v>
                </c:pt>
                <c:pt idx="438">
                  <c:v>#N/A</c:v>
                </c:pt>
                <c:pt idx="439">
                  <c:v>47</c:v>
                </c:pt>
                <c:pt idx="440">
                  <c:v>34</c:v>
                </c:pt>
                <c:pt idx="441">
                  <c:v>#N/A</c:v>
                </c:pt>
                <c:pt idx="442">
                  <c:v>23</c:v>
                </c:pt>
                <c:pt idx="443">
                  <c:v>25</c:v>
                </c:pt>
                <c:pt idx="444">
                  <c:v>36</c:v>
                </c:pt>
                <c:pt idx="445">
                  <c:v>25</c:v>
                </c:pt>
                <c:pt idx="446">
                  <c:v>25</c:v>
                </c:pt>
                <c:pt idx="447">
                  <c:v>#N/A</c:v>
                </c:pt>
                <c:pt idx="448">
                  <c:v>37</c:v>
                </c:pt>
                <c:pt idx="449">
                  <c:v>54</c:v>
                </c:pt>
                <c:pt idx="450">
                  <c:v>40</c:v>
                </c:pt>
                <c:pt idx="451">
                  <c:v>21</c:v>
                </c:pt>
                <c:pt idx="452">
                  <c:v>76</c:v>
                </c:pt>
                <c:pt idx="453">
                  <c:v>28</c:v>
                </c:pt>
                <c:pt idx="454">
                  <c:v>#N/A</c:v>
                </c:pt>
                <c:pt idx="455">
                  <c:v>#N/A</c:v>
                </c:pt>
                <c:pt idx="456">
                  <c:v>19</c:v>
                </c:pt>
                <c:pt idx="457">
                  <c:v>#N/A</c:v>
                </c:pt>
                <c:pt idx="458">
                  <c:v>#N/A</c:v>
                </c:pt>
                <c:pt idx="459">
                  <c:v>33</c:v>
                </c:pt>
                <c:pt idx="460">
                  <c:v>45</c:v>
                </c:pt>
                <c:pt idx="461">
                  <c:v>46</c:v>
                </c:pt>
                <c:pt idx="462">
                  <c:v>23</c:v>
                </c:pt>
                <c:pt idx="463">
                  <c:v>#N/A</c:v>
                </c:pt>
                <c:pt idx="464">
                  <c:v>56</c:v>
                </c:pt>
                <c:pt idx="465">
                  <c:v>44</c:v>
                </c:pt>
                <c:pt idx="466">
                  <c:v>47</c:v>
                </c:pt>
                <c:pt idx="467">
                  <c:v>55</c:v>
                </c:pt>
                <c:pt idx="468">
                  <c:v>32</c:v>
                </c:pt>
                <c:pt idx="469">
                  <c:v>26</c:v>
                </c:pt>
                <c:pt idx="470">
                  <c:v>25</c:v>
                </c:pt>
                <c:pt idx="471">
                  <c:v>18</c:v>
                </c:pt>
                <c:pt idx="472">
                  <c:v>60</c:v>
                </c:pt>
                <c:pt idx="473">
                  <c:v>25</c:v>
                </c:pt>
                <c:pt idx="474">
                  <c:v>#N/A</c:v>
                </c:pt>
                <c:pt idx="475">
                  <c:v>17</c:v>
                </c:pt>
                <c:pt idx="476">
                  <c:v>40</c:v>
                </c:pt>
                <c:pt idx="477">
                  <c:v>#N/A</c:v>
                </c:pt>
                <c:pt idx="478">
                  <c:v>#N/A</c:v>
                </c:pt>
                <c:pt idx="479">
                  <c:v>23</c:v>
                </c:pt>
                <c:pt idx="480">
                  <c:v>48</c:v>
                </c:pt>
                <c:pt idx="481">
                  <c:v>50</c:v>
                </c:pt>
                <c:pt idx="482">
                  <c:v>18</c:v>
                </c:pt>
                <c:pt idx="483">
                  <c:v>31</c:v>
                </c:pt>
                <c:pt idx="484">
                  <c:v>24</c:v>
                </c:pt>
                <c:pt idx="485">
                  <c:v>38</c:v>
                </c:pt>
                <c:pt idx="486">
                  <c:v>20</c:v>
                </c:pt>
                <c:pt idx="487">
                  <c:v>#N/A</c:v>
                </c:pt>
                <c:pt idx="488">
                  <c:v>#N/A</c:v>
                </c:pt>
                <c:pt idx="489">
                  <c:v>63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34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25</c:v>
                </c:pt>
                <c:pt idx="498">
                  <c:v>27</c:v>
                </c:pt>
                <c:pt idx="499">
                  <c:v>22</c:v>
                </c:pt>
                <c:pt idx="500">
                  <c:v>40</c:v>
                </c:pt>
                <c:pt idx="501">
                  <c:v>29</c:v>
                </c:pt>
                <c:pt idx="502">
                  <c:v>#N/A</c:v>
                </c:pt>
                <c:pt idx="503">
                  <c:v>19</c:v>
                </c:pt>
                <c:pt idx="504">
                  <c:v>#N/A</c:v>
                </c:pt>
                <c:pt idx="505">
                  <c:v>62</c:v>
                </c:pt>
                <c:pt idx="506">
                  <c:v>38</c:v>
                </c:pt>
                <c:pt idx="507">
                  <c:v>#N/A</c:v>
                </c:pt>
                <c:pt idx="508">
                  <c:v>#N/A</c:v>
                </c:pt>
                <c:pt idx="509">
                  <c:v>36</c:v>
                </c:pt>
                <c:pt idx="510">
                  <c:v>18</c:v>
                </c:pt>
                <c:pt idx="511">
                  <c:v>20</c:v>
                </c:pt>
                <c:pt idx="512">
                  <c:v>45</c:v>
                </c:pt>
                <c:pt idx="513">
                  <c:v>63</c:v>
                </c:pt>
                <c:pt idx="514">
                  <c:v>55</c:v>
                </c:pt>
                <c:pt idx="515">
                  <c:v>#N/A</c:v>
                </c:pt>
                <c:pt idx="516">
                  <c:v>33</c:v>
                </c:pt>
                <c:pt idx="517">
                  <c:v>27</c:v>
                </c:pt>
                <c:pt idx="518">
                  <c:v>47</c:v>
                </c:pt>
                <c:pt idx="519">
                  <c:v>40</c:v>
                </c:pt>
                <c:pt idx="520">
                  <c:v>#N/A</c:v>
                </c:pt>
                <c:pt idx="521">
                  <c:v>19</c:v>
                </c:pt>
                <c:pt idx="522">
                  <c:v>29</c:v>
                </c:pt>
                <c:pt idx="523">
                  <c:v>61</c:v>
                </c:pt>
                <c:pt idx="524">
                  <c:v>#N/A</c:v>
                </c:pt>
                <c:pt idx="525">
                  <c:v>19</c:v>
                </c:pt>
                <c:pt idx="526">
                  <c:v>40</c:v>
                </c:pt>
                <c:pt idx="527">
                  <c:v>62</c:v>
                </c:pt>
                <c:pt idx="528">
                  <c:v>42</c:v>
                </c:pt>
                <c:pt idx="529">
                  <c:v>30</c:v>
                </c:pt>
                <c:pt idx="530">
                  <c:v>#N/A</c:v>
                </c:pt>
                <c:pt idx="531">
                  <c:v>41</c:v>
                </c:pt>
                <c:pt idx="532">
                  <c:v>28</c:v>
                </c:pt>
                <c:pt idx="533">
                  <c:v>26</c:v>
                </c:pt>
                <c:pt idx="534">
                  <c:v>23</c:v>
                </c:pt>
                <c:pt idx="535">
                  <c:v>#N/A</c:v>
                </c:pt>
                <c:pt idx="536">
                  <c:v>#N/A</c:v>
                </c:pt>
                <c:pt idx="537">
                  <c:v>76</c:v>
                </c:pt>
                <c:pt idx="538">
                  <c:v>#N/A</c:v>
                </c:pt>
                <c:pt idx="539">
                  <c:v>33</c:v>
                </c:pt>
                <c:pt idx="540">
                  <c:v>35</c:v>
                </c:pt>
                <c:pt idx="541">
                  <c:v>23</c:v>
                </c:pt>
                <c:pt idx="542">
                  <c:v>36</c:v>
                </c:pt>
                <c:pt idx="543">
                  <c:v>33</c:v>
                </c:pt>
                <c:pt idx="544">
                  <c:v>#N/A</c:v>
                </c:pt>
                <c:pt idx="545">
                  <c:v>51</c:v>
                </c:pt>
                <c:pt idx="546">
                  <c:v>27</c:v>
                </c:pt>
                <c:pt idx="547">
                  <c:v>47</c:v>
                </c:pt>
                <c:pt idx="548">
                  <c:v>26</c:v>
                </c:pt>
                <c:pt idx="549">
                  <c:v>#N/A</c:v>
                </c:pt>
                <c:pt idx="550">
                  <c:v>25</c:v>
                </c:pt>
                <c:pt idx="551">
                  <c:v>#N/A</c:v>
                </c:pt>
                <c:pt idx="552">
                  <c:v>59</c:v>
                </c:pt>
                <c:pt idx="553">
                  <c:v>45</c:v>
                </c:pt>
                <c:pt idx="554">
                  <c:v>#N/A</c:v>
                </c:pt>
                <c:pt idx="555">
                  <c:v>#N/A</c:v>
                </c:pt>
                <c:pt idx="556">
                  <c:v>49</c:v>
                </c:pt>
                <c:pt idx="557">
                  <c:v>61</c:v>
                </c:pt>
                <c:pt idx="558">
                  <c:v>#N/A</c:v>
                </c:pt>
                <c:pt idx="559">
                  <c:v>30</c:v>
                </c:pt>
                <c:pt idx="560">
                  <c:v>22</c:v>
                </c:pt>
                <c:pt idx="561">
                  <c:v>41</c:v>
                </c:pt>
                <c:pt idx="562">
                  <c:v>60</c:v>
                </c:pt>
                <c:pt idx="563">
                  <c:v>28</c:v>
                </c:pt>
                <c:pt idx="564">
                  <c:v>66</c:v>
                </c:pt>
                <c:pt idx="565">
                  <c:v>51</c:v>
                </c:pt>
                <c:pt idx="566">
                  <c:v>46</c:v>
                </c:pt>
                <c:pt idx="567">
                  <c:v>29</c:v>
                </c:pt>
                <c:pt idx="568">
                  <c:v>32</c:v>
                </c:pt>
                <c:pt idx="569">
                  <c:v>25</c:v>
                </c:pt>
                <c:pt idx="570">
                  <c:v>27</c:v>
                </c:pt>
                <c:pt idx="571">
                  <c:v>24</c:v>
                </c:pt>
                <c:pt idx="572">
                  <c:v>51</c:v>
                </c:pt>
                <c:pt idx="573">
                  <c:v>22</c:v>
                </c:pt>
                <c:pt idx="574">
                  <c:v>#N/A</c:v>
                </c:pt>
                <c:pt idx="575">
                  <c:v>#N/A</c:v>
                </c:pt>
                <c:pt idx="576">
                  <c:v>49</c:v>
                </c:pt>
                <c:pt idx="577">
                  <c:v>#N/A</c:v>
                </c:pt>
                <c:pt idx="578">
                  <c:v>47</c:v>
                </c:pt>
                <c:pt idx="579">
                  <c:v>80</c:v>
                </c:pt>
                <c:pt idx="580">
                  <c:v>#N/A</c:v>
                </c:pt>
                <c:pt idx="581">
                  <c:v>29</c:v>
                </c:pt>
                <c:pt idx="582">
                  <c:v>20</c:v>
                </c:pt>
                <c:pt idx="583">
                  <c:v>#N/A</c:v>
                </c:pt>
                <c:pt idx="584">
                  <c:v>28</c:v>
                </c:pt>
                <c:pt idx="585">
                  <c:v>#N/A</c:v>
                </c:pt>
                <c:pt idx="586">
                  <c:v>#N/A</c:v>
                </c:pt>
                <c:pt idx="587">
                  <c:v>22</c:v>
                </c:pt>
                <c:pt idx="588">
                  <c:v>36</c:v>
                </c:pt>
                <c:pt idx="589">
                  <c:v>19</c:v>
                </c:pt>
                <c:pt idx="590">
                  <c:v>31</c:v>
                </c:pt>
                <c:pt idx="591">
                  <c:v>33</c:v>
                </c:pt>
                <c:pt idx="592">
                  <c:v>32</c:v>
                </c:pt>
                <c:pt idx="593">
                  <c:v>25</c:v>
                </c:pt>
                <c:pt idx="594">
                  <c:v>#N/A</c:v>
                </c:pt>
                <c:pt idx="595">
                  <c:v>#N/A</c:v>
                </c:pt>
                <c:pt idx="596">
                  <c:v>34</c:v>
                </c:pt>
                <c:pt idx="597">
                  <c:v>#N/A</c:v>
                </c:pt>
                <c:pt idx="598">
                  <c:v>29</c:v>
                </c:pt>
                <c:pt idx="599">
                  <c:v>38</c:v>
                </c:pt>
                <c:pt idx="600">
                  <c:v>32</c:v>
                </c:pt>
                <c:pt idx="601">
                  <c:v>33</c:v>
                </c:pt>
                <c:pt idx="602">
                  <c:v>33</c:v>
                </c:pt>
                <c:pt idx="603">
                  <c:v>34</c:v>
                </c:pt>
                <c:pt idx="604">
                  <c:v>26</c:v>
                </c:pt>
                <c:pt idx="605">
                  <c:v>30</c:v>
                </c:pt>
                <c:pt idx="606">
                  <c:v>33</c:v>
                </c:pt>
                <c:pt idx="607">
                  <c:v>37</c:v>
                </c:pt>
                <c:pt idx="608">
                  <c:v>#N/A</c:v>
                </c:pt>
                <c:pt idx="609">
                  <c:v>38</c:v>
                </c:pt>
                <c:pt idx="610">
                  <c:v>21</c:v>
                </c:pt>
                <c:pt idx="611">
                  <c:v>62</c:v>
                </c:pt>
                <c:pt idx="612">
                  <c:v>#N/A</c:v>
                </c:pt>
                <c:pt idx="613">
                  <c:v>38</c:v>
                </c:pt>
                <c:pt idx="614">
                  <c:v>21</c:v>
                </c:pt>
                <c:pt idx="615">
                  <c:v>23</c:v>
                </c:pt>
                <c:pt idx="616">
                  <c:v>#N/A</c:v>
                </c:pt>
                <c:pt idx="617">
                  <c:v>28</c:v>
                </c:pt>
                <c:pt idx="618">
                  <c:v>#N/A</c:v>
                </c:pt>
                <c:pt idx="619">
                  <c:v>43</c:v>
                </c:pt>
                <c:pt idx="620">
                  <c:v>#N/A</c:v>
                </c:pt>
                <c:pt idx="621">
                  <c:v>25</c:v>
                </c:pt>
                <c:pt idx="622">
                  <c:v>41</c:v>
                </c:pt>
                <c:pt idx="623">
                  <c:v>48</c:v>
                </c:pt>
                <c:pt idx="624">
                  <c:v>28</c:v>
                </c:pt>
                <c:pt idx="625">
                  <c:v>42</c:v>
                </c:pt>
                <c:pt idx="626">
                  <c:v>#N/A</c:v>
                </c:pt>
                <c:pt idx="627">
                  <c:v>#N/A</c:v>
                </c:pt>
                <c:pt idx="628">
                  <c:v>36</c:v>
                </c:pt>
                <c:pt idx="629">
                  <c:v>34</c:v>
                </c:pt>
                <c:pt idx="630">
                  <c:v>18</c:v>
                </c:pt>
                <c:pt idx="631">
                  <c:v>17</c:v>
                </c:pt>
                <c:pt idx="632">
                  <c:v>34</c:v>
                </c:pt>
                <c:pt idx="633">
                  <c:v>40</c:v>
                </c:pt>
                <c:pt idx="634">
                  <c:v>26</c:v>
                </c:pt>
                <c:pt idx="635">
                  <c:v>#N/A</c:v>
                </c:pt>
                <c:pt idx="636">
                  <c:v>37</c:v>
                </c:pt>
                <c:pt idx="637">
                  <c:v>#N/A</c:v>
                </c:pt>
                <c:pt idx="638">
                  <c:v>65</c:v>
                </c:pt>
                <c:pt idx="639">
                  <c:v>#N/A</c:v>
                </c:pt>
                <c:pt idx="640">
                  <c:v>42</c:v>
                </c:pt>
                <c:pt idx="641">
                  <c:v>#N/A</c:v>
                </c:pt>
                <c:pt idx="642">
                  <c:v>30</c:v>
                </c:pt>
              </c:numCache>
            </c:numRef>
          </c:xVal>
          <c:yVal>
            <c:numRef>
              <c:f>Data!$R$2:$R$644</c:f>
              <c:numCache>
                <c:formatCode>General</c:formatCode>
                <c:ptCount val="643"/>
                <c:pt idx="0">
                  <c:v>7</c:v>
                </c:pt>
                <c:pt idx="1">
                  <c:v>12</c:v>
                </c:pt>
                <c:pt idx="2">
                  <c:v>10</c:v>
                </c:pt>
                <c:pt idx="3">
                  <c:v>3</c:v>
                </c:pt>
                <c:pt idx="4">
                  <c:v>#N/A</c:v>
                </c:pt>
                <c:pt idx="5">
                  <c:v>7</c:v>
                </c:pt>
                <c:pt idx="6">
                  <c:v>12</c:v>
                </c:pt>
                <c:pt idx="7">
                  <c:v>13</c:v>
                </c:pt>
                <c:pt idx="8">
                  <c:v>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9</c:v>
                </c:pt>
                <c:pt idx="18">
                  <c:v>#N/A</c:v>
                </c:pt>
                <c:pt idx="19">
                  <c:v>#N/A</c:v>
                </c:pt>
                <c:pt idx="20">
                  <c:v>13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6</c:v>
                </c:pt>
                <c:pt idx="25">
                  <c:v>7</c:v>
                </c:pt>
                <c:pt idx="26">
                  <c:v>11</c:v>
                </c:pt>
                <c:pt idx="27">
                  <c:v>3</c:v>
                </c:pt>
                <c:pt idx="28">
                  <c:v>13</c:v>
                </c:pt>
                <c:pt idx="29">
                  <c:v>13</c:v>
                </c:pt>
                <c:pt idx="30">
                  <c:v>#N/A</c:v>
                </c:pt>
                <c:pt idx="31">
                  <c:v>7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11</c:v>
                </c:pt>
                <c:pt idx="40">
                  <c:v>10</c:v>
                </c:pt>
                <c:pt idx="41">
                  <c:v>10</c:v>
                </c:pt>
                <c:pt idx="42">
                  <c:v>#N/A</c:v>
                </c:pt>
                <c:pt idx="43">
                  <c:v>10</c:v>
                </c:pt>
                <c:pt idx="44">
                  <c:v>9</c:v>
                </c:pt>
                <c:pt idx="45">
                  <c:v>9</c:v>
                </c:pt>
                <c:pt idx="46">
                  <c:v>6</c:v>
                </c:pt>
                <c:pt idx="47">
                  <c:v>13</c:v>
                </c:pt>
                <c:pt idx="48">
                  <c:v>13</c:v>
                </c:pt>
                <c:pt idx="49">
                  <c:v>10</c:v>
                </c:pt>
                <c:pt idx="50">
                  <c:v>#N/A</c:v>
                </c:pt>
                <c:pt idx="51">
                  <c:v>#N/A</c:v>
                </c:pt>
                <c:pt idx="52">
                  <c:v>9</c:v>
                </c:pt>
                <c:pt idx="53">
                  <c:v>14</c:v>
                </c:pt>
                <c:pt idx="54">
                  <c:v>13</c:v>
                </c:pt>
                <c:pt idx="55">
                  <c:v>10</c:v>
                </c:pt>
                <c:pt idx="56">
                  <c:v>#N/A</c:v>
                </c:pt>
                <c:pt idx="57">
                  <c:v>9</c:v>
                </c:pt>
                <c:pt idx="58">
                  <c:v>9</c:v>
                </c:pt>
                <c:pt idx="59">
                  <c:v>7</c:v>
                </c:pt>
                <c:pt idx="60">
                  <c:v>9</c:v>
                </c:pt>
                <c:pt idx="61">
                  <c:v>#N/A</c:v>
                </c:pt>
                <c:pt idx="62">
                  <c:v>10</c:v>
                </c:pt>
                <c:pt idx="63">
                  <c:v>14</c:v>
                </c:pt>
                <c:pt idx="64">
                  <c:v>13</c:v>
                </c:pt>
                <c:pt idx="65">
                  <c:v>10</c:v>
                </c:pt>
                <c:pt idx="66">
                  <c:v>#N/A</c:v>
                </c:pt>
                <c:pt idx="67">
                  <c:v>13</c:v>
                </c:pt>
                <c:pt idx="68">
                  <c:v>13</c:v>
                </c:pt>
                <c:pt idx="69">
                  <c:v>6</c:v>
                </c:pt>
                <c:pt idx="70">
                  <c:v>6</c:v>
                </c:pt>
                <c:pt idx="71">
                  <c:v>#N/A</c:v>
                </c:pt>
                <c:pt idx="72">
                  <c:v>10</c:v>
                </c:pt>
                <c:pt idx="73">
                  <c:v>#N/A</c:v>
                </c:pt>
                <c:pt idx="74">
                  <c:v>9</c:v>
                </c:pt>
                <c:pt idx="75">
                  <c:v>1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10</c:v>
                </c:pt>
                <c:pt idx="82">
                  <c:v>#N/A</c:v>
                </c:pt>
                <c:pt idx="83">
                  <c:v>9</c:v>
                </c:pt>
                <c:pt idx="84">
                  <c:v>7</c:v>
                </c:pt>
                <c:pt idx="85">
                  <c:v>10</c:v>
                </c:pt>
                <c:pt idx="86">
                  <c:v>9</c:v>
                </c:pt>
                <c:pt idx="87">
                  <c:v>#N/A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11</c:v>
                </c:pt>
                <c:pt idx="92">
                  <c:v>10</c:v>
                </c:pt>
                <c:pt idx="93">
                  <c:v>9</c:v>
                </c:pt>
                <c:pt idx="94">
                  <c:v>12</c:v>
                </c:pt>
                <c:pt idx="95">
                  <c:v>9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12</c:v>
                </c:pt>
                <c:pt idx="101">
                  <c:v>10</c:v>
                </c:pt>
                <c:pt idx="102">
                  <c:v>11</c:v>
                </c:pt>
                <c:pt idx="103">
                  <c:v>9</c:v>
                </c:pt>
                <c:pt idx="104">
                  <c:v>9</c:v>
                </c:pt>
                <c:pt idx="105">
                  <c:v>10</c:v>
                </c:pt>
                <c:pt idx="106">
                  <c:v>9</c:v>
                </c:pt>
                <c:pt idx="107">
                  <c:v>9</c:v>
                </c:pt>
                <c:pt idx="108">
                  <c:v>10</c:v>
                </c:pt>
                <c:pt idx="109">
                  <c:v>11</c:v>
                </c:pt>
                <c:pt idx="110">
                  <c:v>6</c:v>
                </c:pt>
                <c:pt idx="111">
                  <c:v>10</c:v>
                </c:pt>
                <c:pt idx="112">
                  <c:v>#N/A</c:v>
                </c:pt>
                <c:pt idx="113">
                  <c:v>4</c:v>
                </c:pt>
                <c:pt idx="114">
                  <c:v>13</c:v>
                </c:pt>
                <c:pt idx="115">
                  <c:v>3</c:v>
                </c:pt>
                <c:pt idx="116">
                  <c:v>14</c:v>
                </c:pt>
                <c:pt idx="117">
                  <c:v>10</c:v>
                </c:pt>
                <c:pt idx="118">
                  <c:v>9</c:v>
                </c:pt>
                <c:pt idx="119">
                  <c:v>#N/A</c:v>
                </c:pt>
                <c:pt idx="120">
                  <c:v>13</c:v>
                </c:pt>
                <c:pt idx="121">
                  <c:v>9</c:v>
                </c:pt>
                <c:pt idx="122">
                  <c:v>10</c:v>
                </c:pt>
                <c:pt idx="123">
                  <c:v>6</c:v>
                </c:pt>
                <c:pt idx="124">
                  <c:v>10</c:v>
                </c:pt>
                <c:pt idx="125">
                  <c:v>9</c:v>
                </c:pt>
                <c:pt idx="126">
                  <c:v>11</c:v>
                </c:pt>
                <c:pt idx="127">
                  <c:v>9</c:v>
                </c:pt>
                <c:pt idx="128">
                  <c:v>13</c:v>
                </c:pt>
                <c:pt idx="129">
                  <c:v>10</c:v>
                </c:pt>
                <c:pt idx="130">
                  <c:v>10</c:v>
                </c:pt>
                <c:pt idx="131">
                  <c:v>9</c:v>
                </c:pt>
                <c:pt idx="132">
                  <c:v>#N/A</c:v>
                </c:pt>
                <c:pt idx="133">
                  <c:v>14</c:v>
                </c:pt>
                <c:pt idx="134">
                  <c:v>#N/A</c:v>
                </c:pt>
                <c:pt idx="135">
                  <c:v>7</c:v>
                </c:pt>
                <c:pt idx="136">
                  <c:v>10</c:v>
                </c:pt>
                <c:pt idx="137">
                  <c:v>10</c:v>
                </c:pt>
                <c:pt idx="138">
                  <c:v>13</c:v>
                </c:pt>
                <c:pt idx="139">
                  <c:v>9</c:v>
                </c:pt>
                <c:pt idx="140">
                  <c:v>10</c:v>
                </c:pt>
                <c:pt idx="141">
                  <c:v>9</c:v>
                </c:pt>
                <c:pt idx="142">
                  <c:v>13</c:v>
                </c:pt>
                <c:pt idx="143">
                  <c:v>#N/A</c:v>
                </c:pt>
                <c:pt idx="144">
                  <c:v>11</c:v>
                </c:pt>
                <c:pt idx="145">
                  <c:v>9</c:v>
                </c:pt>
                <c:pt idx="146">
                  <c:v>13</c:v>
                </c:pt>
                <c:pt idx="147">
                  <c:v>9</c:v>
                </c:pt>
                <c:pt idx="148">
                  <c:v>10</c:v>
                </c:pt>
                <c:pt idx="149">
                  <c:v>9</c:v>
                </c:pt>
                <c:pt idx="150">
                  <c:v>9</c:v>
                </c:pt>
                <c:pt idx="151">
                  <c:v>9</c:v>
                </c:pt>
                <c:pt idx="152">
                  <c:v>9</c:v>
                </c:pt>
                <c:pt idx="153">
                  <c:v>#N/A</c:v>
                </c:pt>
                <c:pt idx="154">
                  <c:v>13</c:v>
                </c:pt>
                <c:pt idx="155">
                  <c:v>9</c:v>
                </c:pt>
                <c:pt idx="156">
                  <c:v>13</c:v>
                </c:pt>
                <c:pt idx="157">
                  <c:v>13</c:v>
                </c:pt>
                <c:pt idx="158">
                  <c:v>9</c:v>
                </c:pt>
                <c:pt idx="159">
                  <c:v>#N/A</c:v>
                </c:pt>
                <c:pt idx="160">
                  <c:v>9</c:v>
                </c:pt>
                <c:pt idx="161">
                  <c:v>11</c:v>
                </c:pt>
                <c:pt idx="162">
                  <c:v>13</c:v>
                </c:pt>
                <c:pt idx="163">
                  <c:v>4</c:v>
                </c:pt>
                <c:pt idx="164">
                  <c:v>13</c:v>
                </c:pt>
                <c:pt idx="165">
                  <c:v>#N/A</c:v>
                </c:pt>
                <c:pt idx="166">
                  <c:v>7</c:v>
                </c:pt>
                <c:pt idx="167">
                  <c:v>9</c:v>
                </c:pt>
                <c:pt idx="168">
                  <c:v>#N/A</c:v>
                </c:pt>
                <c:pt idx="169">
                  <c:v>#N/A</c:v>
                </c:pt>
                <c:pt idx="170">
                  <c:v>9</c:v>
                </c:pt>
                <c:pt idx="171">
                  <c:v>10</c:v>
                </c:pt>
                <c:pt idx="172">
                  <c:v>#N/A</c:v>
                </c:pt>
                <c:pt idx="173">
                  <c:v>13</c:v>
                </c:pt>
                <c:pt idx="174">
                  <c:v>#N/A</c:v>
                </c:pt>
                <c:pt idx="175">
                  <c:v>6</c:v>
                </c:pt>
                <c:pt idx="176">
                  <c:v>13</c:v>
                </c:pt>
                <c:pt idx="177">
                  <c:v>11</c:v>
                </c:pt>
                <c:pt idx="178">
                  <c:v>9</c:v>
                </c:pt>
                <c:pt idx="179">
                  <c:v>#N/A</c:v>
                </c:pt>
                <c:pt idx="180">
                  <c:v>9</c:v>
                </c:pt>
                <c:pt idx="181">
                  <c:v>6</c:v>
                </c:pt>
                <c:pt idx="182">
                  <c:v>9</c:v>
                </c:pt>
                <c:pt idx="183">
                  <c:v>#N/A</c:v>
                </c:pt>
                <c:pt idx="184">
                  <c:v>#N/A</c:v>
                </c:pt>
                <c:pt idx="185">
                  <c:v>9</c:v>
                </c:pt>
                <c:pt idx="186">
                  <c:v>9</c:v>
                </c:pt>
                <c:pt idx="187">
                  <c:v>#N/A</c:v>
                </c:pt>
                <c:pt idx="188">
                  <c:v>7</c:v>
                </c:pt>
                <c:pt idx="189">
                  <c:v>#N/A</c:v>
                </c:pt>
                <c:pt idx="190">
                  <c:v>9</c:v>
                </c:pt>
                <c:pt idx="191">
                  <c:v>10</c:v>
                </c:pt>
                <c:pt idx="192">
                  <c:v>#N/A</c:v>
                </c:pt>
                <c:pt idx="193">
                  <c:v>4</c:v>
                </c:pt>
                <c:pt idx="194">
                  <c:v>5</c:v>
                </c:pt>
                <c:pt idx="195">
                  <c:v>9</c:v>
                </c:pt>
                <c:pt idx="196">
                  <c:v>9</c:v>
                </c:pt>
                <c:pt idx="197">
                  <c:v>6</c:v>
                </c:pt>
                <c:pt idx="198">
                  <c:v>9</c:v>
                </c:pt>
                <c:pt idx="199">
                  <c:v>10</c:v>
                </c:pt>
                <c:pt idx="200">
                  <c:v>9</c:v>
                </c:pt>
                <c:pt idx="201">
                  <c:v>13</c:v>
                </c:pt>
                <c:pt idx="202">
                  <c:v>#N/A</c:v>
                </c:pt>
                <c:pt idx="203">
                  <c:v>2</c:v>
                </c:pt>
                <c:pt idx="204">
                  <c:v>9</c:v>
                </c:pt>
                <c:pt idx="205">
                  <c:v>12</c:v>
                </c:pt>
                <c:pt idx="206">
                  <c:v>13</c:v>
                </c:pt>
                <c:pt idx="207">
                  <c:v>13</c:v>
                </c:pt>
                <c:pt idx="208">
                  <c:v>#N/A</c:v>
                </c:pt>
                <c:pt idx="209">
                  <c:v>5</c:v>
                </c:pt>
                <c:pt idx="210">
                  <c:v>9</c:v>
                </c:pt>
                <c:pt idx="211">
                  <c:v>#N/A</c:v>
                </c:pt>
                <c:pt idx="212">
                  <c:v>9</c:v>
                </c:pt>
                <c:pt idx="213">
                  <c:v>9</c:v>
                </c:pt>
                <c:pt idx="214">
                  <c:v>13</c:v>
                </c:pt>
                <c:pt idx="215">
                  <c:v>10</c:v>
                </c:pt>
                <c:pt idx="216">
                  <c:v>10</c:v>
                </c:pt>
                <c:pt idx="217">
                  <c:v>13</c:v>
                </c:pt>
                <c:pt idx="218">
                  <c:v>9</c:v>
                </c:pt>
                <c:pt idx="219">
                  <c:v>#N/A</c:v>
                </c:pt>
                <c:pt idx="220">
                  <c:v>9</c:v>
                </c:pt>
                <c:pt idx="221">
                  <c:v>9</c:v>
                </c:pt>
                <c:pt idx="222">
                  <c:v>13</c:v>
                </c:pt>
                <c:pt idx="223">
                  <c:v>9</c:v>
                </c:pt>
                <c:pt idx="224">
                  <c:v>9</c:v>
                </c:pt>
                <c:pt idx="225">
                  <c:v>9</c:v>
                </c:pt>
                <c:pt idx="226">
                  <c:v>#N/A</c:v>
                </c:pt>
                <c:pt idx="227">
                  <c:v>#N/A</c:v>
                </c:pt>
                <c:pt idx="228">
                  <c:v>12</c:v>
                </c:pt>
                <c:pt idx="229">
                  <c:v>10</c:v>
                </c:pt>
                <c:pt idx="230">
                  <c:v>9</c:v>
                </c:pt>
                <c:pt idx="231">
                  <c:v>12</c:v>
                </c:pt>
                <c:pt idx="232">
                  <c:v>9</c:v>
                </c:pt>
                <c:pt idx="233">
                  <c:v>13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7</c:v>
                </c:pt>
                <c:pt idx="238">
                  <c:v>13</c:v>
                </c:pt>
                <c:pt idx="239">
                  <c:v>9</c:v>
                </c:pt>
                <c:pt idx="240">
                  <c:v>9</c:v>
                </c:pt>
                <c:pt idx="241">
                  <c:v>#N/A</c:v>
                </c:pt>
                <c:pt idx="242">
                  <c:v>6</c:v>
                </c:pt>
                <c:pt idx="243">
                  <c:v>13</c:v>
                </c:pt>
                <c:pt idx="244">
                  <c:v>9</c:v>
                </c:pt>
                <c:pt idx="245">
                  <c:v>9</c:v>
                </c:pt>
                <c:pt idx="246">
                  <c:v>10</c:v>
                </c:pt>
                <c:pt idx="247">
                  <c:v>#N/A</c:v>
                </c:pt>
                <c:pt idx="248">
                  <c:v>13</c:v>
                </c:pt>
                <c:pt idx="249">
                  <c:v>9</c:v>
                </c:pt>
                <c:pt idx="250">
                  <c:v>13</c:v>
                </c:pt>
                <c:pt idx="251">
                  <c:v>7</c:v>
                </c:pt>
                <c:pt idx="252">
                  <c:v>10</c:v>
                </c:pt>
                <c:pt idx="253">
                  <c:v>10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#N/A</c:v>
                </c:pt>
                <c:pt idx="258">
                  <c:v>9</c:v>
                </c:pt>
                <c:pt idx="259">
                  <c:v>10</c:v>
                </c:pt>
                <c:pt idx="260">
                  <c:v>14</c:v>
                </c:pt>
                <c:pt idx="261">
                  <c:v>10</c:v>
                </c:pt>
                <c:pt idx="262">
                  <c:v>#N/A</c:v>
                </c:pt>
                <c:pt idx="263">
                  <c:v>9</c:v>
                </c:pt>
                <c:pt idx="264">
                  <c:v>#N/A</c:v>
                </c:pt>
                <c:pt idx="265">
                  <c:v>11</c:v>
                </c:pt>
                <c:pt idx="266">
                  <c:v>#N/A</c:v>
                </c:pt>
                <c:pt idx="267">
                  <c:v>12</c:v>
                </c:pt>
                <c:pt idx="268">
                  <c:v>10</c:v>
                </c:pt>
                <c:pt idx="269">
                  <c:v>#N/A</c:v>
                </c:pt>
                <c:pt idx="270">
                  <c:v>10</c:v>
                </c:pt>
                <c:pt idx="271">
                  <c:v>13</c:v>
                </c:pt>
                <c:pt idx="272">
                  <c:v>9</c:v>
                </c:pt>
                <c:pt idx="273">
                  <c:v>#N/A</c:v>
                </c:pt>
                <c:pt idx="274">
                  <c:v>10</c:v>
                </c:pt>
                <c:pt idx="275">
                  <c:v>9</c:v>
                </c:pt>
                <c:pt idx="276">
                  <c:v>9</c:v>
                </c:pt>
                <c:pt idx="277">
                  <c:v>13</c:v>
                </c:pt>
                <c:pt idx="278">
                  <c:v>9</c:v>
                </c:pt>
                <c:pt idx="279">
                  <c:v>9</c:v>
                </c:pt>
                <c:pt idx="280">
                  <c:v>9</c:v>
                </c:pt>
                <c:pt idx="281">
                  <c:v>9</c:v>
                </c:pt>
                <c:pt idx="282">
                  <c:v>7</c:v>
                </c:pt>
                <c:pt idx="283">
                  <c:v>#N/A</c:v>
                </c:pt>
                <c:pt idx="284">
                  <c:v>9</c:v>
                </c:pt>
                <c:pt idx="285">
                  <c:v>9</c:v>
                </c:pt>
                <c:pt idx="286">
                  <c:v>#N/A</c:v>
                </c:pt>
                <c:pt idx="287">
                  <c:v>9</c:v>
                </c:pt>
                <c:pt idx="288">
                  <c:v>9</c:v>
                </c:pt>
                <c:pt idx="289">
                  <c:v>#N/A</c:v>
                </c:pt>
                <c:pt idx="290">
                  <c:v>11</c:v>
                </c:pt>
                <c:pt idx="291">
                  <c:v>10</c:v>
                </c:pt>
                <c:pt idx="292">
                  <c:v>#N/A</c:v>
                </c:pt>
                <c:pt idx="293">
                  <c:v>9</c:v>
                </c:pt>
                <c:pt idx="294">
                  <c:v>9</c:v>
                </c:pt>
                <c:pt idx="295">
                  <c:v>10</c:v>
                </c:pt>
                <c:pt idx="296">
                  <c:v>9</c:v>
                </c:pt>
                <c:pt idx="297">
                  <c:v>#N/A</c:v>
                </c:pt>
                <c:pt idx="298">
                  <c:v>#N/A</c:v>
                </c:pt>
                <c:pt idx="299">
                  <c:v>11</c:v>
                </c:pt>
                <c:pt idx="300">
                  <c:v>9</c:v>
                </c:pt>
                <c:pt idx="301">
                  <c:v>#N/A</c:v>
                </c:pt>
                <c:pt idx="302">
                  <c:v>5</c:v>
                </c:pt>
                <c:pt idx="303">
                  <c:v>6</c:v>
                </c:pt>
                <c:pt idx="304">
                  <c:v>9</c:v>
                </c:pt>
                <c:pt idx="305">
                  <c:v>11</c:v>
                </c:pt>
                <c:pt idx="306">
                  <c:v>12</c:v>
                </c:pt>
                <c:pt idx="307">
                  <c:v>#N/A</c:v>
                </c:pt>
                <c:pt idx="308">
                  <c:v>12</c:v>
                </c:pt>
                <c:pt idx="309">
                  <c:v>#N/A</c:v>
                </c:pt>
                <c:pt idx="310">
                  <c:v>9</c:v>
                </c:pt>
                <c:pt idx="311">
                  <c:v>9</c:v>
                </c:pt>
                <c:pt idx="312">
                  <c:v>#N/A</c:v>
                </c:pt>
                <c:pt idx="313">
                  <c:v>12</c:v>
                </c:pt>
                <c:pt idx="314">
                  <c:v>9</c:v>
                </c:pt>
                <c:pt idx="315">
                  <c:v>9</c:v>
                </c:pt>
                <c:pt idx="316">
                  <c:v>13</c:v>
                </c:pt>
                <c:pt idx="317">
                  <c:v>9</c:v>
                </c:pt>
                <c:pt idx="318">
                  <c:v>9</c:v>
                </c:pt>
                <c:pt idx="319">
                  <c:v>9</c:v>
                </c:pt>
                <c:pt idx="320">
                  <c:v>9</c:v>
                </c:pt>
                <c:pt idx="321">
                  <c:v>10</c:v>
                </c:pt>
                <c:pt idx="322">
                  <c:v>#N/A</c:v>
                </c:pt>
                <c:pt idx="323">
                  <c:v>#N/A</c:v>
                </c:pt>
                <c:pt idx="324">
                  <c:v>8</c:v>
                </c:pt>
                <c:pt idx="325">
                  <c:v>#N/A</c:v>
                </c:pt>
                <c:pt idx="326">
                  <c:v>9</c:v>
                </c:pt>
                <c:pt idx="327">
                  <c:v>9</c:v>
                </c:pt>
                <c:pt idx="328">
                  <c:v>9</c:v>
                </c:pt>
                <c:pt idx="329">
                  <c:v>9</c:v>
                </c:pt>
                <c:pt idx="330">
                  <c:v>5</c:v>
                </c:pt>
                <c:pt idx="331">
                  <c:v>12</c:v>
                </c:pt>
                <c:pt idx="332">
                  <c:v>9</c:v>
                </c:pt>
                <c:pt idx="333">
                  <c:v>9</c:v>
                </c:pt>
                <c:pt idx="334">
                  <c:v>13</c:v>
                </c:pt>
                <c:pt idx="335">
                  <c:v>#N/A</c:v>
                </c:pt>
                <c:pt idx="336">
                  <c:v>#N/A</c:v>
                </c:pt>
                <c:pt idx="337">
                  <c:v>10</c:v>
                </c:pt>
                <c:pt idx="338">
                  <c:v>8</c:v>
                </c:pt>
                <c:pt idx="339">
                  <c:v>4</c:v>
                </c:pt>
                <c:pt idx="340">
                  <c:v>12</c:v>
                </c:pt>
                <c:pt idx="341">
                  <c:v>#N/A</c:v>
                </c:pt>
                <c:pt idx="342">
                  <c:v>11</c:v>
                </c:pt>
                <c:pt idx="343">
                  <c:v>9</c:v>
                </c:pt>
                <c:pt idx="344">
                  <c:v>9</c:v>
                </c:pt>
                <c:pt idx="345">
                  <c:v>9</c:v>
                </c:pt>
                <c:pt idx="346">
                  <c:v>#N/A</c:v>
                </c:pt>
                <c:pt idx="347">
                  <c:v>10</c:v>
                </c:pt>
                <c:pt idx="348">
                  <c:v>9</c:v>
                </c:pt>
                <c:pt idx="349">
                  <c:v>13</c:v>
                </c:pt>
                <c:pt idx="350">
                  <c:v>#N/A</c:v>
                </c:pt>
                <c:pt idx="351">
                  <c:v>#N/A</c:v>
                </c:pt>
                <c:pt idx="352">
                  <c:v>11</c:v>
                </c:pt>
                <c:pt idx="353">
                  <c:v>#N/A</c:v>
                </c:pt>
                <c:pt idx="354">
                  <c:v>9</c:v>
                </c:pt>
                <c:pt idx="355">
                  <c:v>9</c:v>
                </c:pt>
                <c:pt idx="356">
                  <c:v>9</c:v>
                </c:pt>
                <c:pt idx="357">
                  <c:v>13</c:v>
                </c:pt>
                <c:pt idx="358">
                  <c:v>13</c:v>
                </c:pt>
                <c:pt idx="359">
                  <c:v>13</c:v>
                </c:pt>
                <c:pt idx="360">
                  <c:v>#N/A</c:v>
                </c:pt>
                <c:pt idx="361">
                  <c:v>12</c:v>
                </c:pt>
                <c:pt idx="362">
                  <c:v>7</c:v>
                </c:pt>
                <c:pt idx="363">
                  <c:v>9</c:v>
                </c:pt>
                <c:pt idx="364">
                  <c:v>9</c:v>
                </c:pt>
                <c:pt idx="365">
                  <c:v>6</c:v>
                </c:pt>
                <c:pt idx="366">
                  <c:v>7</c:v>
                </c:pt>
                <c:pt idx="367">
                  <c:v>13</c:v>
                </c:pt>
                <c:pt idx="368">
                  <c:v>14</c:v>
                </c:pt>
                <c:pt idx="369">
                  <c:v>10</c:v>
                </c:pt>
                <c:pt idx="370">
                  <c:v>10</c:v>
                </c:pt>
                <c:pt idx="371">
                  <c:v>13</c:v>
                </c:pt>
                <c:pt idx="372">
                  <c:v>13</c:v>
                </c:pt>
                <c:pt idx="373">
                  <c:v>9</c:v>
                </c:pt>
                <c:pt idx="374">
                  <c:v>3</c:v>
                </c:pt>
                <c:pt idx="375">
                  <c:v>10</c:v>
                </c:pt>
                <c:pt idx="376">
                  <c:v>#N/A</c:v>
                </c:pt>
                <c:pt idx="377">
                  <c:v>7</c:v>
                </c:pt>
                <c:pt idx="378">
                  <c:v>5</c:v>
                </c:pt>
                <c:pt idx="379">
                  <c:v>13</c:v>
                </c:pt>
                <c:pt idx="380">
                  <c:v>9</c:v>
                </c:pt>
                <c:pt idx="381">
                  <c:v>11</c:v>
                </c:pt>
                <c:pt idx="382">
                  <c:v>11</c:v>
                </c:pt>
                <c:pt idx="383">
                  <c:v>10</c:v>
                </c:pt>
                <c:pt idx="384">
                  <c:v>9</c:v>
                </c:pt>
                <c:pt idx="385">
                  <c:v>4</c:v>
                </c:pt>
                <c:pt idx="386">
                  <c:v>10</c:v>
                </c:pt>
                <c:pt idx="387">
                  <c:v>9</c:v>
                </c:pt>
                <c:pt idx="388">
                  <c:v>13</c:v>
                </c:pt>
                <c:pt idx="389">
                  <c:v>9</c:v>
                </c:pt>
                <c:pt idx="390">
                  <c:v>9</c:v>
                </c:pt>
                <c:pt idx="391">
                  <c:v>#N/A</c:v>
                </c:pt>
                <c:pt idx="392">
                  <c:v>#N/A</c:v>
                </c:pt>
                <c:pt idx="393">
                  <c:v>10</c:v>
                </c:pt>
                <c:pt idx="394">
                  <c:v>#N/A</c:v>
                </c:pt>
                <c:pt idx="395">
                  <c:v>#N/A</c:v>
                </c:pt>
                <c:pt idx="396">
                  <c:v>9</c:v>
                </c:pt>
                <c:pt idx="397">
                  <c:v>9</c:v>
                </c:pt>
                <c:pt idx="398">
                  <c:v>12</c:v>
                </c:pt>
                <c:pt idx="399">
                  <c:v>9</c:v>
                </c:pt>
                <c:pt idx="400">
                  <c:v>13</c:v>
                </c:pt>
                <c:pt idx="401">
                  <c:v>2</c:v>
                </c:pt>
                <c:pt idx="402">
                  <c:v>#N/A</c:v>
                </c:pt>
                <c:pt idx="403">
                  <c:v>9</c:v>
                </c:pt>
                <c:pt idx="404">
                  <c:v>7</c:v>
                </c:pt>
                <c:pt idx="405">
                  <c:v>10</c:v>
                </c:pt>
                <c:pt idx="406">
                  <c:v>6</c:v>
                </c:pt>
                <c:pt idx="407">
                  <c:v>6</c:v>
                </c:pt>
                <c:pt idx="408">
                  <c:v>10</c:v>
                </c:pt>
                <c:pt idx="409">
                  <c:v>#N/A</c:v>
                </c:pt>
                <c:pt idx="410">
                  <c:v>9</c:v>
                </c:pt>
                <c:pt idx="411">
                  <c:v>#N/A</c:v>
                </c:pt>
                <c:pt idx="412">
                  <c:v>9</c:v>
                </c:pt>
                <c:pt idx="413">
                  <c:v>9</c:v>
                </c:pt>
                <c:pt idx="414">
                  <c:v>#N/A</c:v>
                </c:pt>
                <c:pt idx="415">
                  <c:v>#N/A</c:v>
                </c:pt>
                <c:pt idx="416">
                  <c:v>10</c:v>
                </c:pt>
                <c:pt idx="417">
                  <c:v>6</c:v>
                </c:pt>
                <c:pt idx="418">
                  <c:v>14</c:v>
                </c:pt>
                <c:pt idx="419">
                  <c:v>#N/A</c:v>
                </c:pt>
                <c:pt idx="420">
                  <c:v>#N/A</c:v>
                </c:pt>
                <c:pt idx="421">
                  <c:v>9</c:v>
                </c:pt>
                <c:pt idx="422">
                  <c:v>9</c:v>
                </c:pt>
                <c:pt idx="423">
                  <c:v>4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10</c:v>
                </c:pt>
                <c:pt idx="428">
                  <c:v>10</c:v>
                </c:pt>
                <c:pt idx="429">
                  <c:v>9</c:v>
                </c:pt>
                <c:pt idx="430">
                  <c:v>10</c:v>
                </c:pt>
                <c:pt idx="431">
                  <c:v>10</c:v>
                </c:pt>
                <c:pt idx="432">
                  <c:v>#N/A</c:v>
                </c:pt>
                <c:pt idx="433">
                  <c:v>7</c:v>
                </c:pt>
                <c:pt idx="434">
                  <c:v>9</c:v>
                </c:pt>
                <c:pt idx="435">
                  <c:v>8</c:v>
                </c:pt>
                <c:pt idx="436">
                  <c:v>6</c:v>
                </c:pt>
                <c:pt idx="437">
                  <c:v>#N/A</c:v>
                </c:pt>
                <c:pt idx="438">
                  <c:v>#N/A</c:v>
                </c:pt>
                <c:pt idx="439">
                  <c:v>4</c:v>
                </c:pt>
                <c:pt idx="440">
                  <c:v>12</c:v>
                </c:pt>
                <c:pt idx="441">
                  <c:v>#N/A</c:v>
                </c:pt>
                <c:pt idx="442">
                  <c:v>10</c:v>
                </c:pt>
                <c:pt idx="443">
                  <c:v>10</c:v>
                </c:pt>
                <c:pt idx="444">
                  <c:v>9</c:v>
                </c:pt>
                <c:pt idx="445">
                  <c:v>13</c:v>
                </c:pt>
                <c:pt idx="446">
                  <c:v>14</c:v>
                </c:pt>
                <c:pt idx="447">
                  <c:v>#N/A</c:v>
                </c:pt>
                <c:pt idx="448">
                  <c:v>6</c:v>
                </c:pt>
                <c:pt idx="449">
                  <c:v>8</c:v>
                </c:pt>
                <c:pt idx="450">
                  <c:v>10</c:v>
                </c:pt>
                <c:pt idx="451">
                  <c:v>8</c:v>
                </c:pt>
                <c:pt idx="452">
                  <c:v>5</c:v>
                </c:pt>
                <c:pt idx="453">
                  <c:v>10</c:v>
                </c:pt>
                <c:pt idx="454">
                  <c:v>#N/A</c:v>
                </c:pt>
                <c:pt idx="455">
                  <c:v>#N/A</c:v>
                </c:pt>
                <c:pt idx="456">
                  <c:v>10</c:v>
                </c:pt>
                <c:pt idx="457">
                  <c:v>#N/A</c:v>
                </c:pt>
                <c:pt idx="458">
                  <c:v>#N/A</c:v>
                </c:pt>
                <c:pt idx="459">
                  <c:v>6</c:v>
                </c:pt>
                <c:pt idx="460">
                  <c:v>10</c:v>
                </c:pt>
                <c:pt idx="461">
                  <c:v>9</c:v>
                </c:pt>
                <c:pt idx="462">
                  <c:v>9</c:v>
                </c:pt>
                <c:pt idx="463">
                  <c:v>#N/A</c:v>
                </c:pt>
                <c:pt idx="464">
                  <c:v>10</c:v>
                </c:pt>
                <c:pt idx="465">
                  <c:v>10</c:v>
                </c:pt>
                <c:pt idx="466">
                  <c:v>10</c:v>
                </c:pt>
                <c:pt idx="467">
                  <c:v>9</c:v>
                </c:pt>
                <c:pt idx="468">
                  <c:v>10</c:v>
                </c:pt>
                <c:pt idx="469">
                  <c:v>10</c:v>
                </c:pt>
                <c:pt idx="470">
                  <c:v>13</c:v>
                </c:pt>
                <c:pt idx="471">
                  <c:v>7</c:v>
                </c:pt>
                <c:pt idx="472">
                  <c:v>9</c:v>
                </c:pt>
                <c:pt idx="473">
                  <c:v>9</c:v>
                </c:pt>
                <c:pt idx="474">
                  <c:v>#N/A</c:v>
                </c:pt>
                <c:pt idx="475">
                  <c:v>6</c:v>
                </c:pt>
                <c:pt idx="476">
                  <c:v>9</c:v>
                </c:pt>
                <c:pt idx="477">
                  <c:v>#N/A</c:v>
                </c:pt>
                <c:pt idx="478">
                  <c:v>#N/A</c:v>
                </c:pt>
                <c:pt idx="479">
                  <c:v>6</c:v>
                </c:pt>
                <c:pt idx="480">
                  <c:v>9</c:v>
                </c:pt>
                <c:pt idx="481">
                  <c:v>8</c:v>
                </c:pt>
                <c:pt idx="482">
                  <c:v>9</c:v>
                </c:pt>
                <c:pt idx="483">
                  <c:v>9</c:v>
                </c:pt>
                <c:pt idx="484">
                  <c:v>9</c:v>
                </c:pt>
                <c:pt idx="485">
                  <c:v>11</c:v>
                </c:pt>
                <c:pt idx="486">
                  <c:v>10</c:v>
                </c:pt>
                <c:pt idx="487">
                  <c:v>#N/A</c:v>
                </c:pt>
                <c:pt idx="488">
                  <c:v>#N/A</c:v>
                </c:pt>
                <c:pt idx="489">
                  <c:v>9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9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9</c:v>
                </c:pt>
                <c:pt idx="498">
                  <c:v>13</c:v>
                </c:pt>
                <c:pt idx="499">
                  <c:v>9</c:v>
                </c:pt>
                <c:pt idx="500">
                  <c:v>10</c:v>
                </c:pt>
                <c:pt idx="501">
                  <c:v>9</c:v>
                </c:pt>
                <c:pt idx="502">
                  <c:v>#N/A</c:v>
                </c:pt>
                <c:pt idx="503">
                  <c:v>9</c:v>
                </c:pt>
                <c:pt idx="504">
                  <c:v>#N/A</c:v>
                </c:pt>
                <c:pt idx="505">
                  <c:v>10</c:v>
                </c:pt>
                <c:pt idx="506">
                  <c:v>10</c:v>
                </c:pt>
                <c:pt idx="507">
                  <c:v>#N/A</c:v>
                </c:pt>
                <c:pt idx="508">
                  <c:v>#N/A</c:v>
                </c:pt>
                <c:pt idx="509">
                  <c:v>10</c:v>
                </c:pt>
                <c:pt idx="510">
                  <c:v>9</c:v>
                </c:pt>
                <c:pt idx="511">
                  <c:v>9</c:v>
                </c:pt>
                <c:pt idx="512">
                  <c:v>13</c:v>
                </c:pt>
                <c:pt idx="513">
                  <c:v>10</c:v>
                </c:pt>
                <c:pt idx="514">
                  <c:v>6</c:v>
                </c:pt>
                <c:pt idx="515">
                  <c:v>#N/A</c:v>
                </c:pt>
                <c:pt idx="516">
                  <c:v>5</c:v>
                </c:pt>
                <c:pt idx="517">
                  <c:v>13</c:v>
                </c:pt>
                <c:pt idx="518">
                  <c:v>9</c:v>
                </c:pt>
                <c:pt idx="519">
                  <c:v>9</c:v>
                </c:pt>
                <c:pt idx="520">
                  <c:v>#N/A</c:v>
                </c:pt>
                <c:pt idx="521">
                  <c:v>9</c:v>
                </c:pt>
                <c:pt idx="522">
                  <c:v>9</c:v>
                </c:pt>
                <c:pt idx="523">
                  <c:v>7</c:v>
                </c:pt>
                <c:pt idx="524">
                  <c:v>#N/A</c:v>
                </c:pt>
                <c:pt idx="525">
                  <c:v>10</c:v>
                </c:pt>
                <c:pt idx="526">
                  <c:v>13</c:v>
                </c:pt>
                <c:pt idx="527">
                  <c:v>5</c:v>
                </c:pt>
                <c:pt idx="528">
                  <c:v>10</c:v>
                </c:pt>
                <c:pt idx="529">
                  <c:v>9</c:v>
                </c:pt>
                <c:pt idx="530">
                  <c:v>#N/A</c:v>
                </c:pt>
                <c:pt idx="531">
                  <c:v>13</c:v>
                </c:pt>
                <c:pt idx="532">
                  <c:v>9</c:v>
                </c:pt>
                <c:pt idx="533">
                  <c:v>14</c:v>
                </c:pt>
                <c:pt idx="534">
                  <c:v>10</c:v>
                </c:pt>
                <c:pt idx="535">
                  <c:v>#N/A</c:v>
                </c:pt>
                <c:pt idx="536">
                  <c:v>#N/A</c:v>
                </c:pt>
                <c:pt idx="537">
                  <c:v>4</c:v>
                </c:pt>
                <c:pt idx="538">
                  <c:v>#N/A</c:v>
                </c:pt>
                <c:pt idx="539">
                  <c:v>10</c:v>
                </c:pt>
                <c:pt idx="540">
                  <c:v>7</c:v>
                </c:pt>
                <c:pt idx="541">
                  <c:v>13</c:v>
                </c:pt>
                <c:pt idx="542">
                  <c:v>9</c:v>
                </c:pt>
                <c:pt idx="543">
                  <c:v>9</c:v>
                </c:pt>
                <c:pt idx="544">
                  <c:v>#N/A</c:v>
                </c:pt>
                <c:pt idx="545">
                  <c:v>12</c:v>
                </c:pt>
                <c:pt idx="546">
                  <c:v>13</c:v>
                </c:pt>
                <c:pt idx="547">
                  <c:v>10</c:v>
                </c:pt>
                <c:pt idx="548">
                  <c:v>9</c:v>
                </c:pt>
                <c:pt idx="549">
                  <c:v>#N/A</c:v>
                </c:pt>
                <c:pt idx="550">
                  <c:v>9</c:v>
                </c:pt>
                <c:pt idx="551">
                  <c:v>#N/A</c:v>
                </c:pt>
                <c:pt idx="552">
                  <c:v>10</c:v>
                </c:pt>
                <c:pt idx="553">
                  <c:v>13</c:v>
                </c:pt>
                <c:pt idx="554">
                  <c:v>#N/A</c:v>
                </c:pt>
                <c:pt idx="555">
                  <c:v>#N/A</c:v>
                </c:pt>
                <c:pt idx="556">
                  <c:v>4</c:v>
                </c:pt>
                <c:pt idx="557">
                  <c:v>13</c:v>
                </c:pt>
                <c:pt idx="558">
                  <c:v>#N/A</c:v>
                </c:pt>
                <c:pt idx="559">
                  <c:v>12</c:v>
                </c:pt>
                <c:pt idx="560">
                  <c:v>9</c:v>
                </c:pt>
                <c:pt idx="561">
                  <c:v>15</c:v>
                </c:pt>
                <c:pt idx="562">
                  <c:v>4</c:v>
                </c:pt>
                <c:pt idx="563">
                  <c:v>9</c:v>
                </c:pt>
                <c:pt idx="564">
                  <c:v>5</c:v>
                </c:pt>
                <c:pt idx="565">
                  <c:v>10</c:v>
                </c:pt>
                <c:pt idx="566">
                  <c:v>11</c:v>
                </c:pt>
                <c:pt idx="567">
                  <c:v>9</c:v>
                </c:pt>
                <c:pt idx="568">
                  <c:v>9</c:v>
                </c:pt>
                <c:pt idx="569">
                  <c:v>10</c:v>
                </c:pt>
                <c:pt idx="570">
                  <c:v>13</c:v>
                </c:pt>
                <c:pt idx="571">
                  <c:v>13</c:v>
                </c:pt>
                <c:pt idx="572">
                  <c:v>7</c:v>
                </c:pt>
                <c:pt idx="573">
                  <c:v>10</c:v>
                </c:pt>
                <c:pt idx="574">
                  <c:v>#N/A</c:v>
                </c:pt>
                <c:pt idx="575">
                  <c:v>#N/A</c:v>
                </c:pt>
                <c:pt idx="576">
                  <c:v>9</c:v>
                </c:pt>
                <c:pt idx="577">
                  <c:v>#N/A</c:v>
                </c:pt>
                <c:pt idx="578">
                  <c:v>9</c:v>
                </c:pt>
                <c:pt idx="579">
                  <c:v>9</c:v>
                </c:pt>
                <c:pt idx="580">
                  <c:v>#N/A</c:v>
                </c:pt>
                <c:pt idx="581">
                  <c:v>9</c:v>
                </c:pt>
                <c:pt idx="582">
                  <c:v>10</c:v>
                </c:pt>
                <c:pt idx="583">
                  <c:v>#N/A</c:v>
                </c:pt>
                <c:pt idx="584">
                  <c:v>9</c:v>
                </c:pt>
                <c:pt idx="585">
                  <c:v>#N/A</c:v>
                </c:pt>
                <c:pt idx="586">
                  <c:v>#N/A</c:v>
                </c:pt>
                <c:pt idx="587">
                  <c:v>10</c:v>
                </c:pt>
                <c:pt idx="588">
                  <c:v>9</c:v>
                </c:pt>
                <c:pt idx="589">
                  <c:v>5</c:v>
                </c:pt>
                <c:pt idx="590">
                  <c:v>10</c:v>
                </c:pt>
                <c:pt idx="591">
                  <c:v>10</c:v>
                </c:pt>
                <c:pt idx="592">
                  <c:v>9</c:v>
                </c:pt>
                <c:pt idx="593">
                  <c:v>9</c:v>
                </c:pt>
                <c:pt idx="594">
                  <c:v>#N/A</c:v>
                </c:pt>
                <c:pt idx="595">
                  <c:v>#N/A</c:v>
                </c:pt>
                <c:pt idx="596">
                  <c:v>10</c:v>
                </c:pt>
                <c:pt idx="597">
                  <c:v>#N/A</c:v>
                </c:pt>
                <c:pt idx="598">
                  <c:v>9</c:v>
                </c:pt>
                <c:pt idx="599">
                  <c:v>14</c:v>
                </c:pt>
                <c:pt idx="600">
                  <c:v>13</c:v>
                </c:pt>
                <c:pt idx="601">
                  <c:v>13</c:v>
                </c:pt>
                <c:pt idx="602">
                  <c:v>14</c:v>
                </c:pt>
                <c:pt idx="603">
                  <c:v>11</c:v>
                </c:pt>
                <c:pt idx="604">
                  <c:v>9</c:v>
                </c:pt>
                <c:pt idx="605">
                  <c:v>9</c:v>
                </c:pt>
                <c:pt idx="606">
                  <c:v>9</c:v>
                </c:pt>
                <c:pt idx="607">
                  <c:v>9</c:v>
                </c:pt>
                <c:pt idx="608">
                  <c:v>#N/A</c:v>
                </c:pt>
                <c:pt idx="609">
                  <c:v>9</c:v>
                </c:pt>
                <c:pt idx="610">
                  <c:v>9</c:v>
                </c:pt>
                <c:pt idx="611">
                  <c:v>9</c:v>
                </c:pt>
                <c:pt idx="612">
                  <c:v>#N/A</c:v>
                </c:pt>
                <c:pt idx="613">
                  <c:v>11</c:v>
                </c:pt>
                <c:pt idx="614">
                  <c:v>9</c:v>
                </c:pt>
                <c:pt idx="615">
                  <c:v>10</c:v>
                </c:pt>
                <c:pt idx="616">
                  <c:v>#N/A</c:v>
                </c:pt>
                <c:pt idx="617">
                  <c:v>13</c:v>
                </c:pt>
                <c:pt idx="618">
                  <c:v>#N/A</c:v>
                </c:pt>
                <c:pt idx="619">
                  <c:v>14</c:v>
                </c:pt>
                <c:pt idx="620">
                  <c:v>#N/A</c:v>
                </c:pt>
                <c:pt idx="621">
                  <c:v>6</c:v>
                </c:pt>
                <c:pt idx="622">
                  <c:v>10</c:v>
                </c:pt>
                <c:pt idx="623">
                  <c:v>9</c:v>
                </c:pt>
                <c:pt idx="624">
                  <c:v>9</c:v>
                </c:pt>
                <c:pt idx="625">
                  <c:v>9</c:v>
                </c:pt>
                <c:pt idx="626">
                  <c:v>#N/A</c:v>
                </c:pt>
                <c:pt idx="627">
                  <c:v>#N/A</c:v>
                </c:pt>
                <c:pt idx="628">
                  <c:v>11</c:v>
                </c:pt>
                <c:pt idx="629">
                  <c:v>13</c:v>
                </c:pt>
                <c:pt idx="630">
                  <c:v>9</c:v>
                </c:pt>
                <c:pt idx="631">
                  <c:v>6</c:v>
                </c:pt>
                <c:pt idx="632">
                  <c:v>9</c:v>
                </c:pt>
                <c:pt idx="633">
                  <c:v>10</c:v>
                </c:pt>
                <c:pt idx="634">
                  <c:v>9</c:v>
                </c:pt>
                <c:pt idx="635">
                  <c:v>#N/A</c:v>
                </c:pt>
                <c:pt idx="636">
                  <c:v>9</c:v>
                </c:pt>
                <c:pt idx="637">
                  <c:v>#N/A</c:v>
                </c:pt>
                <c:pt idx="638">
                  <c:v>4</c:v>
                </c:pt>
                <c:pt idx="639">
                  <c:v>#N/A</c:v>
                </c:pt>
                <c:pt idx="640">
                  <c:v>9</c:v>
                </c:pt>
                <c:pt idx="641">
                  <c:v>#N/A</c:v>
                </c:pt>
                <c:pt idx="642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B-4E74-915C-579F5B044D5B}"/>
            </c:ext>
          </c:extLst>
        </c:ser>
        <c:ser>
          <c:idx val="1"/>
          <c:order val="1"/>
          <c:tx>
            <c:v>&gt;50K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Data!$S$2:$S$644</c:f>
              <c:numCache>
                <c:formatCode>General</c:formatCode>
                <c:ptCount val="6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54</c:v>
                </c:pt>
                <c:pt idx="10">
                  <c:v>30</c:v>
                </c:pt>
                <c:pt idx="11">
                  <c:v>42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40</c:v>
                </c:pt>
                <c:pt idx="19">
                  <c:v>37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50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51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55</c:v>
                </c:pt>
                <c:pt idx="51">
                  <c:v>39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30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48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51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36</c:v>
                </c:pt>
                <c:pt idx="72">
                  <c:v>#N/A</c:v>
                </c:pt>
                <c:pt idx="73">
                  <c:v>59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51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38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29</c:v>
                </c:pt>
                <c:pt idx="97">
                  <c:v>34</c:v>
                </c:pt>
                <c:pt idx="98">
                  <c:v>42</c:v>
                </c:pt>
                <c:pt idx="99">
                  <c:v>39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39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53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48</c:v>
                </c:pt>
                <c:pt idx="133">
                  <c:v>#N/A</c:v>
                </c:pt>
                <c:pt idx="134">
                  <c:v>33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45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63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43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32</c:v>
                </c:pt>
                <c:pt idx="166">
                  <c:v>#N/A</c:v>
                </c:pt>
                <c:pt idx="167">
                  <c:v>#N/A</c:v>
                </c:pt>
                <c:pt idx="168">
                  <c:v>34</c:v>
                </c:pt>
                <c:pt idx="169">
                  <c:v>48</c:v>
                </c:pt>
                <c:pt idx="170">
                  <c:v>#N/A</c:v>
                </c:pt>
                <c:pt idx="171">
                  <c:v>#N/A</c:v>
                </c:pt>
                <c:pt idx="172">
                  <c:v>43</c:v>
                </c:pt>
                <c:pt idx="173">
                  <c:v>#N/A</c:v>
                </c:pt>
                <c:pt idx="174">
                  <c:v>27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27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56</c:v>
                </c:pt>
                <c:pt idx="184">
                  <c:v>25</c:v>
                </c:pt>
                <c:pt idx="185">
                  <c:v>#N/A</c:v>
                </c:pt>
                <c:pt idx="186">
                  <c:v>#N/A</c:v>
                </c:pt>
                <c:pt idx="187">
                  <c:v>34</c:v>
                </c:pt>
                <c:pt idx="188">
                  <c:v>#N/A</c:v>
                </c:pt>
                <c:pt idx="189">
                  <c:v>50</c:v>
                </c:pt>
                <c:pt idx="190">
                  <c:v>#N/A</c:v>
                </c:pt>
                <c:pt idx="191">
                  <c:v>#N/A</c:v>
                </c:pt>
                <c:pt idx="192">
                  <c:v>41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59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48</c:v>
                </c:pt>
                <c:pt idx="209">
                  <c:v>#N/A</c:v>
                </c:pt>
                <c:pt idx="210">
                  <c:v>#N/A</c:v>
                </c:pt>
                <c:pt idx="211">
                  <c:v>46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55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60</c:v>
                </c:pt>
                <c:pt idx="227">
                  <c:v>28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62</c:v>
                </c:pt>
                <c:pt idx="235">
                  <c:v>41</c:v>
                </c:pt>
                <c:pt idx="236">
                  <c:v>40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54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36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51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52</c:v>
                </c:pt>
                <c:pt idx="263">
                  <c:v>#N/A</c:v>
                </c:pt>
                <c:pt idx="264">
                  <c:v>54</c:v>
                </c:pt>
                <c:pt idx="265">
                  <c:v>#N/A</c:v>
                </c:pt>
                <c:pt idx="266">
                  <c:v>57</c:v>
                </c:pt>
                <c:pt idx="267">
                  <c:v>#N/A</c:v>
                </c:pt>
                <c:pt idx="268">
                  <c:v>#N/A</c:v>
                </c:pt>
                <c:pt idx="269">
                  <c:v>66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47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46</c:v>
                </c:pt>
                <c:pt idx="284">
                  <c:v>#N/A</c:v>
                </c:pt>
                <c:pt idx="285">
                  <c:v>#N/A</c:v>
                </c:pt>
                <c:pt idx="286">
                  <c:v>65</c:v>
                </c:pt>
                <c:pt idx="287">
                  <c:v>#N/A</c:v>
                </c:pt>
                <c:pt idx="288">
                  <c:v>#N/A</c:v>
                </c:pt>
                <c:pt idx="289">
                  <c:v>68</c:v>
                </c:pt>
                <c:pt idx="290">
                  <c:v>#N/A</c:v>
                </c:pt>
                <c:pt idx="291">
                  <c:v>#N/A</c:v>
                </c:pt>
                <c:pt idx="292">
                  <c:v>32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36</c:v>
                </c:pt>
                <c:pt idx="298">
                  <c:v>42</c:v>
                </c:pt>
                <c:pt idx="299">
                  <c:v>#N/A</c:v>
                </c:pt>
                <c:pt idx="300">
                  <c:v>#N/A</c:v>
                </c:pt>
                <c:pt idx="301">
                  <c:v>35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60</c:v>
                </c:pt>
                <c:pt idx="308">
                  <c:v>#N/A</c:v>
                </c:pt>
                <c:pt idx="309">
                  <c:v>53</c:v>
                </c:pt>
                <c:pt idx="310">
                  <c:v>#N/A</c:v>
                </c:pt>
                <c:pt idx="311">
                  <c:v>#N/A</c:v>
                </c:pt>
                <c:pt idx="312">
                  <c:v>51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49</c:v>
                </c:pt>
                <c:pt idx="323">
                  <c:v>36</c:v>
                </c:pt>
                <c:pt idx="324">
                  <c:v>#N/A</c:v>
                </c:pt>
                <c:pt idx="325">
                  <c:v>43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32</c:v>
                </c:pt>
                <c:pt idx="336">
                  <c:v>43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34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32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41</c:v>
                </c:pt>
                <c:pt idx="351">
                  <c:v>28</c:v>
                </c:pt>
                <c:pt idx="352">
                  <c:v>#N/A</c:v>
                </c:pt>
                <c:pt idx="353">
                  <c:v>44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61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54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45</c:v>
                </c:pt>
                <c:pt idx="392">
                  <c:v>46</c:v>
                </c:pt>
                <c:pt idx="393">
                  <c:v>#N/A</c:v>
                </c:pt>
                <c:pt idx="394">
                  <c:v>47</c:v>
                </c:pt>
                <c:pt idx="395">
                  <c:v>39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30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40</c:v>
                </c:pt>
                <c:pt idx="410">
                  <c:v>#N/A</c:v>
                </c:pt>
                <c:pt idx="411">
                  <c:v>56</c:v>
                </c:pt>
                <c:pt idx="412">
                  <c:v>#N/A</c:v>
                </c:pt>
                <c:pt idx="413">
                  <c:v>#N/A</c:v>
                </c:pt>
                <c:pt idx="414">
                  <c:v>33</c:v>
                </c:pt>
                <c:pt idx="415">
                  <c:v>64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40</c:v>
                </c:pt>
                <c:pt idx="420">
                  <c:v>36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59</c:v>
                </c:pt>
                <c:pt idx="425">
                  <c:v>35</c:v>
                </c:pt>
                <c:pt idx="426">
                  <c:v>42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51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45</c:v>
                </c:pt>
                <c:pt idx="438">
                  <c:v>58</c:v>
                </c:pt>
                <c:pt idx="439">
                  <c:v>#N/A</c:v>
                </c:pt>
                <c:pt idx="440">
                  <c:v>#N/A</c:v>
                </c:pt>
                <c:pt idx="441">
                  <c:v>34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38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47</c:v>
                </c:pt>
                <c:pt idx="455">
                  <c:v>58</c:v>
                </c:pt>
                <c:pt idx="456">
                  <c:v>#N/A</c:v>
                </c:pt>
                <c:pt idx="457">
                  <c:v>42</c:v>
                </c:pt>
                <c:pt idx="458">
                  <c:v>48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59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54</c:v>
                </c:pt>
                <c:pt idx="475">
                  <c:v>#N/A</c:v>
                </c:pt>
                <c:pt idx="476">
                  <c:v>#N/A</c:v>
                </c:pt>
                <c:pt idx="477">
                  <c:v>62</c:v>
                </c:pt>
                <c:pt idx="478">
                  <c:v>56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45</c:v>
                </c:pt>
                <c:pt idx="488">
                  <c:v>45</c:v>
                </c:pt>
                <c:pt idx="489">
                  <c:v>#N/A</c:v>
                </c:pt>
                <c:pt idx="490">
                  <c:v>40</c:v>
                </c:pt>
                <c:pt idx="491">
                  <c:v>32</c:v>
                </c:pt>
                <c:pt idx="492">
                  <c:v>37</c:v>
                </c:pt>
                <c:pt idx="493">
                  <c:v>#N/A</c:v>
                </c:pt>
                <c:pt idx="494">
                  <c:v>35</c:v>
                </c:pt>
                <c:pt idx="495">
                  <c:v>35</c:v>
                </c:pt>
                <c:pt idx="496">
                  <c:v>59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42</c:v>
                </c:pt>
                <c:pt idx="503">
                  <c:v>#N/A</c:v>
                </c:pt>
                <c:pt idx="504">
                  <c:v>31</c:v>
                </c:pt>
                <c:pt idx="505">
                  <c:v>#N/A</c:v>
                </c:pt>
                <c:pt idx="506">
                  <c:v>#N/A</c:v>
                </c:pt>
                <c:pt idx="507">
                  <c:v>47</c:v>
                </c:pt>
                <c:pt idx="508">
                  <c:v>37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40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54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22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65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45</c:v>
                </c:pt>
                <c:pt idx="536">
                  <c:v>61</c:v>
                </c:pt>
                <c:pt idx="537">
                  <c:v>#N/A</c:v>
                </c:pt>
                <c:pt idx="538">
                  <c:v>60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36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49</c:v>
                </c:pt>
                <c:pt idx="550">
                  <c:v>#N/A</c:v>
                </c:pt>
                <c:pt idx="551">
                  <c:v>62</c:v>
                </c:pt>
                <c:pt idx="552">
                  <c:v>#N/A</c:v>
                </c:pt>
                <c:pt idx="553">
                  <c:v>#N/A</c:v>
                </c:pt>
                <c:pt idx="554">
                  <c:v>43</c:v>
                </c:pt>
                <c:pt idx="555">
                  <c:v>36</c:v>
                </c:pt>
                <c:pt idx="556">
                  <c:v>#N/A</c:v>
                </c:pt>
                <c:pt idx="557">
                  <c:v>#N/A</c:v>
                </c:pt>
                <c:pt idx="558">
                  <c:v>32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60</c:v>
                </c:pt>
                <c:pt idx="575">
                  <c:v>38</c:v>
                </c:pt>
                <c:pt idx="576">
                  <c:v>#N/A</c:v>
                </c:pt>
                <c:pt idx="577">
                  <c:v>50</c:v>
                </c:pt>
                <c:pt idx="578">
                  <c:v>#N/A</c:v>
                </c:pt>
                <c:pt idx="579">
                  <c:v>#N/A</c:v>
                </c:pt>
                <c:pt idx="580">
                  <c:v>45</c:v>
                </c:pt>
                <c:pt idx="581">
                  <c:v>#N/A</c:v>
                </c:pt>
                <c:pt idx="582">
                  <c:v>#N/A</c:v>
                </c:pt>
                <c:pt idx="583">
                  <c:v>39</c:v>
                </c:pt>
                <c:pt idx="584">
                  <c:v>#N/A</c:v>
                </c:pt>
                <c:pt idx="585">
                  <c:v>32</c:v>
                </c:pt>
                <c:pt idx="586">
                  <c:v>41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60</c:v>
                </c:pt>
                <c:pt idx="595">
                  <c:v>45</c:v>
                </c:pt>
                <c:pt idx="596">
                  <c:v>#N/A</c:v>
                </c:pt>
                <c:pt idx="597">
                  <c:v>81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37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46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41</c:v>
                </c:pt>
                <c:pt idx="617">
                  <c:v>#N/A</c:v>
                </c:pt>
                <c:pt idx="618">
                  <c:v>39</c:v>
                </c:pt>
                <c:pt idx="619">
                  <c:v>#N/A</c:v>
                </c:pt>
                <c:pt idx="620">
                  <c:v>37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42</c:v>
                </c:pt>
                <c:pt idx="627">
                  <c:v>57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66</c:v>
                </c:pt>
                <c:pt idx="636">
                  <c:v>#N/A</c:v>
                </c:pt>
                <c:pt idx="637">
                  <c:v>41</c:v>
                </c:pt>
                <c:pt idx="638">
                  <c:v>#N/A</c:v>
                </c:pt>
                <c:pt idx="639">
                  <c:v>54</c:v>
                </c:pt>
                <c:pt idx="640">
                  <c:v>#N/A</c:v>
                </c:pt>
                <c:pt idx="641">
                  <c:v>30</c:v>
                </c:pt>
                <c:pt idx="642">
                  <c:v>#N/A</c:v>
                </c:pt>
              </c:numCache>
            </c:numRef>
          </c:xVal>
          <c:yVal>
            <c:numRef>
              <c:f>Data!$T$2:$T$644</c:f>
              <c:numCache>
                <c:formatCode>General</c:formatCode>
                <c:ptCount val="64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13</c:v>
                </c:pt>
                <c:pt idx="10">
                  <c:v>13</c:v>
                </c:pt>
                <c:pt idx="11">
                  <c:v>9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14</c:v>
                </c:pt>
                <c:pt idx="19">
                  <c:v>9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10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11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15</c:v>
                </c:pt>
                <c:pt idx="51">
                  <c:v>11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13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13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13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13</c:v>
                </c:pt>
                <c:pt idx="72">
                  <c:v>#N/A</c:v>
                </c:pt>
                <c:pt idx="73">
                  <c:v>11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9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10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13</c:v>
                </c:pt>
                <c:pt idx="97">
                  <c:v>9</c:v>
                </c:pt>
                <c:pt idx="98">
                  <c:v>15</c:v>
                </c:pt>
                <c:pt idx="99">
                  <c:v>9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13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10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15</c:v>
                </c:pt>
                <c:pt idx="133">
                  <c:v>#N/A</c:v>
                </c:pt>
                <c:pt idx="134">
                  <c:v>9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15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9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10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15</c:v>
                </c:pt>
                <c:pt idx="166">
                  <c:v>#N/A</c:v>
                </c:pt>
                <c:pt idx="167">
                  <c:v>#N/A</c:v>
                </c:pt>
                <c:pt idx="168">
                  <c:v>11</c:v>
                </c:pt>
                <c:pt idx="169">
                  <c:v>13</c:v>
                </c:pt>
                <c:pt idx="170">
                  <c:v>#N/A</c:v>
                </c:pt>
                <c:pt idx="171">
                  <c:v>#N/A</c:v>
                </c:pt>
                <c:pt idx="172">
                  <c:v>13</c:v>
                </c:pt>
                <c:pt idx="173">
                  <c:v>#N/A</c:v>
                </c:pt>
                <c:pt idx="174">
                  <c:v>10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9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13</c:v>
                </c:pt>
                <c:pt idx="184">
                  <c:v>9</c:v>
                </c:pt>
                <c:pt idx="185">
                  <c:v>#N/A</c:v>
                </c:pt>
                <c:pt idx="186">
                  <c:v>#N/A</c:v>
                </c:pt>
                <c:pt idx="187">
                  <c:v>10</c:v>
                </c:pt>
                <c:pt idx="188">
                  <c:v>#N/A</c:v>
                </c:pt>
                <c:pt idx="189">
                  <c:v>9</c:v>
                </c:pt>
                <c:pt idx="190">
                  <c:v>#N/A</c:v>
                </c:pt>
                <c:pt idx="191">
                  <c:v>#N/A</c:v>
                </c:pt>
                <c:pt idx="192">
                  <c:v>16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10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10</c:v>
                </c:pt>
                <c:pt idx="209">
                  <c:v>#N/A</c:v>
                </c:pt>
                <c:pt idx="210">
                  <c:v>#N/A</c:v>
                </c:pt>
                <c:pt idx="211">
                  <c:v>12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14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9</c:v>
                </c:pt>
                <c:pt idx="227">
                  <c:v>13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13</c:v>
                </c:pt>
                <c:pt idx="235">
                  <c:v>11</c:v>
                </c:pt>
                <c:pt idx="236">
                  <c:v>10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10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9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9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15</c:v>
                </c:pt>
                <c:pt idx="263">
                  <c:v>#N/A</c:v>
                </c:pt>
                <c:pt idx="264">
                  <c:v>14</c:v>
                </c:pt>
                <c:pt idx="265">
                  <c:v>#N/A</c:v>
                </c:pt>
                <c:pt idx="266">
                  <c:v>9</c:v>
                </c:pt>
                <c:pt idx="267">
                  <c:v>#N/A</c:v>
                </c:pt>
                <c:pt idx="268">
                  <c:v>#N/A</c:v>
                </c:pt>
                <c:pt idx="269">
                  <c:v>9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13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13</c:v>
                </c:pt>
                <c:pt idx="284">
                  <c:v>#N/A</c:v>
                </c:pt>
                <c:pt idx="285">
                  <c:v>#N/A</c:v>
                </c:pt>
                <c:pt idx="286">
                  <c:v>13</c:v>
                </c:pt>
                <c:pt idx="287">
                  <c:v>#N/A</c:v>
                </c:pt>
                <c:pt idx="288">
                  <c:v>#N/A</c:v>
                </c:pt>
                <c:pt idx="289">
                  <c:v>9</c:v>
                </c:pt>
                <c:pt idx="290">
                  <c:v>#N/A</c:v>
                </c:pt>
                <c:pt idx="291">
                  <c:v>#N/A</c:v>
                </c:pt>
                <c:pt idx="292">
                  <c:v>11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7</c:v>
                </c:pt>
                <c:pt idx="298">
                  <c:v>9</c:v>
                </c:pt>
                <c:pt idx="299">
                  <c:v>#N/A</c:v>
                </c:pt>
                <c:pt idx="300">
                  <c:v>#N/A</c:v>
                </c:pt>
                <c:pt idx="301">
                  <c:v>13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13</c:v>
                </c:pt>
                <c:pt idx="308">
                  <c:v>#N/A</c:v>
                </c:pt>
                <c:pt idx="309">
                  <c:v>16</c:v>
                </c:pt>
                <c:pt idx="310">
                  <c:v>#N/A</c:v>
                </c:pt>
                <c:pt idx="311">
                  <c:v>#N/A</c:v>
                </c:pt>
                <c:pt idx="312">
                  <c:v>14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13</c:v>
                </c:pt>
                <c:pt idx="323">
                  <c:v>9</c:v>
                </c:pt>
                <c:pt idx="324">
                  <c:v>#N/A</c:v>
                </c:pt>
                <c:pt idx="325">
                  <c:v>14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11</c:v>
                </c:pt>
                <c:pt idx="336">
                  <c:v>13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16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12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10</c:v>
                </c:pt>
                <c:pt idx="351">
                  <c:v>12</c:v>
                </c:pt>
                <c:pt idx="352">
                  <c:v>#N/A</c:v>
                </c:pt>
                <c:pt idx="353">
                  <c:v>7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10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6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13</c:v>
                </c:pt>
                <c:pt idx="392">
                  <c:v>14</c:v>
                </c:pt>
                <c:pt idx="393">
                  <c:v>#N/A</c:v>
                </c:pt>
                <c:pt idx="394">
                  <c:v>9</c:v>
                </c:pt>
                <c:pt idx="395">
                  <c:v>10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10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12</c:v>
                </c:pt>
                <c:pt idx="410">
                  <c:v>#N/A</c:v>
                </c:pt>
                <c:pt idx="411">
                  <c:v>10</c:v>
                </c:pt>
                <c:pt idx="412">
                  <c:v>#N/A</c:v>
                </c:pt>
                <c:pt idx="413">
                  <c:v>#N/A</c:v>
                </c:pt>
                <c:pt idx="414">
                  <c:v>13</c:v>
                </c:pt>
                <c:pt idx="415">
                  <c:v>15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15</c:v>
                </c:pt>
                <c:pt idx="420">
                  <c:v>10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6</c:v>
                </c:pt>
                <c:pt idx="425">
                  <c:v>9</c:v>
                </c:pt>
                <c:pt idx="426">
                  <c:v>13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9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16</c:v>
                </c:pt>
                <c:pt idx="438">
                  <c:v>9</c:v>
                </c:pt>
                <c:pt idx="439">
                  <c:v>#N/A</c:v>
                </c:pt>
                <c:pt idx="440">
                  <c:v>#N/A</c:v>
                </c:pt>
                <c:pt idx="441">
                  <c:v>13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13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13</c:v>
                </c:pt>
                <c:pt idx="455">
                  <c:v>9</c:v>
                </c:pt>
                <c:pt idx="456">
                  <c:v>#N/A</c:v>
                </c:pt>
                <c:pt idx="457">
                  <c:v>9</c:v>
                </c:pt>
                <c:pt idx="458">
                  <c:v>13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9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9</c:v>
                </c:pt>
                <c:pt idx="475">
                  <c:v>#N/A</c:v>
                </c:pt>
                <c:pt idx="476">
                  <c:v>#N/A</c:v>
                </c:pt>
                <c:pt idx="477">
                  <c:v>13</c:v>
                </c:pt>
                <c:pt idx="478">
                  <c:v>13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13</c:v>
                </c:pt>
                <c:pt idx="488">
                  <c:v>14</c:v>
                </c:pt>
                <c:pt idx="489">
                  <c:v>#N/A</c:v>
                </c:pt>
                <c:pt idx="490">
                  <c:v>16</c:v>
                </c:pt>
                <c:pt idx="491">
                  <c:v>13</c:v>
                </c:pt>
                <c:pt idx="492">
                  <c:v>13</c:v>
                </c:pt>
                <c:pt idx="493">
                  <c:v>#N/A</c:v>
                </c:pt>
                <c:pt idx="494">
                  <c:v>13</c:v>
                </c:pt>
                <c:pt idx="495">
                  <c:v>9</c:v>
                </c:pt>
                <c:pt idx="496">
                  <c:v>13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15</c:v>
                </c:pt>
                <c:pt idx="503">
                  <c:v>#N/A</c:v>
                </c:pt>
                <c:pt idx="504">
                  <c:v>13</c:v>
                </c:pt>
                <c:pt idx="505">
                  <c:v>#N/A</c:v>
                </c:pt>
                <c:pt idx="506">
                  <c:v>#N/A</c:v>
                </c:pt>
                <c:pt idx="507">
                  <c:v>11</c:v>
                </c:pt>
                <c:pt idx="508">
                  <c:v>13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13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14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12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14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10</c:v>
                </c:pt>
                <c:pt idx="536">
                  <c:v>10</c:v>
                </c:pt>
                <c:pt idx="537">
                  <c:v>#N/A</c:v>
                </c:pt>
                <c:pt idx="538">
                  <c:v>10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9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9</c:v>
                </c:pt>
                <c:pt idx="550">
                  <c:v>#N/A</c:v>
                </c:pt>
                <c:pt idx="551">
                  <c:v>13</c:v>
                </c:pt>
                <c:pt idx="552">
                  <c:v>#N/A</c:v>
                </c:pt>
                <c:pt idx="553">
                  <c:v>#N/A</c:v>
                </c:pt>
                <c:pt idx="554">
                  <c:v>13</c:v>
                </c:pt>
                <c:pt idx="555">
                  <c:v>13</c:v>
                </c:pt>
                <c:pt idx="556">
                  <c:v>#N/A</c:v>
                </c:pt>
                <c:pt idx="557">
                  <c:v>#N/A</c:v>
                </c:pt>
                <c:pt idx="558">
                  <c:v>12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11</c:v>
                </c:pt>
                <c:pt idx="575">
                  <c:v>10</c:v>
                </c:pt>
                <c:pt idx="576">
                  <c:v>#N/A</c:v>
                </c:pt>
                <c:pt idx="577">
                  <c:v>15</c:v>
                </c:pt>
                <c:pt idx="578">
                  <c:v>#N/A</c:v>
                </c:pt>
                <c:pt idx="579">
                  <c:v>#N/A</c:v>
                </c:pt>
                <c:pt idx="580">
                  <c:v>11</c:v>
                </c:pt>
                <c:pt idx="581">
                  <c:v>#N/A</c:v>
                </c:pt>
                <c:pt idx="582">
                  <c:v>#N/A</c:v>
                </c:pt>
                <c:pt idx="583">
                  <c:v>10</c:v>
                </c:pt>
                <c:pt idx="584">
                  <c:v>#N/A</c:v>
                </c:pt>
                <c:pt idx="585">
                  <c:v>10</c:v>
                </c:pt>
                <c:pt idx="586">
                  <c:v>9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3</c:v>
                </c:pt>
                <c:pt idx="595">
                  <c:v>13</c:v>
                </c:pt>
                <c:pt idx="596">
                  <c:v>#N/A</c:v>
                </c:pt>
                <c:pt idx="597">
                  <c:v>15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12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10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13</c:v>
                </c:pt>
                <c:pt idx="617">
                  <c:v>#N/A</c:v>
                </c:pt>
                <c:pt idx="618">
                  <c:v>12</c:v>
                </c:pt>
                <c:pt idx="619">
                  <c:v>#N/A</c:v>
                </c:pt>
                <c:pt idx="620">
                  <c:v>10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10</c:v>
                </c:pt>
                <c:pt idx="627">
                  <c:v>16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13</c:v>
                </c:pt>
                <c:pt idx="636">
                  <c:v>#N/A</c:v>
                </c:pt>
                <c:pt idx="637">
                  <c:v>10</c:v>
                </c:pt>
                <c:pt idx="638">
                  <c:v>#N/A</c:v>
                </c:pt>
                <c:pt idx="639">
                  <c:v>14</c:v>
                </c:pt>
                <c:pt idx="640">
                  <c:v>#N/A</c:v>
                </c:pt>
                <c:pt idx="641">
                  <c:v>10</c:v>
                </c:pt>
                <c:pt idx="64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B5B-4E74-915C-579F5B044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536512"/>
        <c:axId val="1691537472"/>
      </c:scatterChart>
      <c:valAx>
        <c:axId val="169153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37472"/>
        <c:crosses val="autoZero"/>
        <c:crossBetween val="midCat"/>
      </c:valAx>
      <c:valAx>
        <c:axId val="169153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53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  <cx:data id="1">
      <cx:numDim type="val">
        <cx:f>_xlchart.v1.7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hours-per-week</a:t>
            </a:r>
            <a:r>
              <a:rPr lang="en-US"/>
              <a:t> dla kobiet i mężczyzn</a:t>
            </a:r>
            <a:endPara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boxWhisker" uniqueId="{7BC347FB-F3ED-49EB-9727-B9A2273EAD0B}">
          <cx:tx>
            <cx:txData>
              <cx:f>_xlchart.v1.4</cx:f>
              <cx:v>Female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A62DEEB3-2915-43D5-A23E-022C4C340B0A}">
          <cx:tx>
            <cx:txData>
              <cx:f>_xlchart.v1.6</cx:f>
              <cx:v>Male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5</xdr:row>
      <xdr:rowOff>19050</xdr:rowOff>
    </xdr:from>
    <xdr:to>
      <xdr:col>3</xdr:col>
      <xdr:colOff>2609851</xdr:colOff>
      <xdr:row>19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E66E2650-E710-42B6-83BF-CCE5711F92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5325" y="2305050"/>
              <a:ext cx="5495926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3</xdr:col>
      <xdr:colOff>2743200</xdr:colOff>
      <xdr:row>4</xdr:row>
      <xdr:rowOff>161925</xdr:rowOff>
    </xdr:from>
    <xdr:to>
      <xdr:col>12</xdr:col>
      <xdr:colOff>200025</xdr:colOff>
      <xdr:row>29</xdr:row>
      <xdr:rowOff>23813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CDB5940-C7CB-43A4-A158-BB2B4DF88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514350</xdr:colOff>
      <xdr:row>22</xdr:row>
      <xdr:rowOff>119062</xdr:rowOff>
    </xdr:from>
    <xdr:to>
      <xdr:col>3</xdr:col>
      <xdr:colOff>2190750</xdr:colOff>
      <xdr:row>37</xdr:row>
      <xdr:rowOff>4762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216DD603-B00D-342E-F47C-F385956B5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Zad2/adult-proba.xlsx" TargetMode="External"/><Relationship Id="rId2" Type="http://schemas.openxmlformats.org/officeDocument/2006/relationships/externalLinkPath" Target="file:///D:\agh\Eksploracja-danych\lab1\Zad2\adult-proba.xlsx" TargetMode="External"/><Relationship Id="rId1" Type="http://schemas.openxmlformats.org/officeDocument/2006/relationships/externalLinkPath" Target="/agh/Eksploracja-danych/lab1/Zad2/adult-pro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b_histogram"/>
      <sheetName val="6_3Sigma"/>
      <sheetName val="9_tabela"/>
      <sheetName val="10_korelacja"/>
      <sheetName val="11_regresja"/>
      <sheetName val="Data"/>
      <sheetName val="Scatter"/>
      <sheetName val="Gestosc"/>
    </sheetNames>
    <sheetDataSet>
      <sheetData sheetId="0"/>
      <sheetData sheetId="1"/>
      <sheetData sheetId="2"/>
      <sheetData sheetId="3"/>
      <sheetData sheetId="4"/>
      <sheetData sheetId="5">
        <row r="1">
          <cell r="Q1" t="str">
            <v>Female</v>
          </cell>
          <cell r="R1" t="str">
            <v>Male</v>
          </cell>
        </row>
        <row r="2">
          <cell r="Q2">
            <v>22</v>
          </cell>
          <cell r="R2" t="e">
            <v>#N/A</v>
          </cell>
        </row>
        <row r="3">
          <cell r="Q3">
            <v>60</v>
          </cell>
          <cell r="R3" t="e">
            <v>#N/A</v>
          </cell>
        </row>
        <row r="4">
          <cell r="Q4">
            <v>40</v>
          </cell>
          <cell r="R4" t="e">
            <v>#N/A</v>
          </cell>
        </row>
        <row r="5">
          <cell r="Q5">
            <v>45</v>
          </cell>
          <cell r="R5" t="e">
            <v>#N/A</v>
          </cell>
        </row>
        <row r="6">
          <cell r="Q6" t="e">
            <v>#N/A</v>
          </cell>
          <cell r="R6">
            <v>50</v>
          </cell>
        </row>
        <row r="7">
          <cell r="Q7" t="e">
            <v>#N/A</v>
          </cell>
          <cell r="R7">
            <v>40</v>
          </cell>
        </row>
        <row r="8">
          <cell r="Q8" t="e">
            <v>#N/A</v>
          </cell>
          <cell r="R8">
            <v>40</v>
          </cell>
        </row>
        <row r="9">
          <cell r="Q9" t="e">
            <v>#N/A</v>
          </cell>
          <cell r="R9">
            <v>20</v>
          </cell>
        </row>
        <row r="10">
          <cell r="Q10">
            <v>32</v>
          </cell>
          <cell r="R10" t="e">
            <v>#N/A</v>
          </cell>
        </row>
        <row r="11">
          <cell r="Q11" t="e">
            <v>#N/A</v>
          </cell>
          <cell r="R11">
            <v>35</v>
          </cell>
        </row>
        <row r="12">
          <cell r="Q12">
            <v>40</v>
          </cell>
          <cell r="R12" t="e">
            <v>#N/A</v>
          </cell>
        </row>
        <row r="13">
          <cell r="Q13" t="e">
            <v>#N/A</v>
          </cell>
          <cell r="R13">
            <v>40</v>
          </cell>
        </row>
        <row r="14">
          <cell r="Q14" t="e">
            <v>#N/A</v>
          </cell>
          <cell r="R14">
            <v>30</v>
          </cell>
        </row>
        <row r="15">
          <cell r="Q15">
            <v>40</v>
          </cell>
          <cell r="R15" t="e">
            <v>#N/A</v>
          </cell>
        </row>
        <row r="16">
          <cell r="Q16">
            <v>40</v>
          </cell>
          <cell r="R16" t="e">
            <v>#N/A</v>
          </cell>
        </row>
        <row r="17">
          <cell r="Q17">
            <v>40</v>
          </cell>
          <cell r="R17" t="e">
            <v>#N/A</v>
          </cell>
        </row>
        <row r="18">
          <cell r="Q18">
            <v>40</v>
          </cell>
          <cell r="R18" t="e">
            <v>#N/A</v>
          </cell>
        </row>
        <row r="19">
          <cell r="Q19" t="e">
            <v>#N/A</v>
          </cell>
          <cell r="R19">
            <v>50</v>
          </cell>
        </row>
        <row r="20">
          <cell r="Q20" t="e">
            <v>#N/A</v>
          </cell>
          <cell r="R20">
            <v>35</v>
          </cell>
        </row>
        <row r="21">
          <cell r="Q21" t="e">
            <v>#N/A</v>
          </cell>
          <cell r="R21">
            <v>50</v>
          </cell>
        </row>
        <row r="22">
          <cell r="Q22">
            <v>40</v>
          </cell>
          <cell r="R22" t="e">
            <v>#N/A</v>
          </cell>
        </row>
        <row r="23">
          <cell r="Q23">
            <v>30</v>
          </cell>
          <cell r="R23" t="e">
            <v>#N/A</v>
          </cell>
        </row>
        <row r="24">
          <cell r="Q24" t="e">
            <v>#N/A</v>
          </cell>
          <cell r="R24">
            <v>40</v>
          </cell>
        </row>
        <row r="25">
          <cell r="Q25" t="e">
            <v>#N/A</v>
          </cell>
          <cell r="R25">
            <v>60</v>
          </cell>
        </row>
        <row r="26">
          <cell r="Q26" t="e">
            <v>#N/A</v>
          </cell>
          <cell r="R26">
            <v>20</v>
          </cell>
        </row>
        <row r="27">
          <cell r="Q27">
            <v>24</v>
          </cell>
          <cell r="R27" t="e">
            <v>#N/A</v>
          </cell>
        </row>
        <row r="28">
          <cell r="Q28" t="e">
            <v>#N/A</v>
          </cell>
          <cell r="R28">
            <v>50</v>
          </cell>
        </row>
        <row r="29">
          <cell r="Q29" t="e">
            <v>#N/A</v>
          </cell>
          <cell r="R29">
            <v>40</v>
          </cell>
        </row>
        <row r="30">
          <cell r="Q30" t="e">
            <v>#N/A</v>
          </cell>
          <cell r="R30">
            <v>40</v>
          </cell>
        </row>
        <row r="31">
          <cell r="Q31" t="e">
            <v>#N/A</v>
          </cell>
          <cell r="R31">
            <v>40</v>
          </cell>
        </row>
        <row r="32">
          <cell r="Q32" t="e">
            <v>#N/A</v>
          </cell>
          <cell r="R32">
            <v>50</v>
          </cell>
        </row>
        <row r="33">
          <cell r="Q33" t="e">
            <v>#N/A</v>
          </cell>
          <cell r="R33">
            <v>40</v>
          </cell>
        </row>
        <row r="34">
          <cell r="Q34">
            <v>35</v>
          </cell>
          <cell r="R34" t="e">
            <v>#N/A</v>
          </cell>
        </row>
        <row r="35">
          <cell r="Q35">
            <v>8</v>
          </cell>
          <cell r="R35" t="e">
            <v>#N/A</v>
          </cell>
        </row>
        <row r="36">
          <cell r="Q36" t="e">
            <v>#N/A</v>
          </cell>
          <cell r="R36">
            <v>40</v>
          </cell>
        </row>
        <row r="37">
          <cell r="Q37">
            <v>38</v>
          </cell>
          <cell r="R37" t="e">
            <v>#N/A</v>
          </cell>
        </row>
        <row r="38">
          <cell r="Q38" t="e">
            <v>#N/A</v>
          </cell>
          <cell r="R38">
            <v>38</v>
          </cell>
        </row>
        <row r="39">
          <cell r="Q39" t="e">
            <v>#N/A</v>
          </cell>
          <cell r="R39">
            <v>30</v>
          </cell>
        </row>
        <row r="40">
          <cell r="Q40">
            <v>17</v>
          </cell>
          <cell r="R40" t="e">
            <v>#N/A</v>
          </cell>
        </row>
        <row r="41">
          <cell r="Q41" t="e">
            <v>#N/A</v>
          </cell>
          <cell r="R41">
            <v>40</v>
          </cell>
        </row>
        <row r="42">
          <cell r="Q42">
            <v>40</v>
          </cell>
          <cell r="R42" t="e">
            <v>#N/A</v>
          </cell>
        </row>
        <row r="43">
          <cell r="Q43" t="e">
            <v>#N/A</v>
          </cell>
          <cell r="R43">
            <v>40</v>
          </cell>
        </row>
        <row r="44">
          <cell r="Q44" t="e">
            <v>#N/A</v>
          </cell>
          <cell r="R44">
            <v>40</v>
          </cell>
        </row>
        <row r="45">
          <cell r="Q45" t="e">
            <v>#N/A</v>
          </cell>
          <cell r="R45">
            <v>40</v>
          </cell>
        </row>
        <row r="46">
          <cell r="Q46" t="e">
            <v>#N/A</v>
          </cell>
          <cell r="R46">
            <v>40</v>
          </cell>
        </row>
        <row r="47">
          <cell r="Q47" t="e">
            <v>#N/A</v>
          </cell>
          <cell r="R47">
            <v>37</v>
          </cell>
        </row>
        <row r="48">
          <cell r="Q48" t="e">
            <v>#N/A</v>
          </cell>
          <cell r="R48">
            <v>25</v>
          </cell>
        </row>
        <row r="49">
          <cell r="Q49" t="e">
            <v>#N/A</v>
          </cell>
          <cell r="R49">
            <v>50</v>
          </cell>
        </row>
        <row r="50">
          <cell r="Q50" t="e">
            <v>#N/A</v>
          </cell>
          <cell r="R50">
            <v>55</v>
          </cell>
        </row>
        <row r="51">
          <cell r="Q51" t="e">
            <v>#N/A</v>
          </cell>
          <cell r="R51">
            <v>40</v>
          </cell>
        </row>
        <row r="52">
          <cell r="Q52" t="e">
            <v>#N/A</v>
          </cell>
          <cell r="R52">
            <v>35</v>
          </cell>
        </row>
        <row r="53">
          <cell r="Q53">
            <v>20</v>
          </cell>
          <cell r="R53" t="e">
            <v>#N/A</v>
          </cell>
        </row>
        <row r="54">
          <cell r="Q54" t="e">
            <v>#N/A</v>
          </cell>
          <cell r="R54">
            <v>40</v>
          </cell>
        </row>
        <row r="55">
          <cell r="Q55" t="e">
            <v>#N/A</v>
          </cell>
          <cell r="R55">
            <v>13</v>
          </cell>
        </row>
        <row r="56">
          <cell r="Q56" t="e">
            <v>#N/A</v>
          </cell>
          <cell r="R56">
            <v>40</v>
          </cell>
        </row>
        <row r="57">
          <cell r="Q57">
            <v>25</v>
          </cell>
          <cell r="R57" t="e">
            <v>#N/A</v>
          </cell>
        </row>
        <row r="58">
          <cell r="Q58" t="e">
            <v>#N/A</v>
          </cell>
          <cell r="R58">
            <v>40</v>
          </cell>
        </row>
        <row r="59">
          <cell r="Q59">
            <v>40</v>
          </cell>
          <cell r="R59" t="e">
            <v>#N/A</v>
          </cell>
        </row>
        <row r="60">
          <cell r="Q60">
            <v>40</v>
          </cell>
          <cell r="R60" t="e">
            <v>#N/A</v>
          </cell>
        </row>
        <row r="61">
          <cell r="Q61">
            <v>25</v>
          </cell>
          <cell r="R61" t="e">
            <v>#N/A</v>
          </cell>
        </row>
        <row r="62">
          <cell r="Q62">
            <v>40</v>
          </cell>
          <cell r="R62" t="e">
            <v>#N/A</v>
          </cell>
        </row>
        <row r="63">
          <cell r="Q63" t="e">
            <v>#N/A</v>
          </cell>
          <cell r="R63">
            <v>45</v>
          </cell>
        </row>
        <row r="64">
          <cell r="Q64" t="e">
            <v>#N/A</v>
          </cell>
          <cell r="R64">
            <v>40</v>
          </cell>
        </row>
        <row r="65">
          <cell r="Q65">
            <v>40</v>
          </cell>
          <cell r="R65" t="e">
            <v>#N/A</v>
          </cell>
        </row>
        <row r="66">
          <cell r="Q66" t="e">
            <v>#N/A</v>
          </cell>
          <cell r="R66">
            <v>50</v>
          </cell>
        </row>
        <row r="67">
          <cell r="Q67">
            <v>40</v>
          </cell>
          <cell r="R67" t="e">
            <v>#N/A</v>
          </cell>
        </row>
        <row r="68">
          <cell r="Q68" t="e">
            <v>#N/A</v>
          </cell>
          <cell r="R68">
            <v>40</v>
          </cell>
        </row>
        <row r="69">
          <cell r="Q69" t="e">
            <v>#N/A</v>
          </cell>
          <cell r="R69">
            <v>20</v>
          </cell>
        </row>
        <row r="70">
          <cell r="Q70" t="e">
            <v>#N/A</v>
          </cell>
          <cell r="R70">
            <v>65</v>
          </cell>
        </row>
        <row r="71">
          <cell r="Q71" t="e">
            <v>#N/A</v>
          </cell>
          <cell r="R71">
            <v>40</v>
          </cell>
        </row>
        <row r="72">
          <cell r="Q72">
            <v>10</v>
          </cell>
          <cell r="R72" t="e">
            <v>#N/A</v>
          </cell>
        </row>
        <row r="73">
          <cell r="Q73">
            <v>40</v>
          </cell>
          <cell r="R73" t="e">
            <v>#N/A</v>
          </cell>
        </row>
        <row r="74">
          <cell r="Q74" t="e">
            <v>#N/A</v>
          </cell>
          <cell r="R74">
            <v>50</v>
          </cell>
        </row>
        <row r="75">
          <cell r="Q75" t="e">
            <v>#N/A</v>
          </cell>
          <cell r="R75">
            <v>40</v>
          </cell>
        </row>
        <row r="76">
          <cell r="Q76" t="e">
            <v>#N/A</v>
          </cell>
          <cell r="R76">
            <v>40</v>
          </cell>
        </row>
        <row r="77">
          <cell r="Q77">
            <v>20</v>
          </cell>
          <cell r="R77" t="e">
            <v>#N/A</v>
          </cell>
        </row>
        <row r="78">
          <cell r="Q78" t="e">
            <v>#N/A</v>
          </cell>
          <cell r="R78">
            <v>44</v>
          </cell>
        </row>
        <row r="79">
          <cell r="Q79" t="e">
            <v>#N/A</v>
          </cell>
          <cell r="R79">
            <v>40</v>
          </cell>
        </row>
        <row r="80">
          <cell r="Q80" t="e">
            <v>#N/A</v>
          </cell>
          <cell r="R80">
            <v>30</v>
          </cell>
        </row>
        <row r="81">
          <cell r="Q81">
            <v>5</v>
          </cell>
          <cell r="R81" t="e">
            <v>#N/A</v>
          </cell>
        </row>
        <row r="82">
          <cell r="Q82" t="e">
            <v>#N/A</v>
          </cell>
          <cell r="R82">
            <v>40</v>
          </cell>
        </row>
        <row r="83">
          <cell r="Q83" t="e">
            <v>#N/A</v>
          </cell>
          <cell r="R83">
            <v>66</v>
          </cell>
        </row>
        <row r="84">
          <cell r="Q84" t="e">
            <v>#N/A</v>
          </cell>
          <cell r="R84">
            <v>40</v>
          </cell>
        </row>
        <row r="85">
          <cell r="Q85" t="e">
            <v>#N/A</v>
          </cell>
          <cell r="R85">
            <v>50</v>
          </cell>
        </row>
        <row r="86">
          <cell r="Q86" t="e">
            <v>#N/A</v>
          </cell>
          <cell r="R86">
            <v>40</v>
          </cell>
        </row>
        <row r="87">
          <cell r="Q87">
            <v>40</v>
          </cell>
          <cell r="R87" t="e">
            <v>#N/A</v>
          </cell>
        </row>
        <row r="88">
          <cell r="Q88" t="e">
            <v>#N/A</v>
          </cell>
          <cell r="R88">
            <v>54</v>
          </cell>
        </row>
        <row r="89">
          <cell r="Q89">
            <v>40</v>
          </cell>
          <cell r="R89" t="e">
            <v>#N/A</v>
          </cell>
        </row>
        <row r="90">
          <cell r="Q90" t="e">
            <v>#N/A</v>
          </cell>
          <cell r="R90">
            <v>40</v>
          </cell>
        </row>
        <row r="91">
          <cell r="Q91" t="e">
            <v>#N/A</v>
          </cell>
          <cell r="R91">
            <v>50</v>
          </cell>
        </row>
        <row r="92">
          <cell r="Q92" t="e">
            <v>#N/A</v>
          </cell>
          <cell r="R92">
            <v>40</v>
          </cell>
        </row>
        <row r="93">
          <cell r="Q93" t="e">
            <v>#N/A</v>
          </cell>
          <cell r="R93">
            <v>45</v>
          </cell>
        </row>
        <row r="94">
          <cell r="Q94">
            <v>20</v>
          </cell>
          <cell r="R94" t="e">
            <v>#N/A</v>
          </cell>
        </row>
        <row r="95">
          <cell r="Q95">
            <v>40</v>
          </cell>
          <cell r="R95" t="e">
            <v>#N/A</v>
          </cell>
        </row>
        <row r="96">
          <cell r="Q96" t="e">
            <v>#N/A</v>
          </cell>
          <cell r="R96">
            <v>40</v>
          </cell>
        </row>
        <row r="97">
          <cell r="Q97" t="e">
            <v>#N/A</v>
          </cell>
          <cell r="R97">
            <v>40</v>
          </cell>
        </row>
        <row r="98">
          <cell r="Q98" t="e">
            <v>#N/A</v>
          </cell>
          <cell r="R98">
            <v>40</v>
          </cell>
        </row>
        <row r="99">
          <cell r="Q99" t="e">
            <v>#N/A</v>
          </cell>
          <cell r="R99">
            <v>54</v>
          </cell>
        </row>
        <row r="100">
          <cell r="Q100" t="e">
            <v>#N/A</v>
          </cell>
          <cell r="R100">
            <v>38</v>
          </cell>
        </row>
        <row r="101">
          <cell r="Q101" t="e">
            <v>#N/A</v>
          </cell>
          <cell r="R101">
            <v>50</v>
          </cell>
        </row>
        <row r="102">
          <cell r="Q102" t="e">
            <v>#N/A</v>
          </cell>
          <cell r="R102">
            <v>40</v>
          </cell>
        </row>
        <row r="103">
          <cell r="Q103">
            <v>8</v>
          </cell>
          <cell r="R103" t="e">
            <v>#N/A</v>
          </cell>
        </row>
        <row r="104">
          <cell r="Q104">
            <v>60</v>
          </cell>
          <cell r="R104" t="e">
            <v>#N/A</v>
          </cell>
        </row>
        <row r="105">
          <cell r="Q105">
            <v>40</v>
          </cell>
          <cell r="R105" t="e">
            <v>#N/A</v>
          </cell>
        </row>
        <row r="106">
          <cell r="Q106">
            <v>40</v>
          </cell>
          <cell r="R106" t="e">
            <v>#N/A</v>
          </cell>
        </row>
        <row r="107">
          <cell r="Q107" t="e">
            <v>#N/A</v>
          </cell>
          <cell r="R107">
            <v>55</v>
          </cell>
        </row>
        <row r="108">
          <cell r="Q108">
            <v>52</v>
          </cell>
          <cell r="R108" t="e">
            <v>#N/A</v>
          </cell>
        </row>
        <row r="109">
          <cell r="Q109" t="e">
            <v>#N/A</v>
          </cell>
          <cell r="R109">
            <v>48</v>
          </cell>
        </row>
        <row r="110">
          <cell r="Q110" t="e">
            <v>#N/A</v>
          </cell>
          <cell r="R110">
            <v>40</v>
          </cell>
        </row>
        <row r="111">
          <cell r="Q111">
            <v>40</v>
          </cell>
          <cell r="R111" t="e">
            <v>#N/A</v>
          </cell>
        </row>
        <row r="112">
          <cell r="Q112">
            <v>40</v>
          </cell>
          <cell r="R112" t="e">
            <v>#N/A</v>
          </cell>
        </row>
        <row r="113">
          <cell r="Q113">
            <v>40</v>
          </cell>
          <cell r="R113" t="e">
            <v>#N/A</v>
          </cell>
        </row>
        <row r="114">
          <cell r="Q114" t="e">
            <v>#N/A</v>
          </cell>
          <cell r="R114">
            <v>35</v>
          </cell>
        </row>
        <row r="115">
          <cell r="Q115">
            <v>40</v>
          </cell>
          <cell r="R115" t="e">
            <v>#N/A</v>
          </cell>
        </row>
        <row r="116">
          <cell r="Q116">
            <v>48</v>
          </cell>
          <cell r="R116" t="e">
            <v>#N/A</v>
          </cell>
        </row>
        <row r="117">
          <cell r="Q117" t="e">
            <v>#N/A</v>
          </cell>
          <cell r="R117">
            <v>40</v>
          </cell>
        </row>
        <row r="118">
          <cell r="Q118" t="e">
            <v>#N/A</v>
          </cell>
          <cell r="R118">
            <v>40</v>
          </cell>
        </row>
        <row r="119">
          <cell r="Q119" t="e">
            <v>#N/A</v>
          </cell>
          <cell r="R119">
            <v>25</v>
          </cell>
        </row>
        <row r="120">
          <cell r="Q120">
            <v>20</v>
          </cell>
          <cell r="R120" t="e">
            <v>#N/A</v>
          </cell>
        </row>
        <row r="121">
          <cell r="Q121" t="e">
            <v>#N/A</v>
          </cell>
          <cell r="R121">
            <v>48</v>
          </cell>
        </row>
        <row r="122">
          <cell r="Q122" t="e">
            <v>#N/A</v>
          </cell>
          <cell r="R122">
            <v>60</v>
          </cell>
        </row>
        <row r="123">
          <cell r="Q123" t="e">
            <v>#N/A</v>
          </cell>
          <cell r="R123">
            <v>40</v>
          </cell>
        </row>
        <row r="124">
          <cell r="Q124">
            <v>35</v>
          </cell>
          <cell r="R124" t="e">
            <v>#N/A</v>
          </cell>
        </row>
        <row r="125">
          <cell r="Q125">
            <v>40</v>
          </cell>
          <cell r="R125" t="e">
            <v>#N/A</v>
          </cell>
        </row>
        <row r="126">
          <cell r="Q126">
            <v>18</v>
          </cell>
          <cell r="R126" t="e">
            <v>#N/A</v>
          </cell>
        </row>
        <row r="127">
          <cell r="Q127">
            <v>40</v>
          </cell>
          <cell r="R127" t="e">
            <v>#N/A</v>
          </cell>
        </row>
        <row r="128">
          <cell r="Q128">
            <v>40</v>
          </cell>
          <cell r="R128" t="e">
            <v>#N/A</v>
          </cell>
        </row>
        <row r="129">
          <cell r="Q129" t="e">
            <v>#N/A</v>
          </cell>
          <cell r="R129">
            <v>60</v>
          </cell>
        </row>
        <row r="130">
          <cell r="Q130" t="e">
            <v>#N/A</v>
          </cell>
          <cell r="R130">
            <v>50</v>
          </cell>
        </row>
        <row r="131">
          <cell r="Q131" t="e">
            <v>#N/A</v>
          </cell>
          <cell r="R131">
            <v>42</v>
          </cell>
        </row>
        <row r="132">
          <cell r="Q132" t="e">
            <v>#N/A</v>
          </cell>
          <cell r="R132">
            <v>60</v>
          </cell>
        </row>
        <row r="133">
          <cell r="Q133" t="e">
            <v>#N/A</v>
          </cell>
          <cell r="R133">
            <v>40</v>
          </cell>
        </row>
        <row r="134">
          <cell r="Q134" t="e">
            <v>#N/A</v>
          </cell>
          <cell r="R134">
            <v>60</v>
          </cell>
        </row>
        <row r="135">
          <cell r="Q135" t="e">
            <v>#N/A</v>
          </cell>
          <cell r="R135">
            <v>60</v>
          </cell>
        </row>
        <row r="136">
          <cell r="Q136" t="e">
            <v>#N/A</v>
          </cell>
          <cell r="R136">
            <v>50</v>
          </cell>
        </row>
        <row r="137">
          <cell r="Q137" t="e">
            <v>#N/A</v>
          </cell>
          <cell r="R137">
            <v>40</v>
          </cell>
        </row>
        <row r="138">
          <cell r="Q138" t="e">
            <v>#N/A</v>
          </cell>
          <cell r="R138">
            <v>40</v>
          </cell>
        </row>
        <row r="139">
          <cell r="Q139" t="e">
            <v>#N/A</v>
          </cell>
          <cell r="R139">
            <v>40</v>
          </cell>
        </row>
        <row r="140">
          <cell r="Q140">
            <v>50</v>
          </cell>
          <cell r="R140" t="e">
            <v>#N/A</v>
          </cell>
        </row>
        <row r="141">
          <cell r="Q141" t="e">
            <v>#N/A</v>
          </cell>
          <cell r="R141">
            <v>40</v>
          </cell>
        </row>
        <row r="142">
          <cell r="Q142" t="e">
            <v>#N/A</v>
          </cell>
          <cell r="R142">
            <v>55</v>
          </cell>
        </row>
        <row r="143">
          <cell r="Q143" t="e">
            <v>#N/A</v>
          </cell>
          <cell r="R143">
            <v>50</v>
          </cell>
        </row>
        <row r="144">
          <cell r="Q144" t="e">
            <v>#N/A</v>
          </cell>
          <cell r="R144">
            <v>70</v>
          </cell>
        </row>
        <row r="145">
          <cell r="Q145" t="e">
            <v>#N/A</v>
          </cell>
          <cell r="R145">
            <v>40</v>
          </cell>
        </row>
        <row r="146">
          <cell r="Q146" t="e">
            <v>#N/A</v>
          </cell>
          <cell r="R146">
            <v>50</v>
          </cell>
        </row>
        <row r="147">
          <cell r="Q147" t="e">
            <v>#N/A</v>
          </cell>
          <cell r="R147">
            <v>40</v>
          </cell>
        </row>
        <row r="148">
          <cell r="Q148" t="e">
            <v>#N/A</v>
          </cell>
          <cell r="R148">
            <v>40</v>
          </cell>
        </row>
        <row r="149">
          <cell r="Q149" t="e">
            <v>#N/A</v>
          </cell>
          <cell r="R149">
            <v>40</v>
          </cell>
        </row>
        <row r="150">
          <cell r="Q150" t="e">
            <v>#N/A</v>
          </cell>
          <cell r="R150">
            <v>45</v>
          </cell>
        </row>
        <row r="151">
          <cell r="Q151" t="e">
            <v>#N/A</v>
          </cell>
          <cell r="R151">
            <v>40</v>
          </cell>
        </row>
        <row r="152">
          <cell r="Q152" t="e">
            <v>#N/A</v>
          </cell>
          <cell r="R152">
            <v>24</v>
          </cell>
        </row>
        <row r="153">
          <cell r="Q153">
            <v>40</v>
          </cell>
          <cell r="R153" t="e">
            <v>#N/A</v>
          </cell>
        </row>
        <row r="154">
          <cell r="Q154" t="e">
            <v>#N/A</v>
          </cell>
          <cell r="R154">
            <v>40</v>
          </cell>
        </row>
        <row r="155">
          <cell r="Q155" t="e">
            <v>#N/A</v>
          </cell>
          <cell r="R155">
            <v>40</v>
          </cell>
        </row>
        <row r="156">
          <cell r="Q156" t="e">
            <v>#N/A</v>
          </cell>
          <cell r="R156">
            <v>40</v>
          </cell>
        </row>
        <row r="157">
          <cell r="Q157">
            <v>40</v>
          </cell>
          <cell r="R157" t="e">
            <v>#N/A</v>
          </cell>
        </row>
        <row r="158">
          <cell r="Q158">
            <v>40</v>
          </cell>
          <cell r="R158" t="e">
            <v>#N/A</v>
          </cell>
        </row>
        <row r="159">
          <cell r="Q159">
            <v>50</v>
          </cell>
          <cell r="R159" t="e">
            <v>#N/A</v>
          </cell>
        </row>
        <row r="160">
          <cell r="Q160">
            <v>45</v>
          </cell>
          <cell r="R160" t="e">
            <v>#N/A</v>
          </cell>
        </row>
        <row r="161">
          <cell r="Q161" t="e">
            <v>#N/A</v>
          </cell>
          <cell r="R161">
            <v>43</v>
          </cell>
        </row>
        <row r="162">
          <cell r="Q162" t="e">
            <v>#N/A</v>
          </cell>
          <cell r="R162">
            <v>40</v>
          </cell>
        </row>
        <row r="163">
          <cell r="Q163">
            <v>36</v>
          </cell>
          <cell r="R163" t="e">
            <v>#N/A</v>
          </cell>
        </row>
        <row r="164">
          <cell r="Q164">
            <v>40</v>
          </cell>
          <cell r="R164" t="e">
            <v>#N/A</v>
          </cell>
        </row>
        <row r="165">
          <cell r="Q165" t="e">
            <v>#N/A</v>
          </cell>
          <cell r="R165">
            <v>42</v>
          </cell>
        </row>
        <row r="166">
          <cell r="Q166" t="e">
            <v>#N/A</v>
          </cell>
          <cell r="R166">
            <v>40</v>
          </cell>
        </row>
        <row r="167">
          <cell r="Q167" t="e">
            <v>#N/A</v>
          </cell>
          <cell r="R167">
            <v>40</v>
          </cell>
        </row>
        <row r="168">
          <cell r="Q168">
            <v>20</v>
          </cell>
          <cell r="R168" t="e">
            <v>#N/A</v>
          </cell>
        </row>
        <row r="169">
          <cell r="Q169">
            <v>40</v>
          </cell>
          <cell r="R169" t="e">
            <v>#N/A</v>
          </cell>
        </row>
        <row r="170">
          <cell r="Q170" t="e">
            <v>#N/A</v>
          </cell>
          <cell r="R170">
            <v>60</v>
          </cell>
        </row>
        <row r="171">
          <cell r="Q171" t="e">
            <v>#N/A</v>
          </cell>
          <cell r="R171">
            <v>50</v>
          </cell>
        </row>
        <row r="172">
          <cell r="Q172" t="e">
            <v>#N/A</v>
          </cell>
          <cell r="R172">
            <v>50</v>
          </cell>
        </row>
        <row r="173">
          <cell r="Q173">
            <v>40</v>
          </cell>
          <cell r="R173" t="e">
            <v>#N/A</v>
          </cell>
        </row>
        <row r="174">
          <cell r="Q174" t="e">
            <v>#N/A</v>
          </cell>
          <cell r="R174">
            <v>40</v>
          </cell>
        </row>
        <row r="175">
          <cell r="Q175">
            <v>40</v>
          </cell>
          <cell r="R175" t="e">
            <v>#N/A</v>
          </cell>
        </row>
        <row r="176">
          <cell r="Q176" t="e">
            <v>#N/A</v>
          </cell>
          <cell r="R176">
            <v>40</v>
          </cell>
        </row>
        <row r="177">
          <cell r="Q177" t="e">
            <v>#N/A</v>
          </cell>
          <cell r="R177">
            <v>30</v>
          </cell>
        </row>
        <row r="178">
          <cell r="Q178" t="e">
            <v>#N/A</v>
          </cell>
          <cell r="R178">
            <v>35</v>
          </cell>
        </row>
        <row r="179">
          <cell r="Q179">
            <v>40</v>
          </cell>
          <cell r="R179" t="e">
            <v>#N/A</v>
          </cell>
        </row>
        <row r="180">
          <cell r="Q180" t="e">
            <v>#N/A</v>
          </cell>
          <cell r="R180">
            <v>80</v>
          </cell>
        </row>
        <row r="181">
          <cell r="Q181" t="e">
            <v>#N/A</v>
          </cell>
          <cell r="R181">
            <v>65</v>
          </cell>
        </row>
        <row r="182">
          <cell r="Q182" t="e">
            <v>#N/A</v>
          </cell>
          <cell r="R182">
            <v>40</v>
          </cell>
        </row>
        <row r="183">
          <cell r="Q183">
            <v>35</v>
          </cell>
          <cell r="R183" t="e">
            <v>#N/A</v>
          </cell>
        </row>
        <row r="184">
          <cell r="Q184" t="e">
            <v>#N/A</v>
          </cell>
          <cell r="R184">
            <v>40</v>
          </cell>
        </row>
        <row r="185">
          <cell r="Q185" t="e">
            <v>#N/A</v>
          </cell>
          <cell r="R185">
            <v>45</v>
          </cell>
        </row>
        <row r="186">
          <cell r="Q186" t="e">
            <v>#N/A</v>
          </cell>
          <cell r="R186">
            <v>44</v>
          </cell>
        </row>
        <row r="187">
          <cell r="Q187">
            <v>40</v>
          </cell>
          <cell r="R187" t="e">
            <v>#N/A</v>
          </cell>
        </row>
        <row r="188">
          <cell r="Q188" t="e">
            <v>#N/A</v>
          </cell>
          <cell r="R188">
            <v>40</v>
          </cell>
        </row>
        <row r="189">
          <cell r="Q189" t="e">
            <v>#N/A</v>
          </cell>
          <cell r="R189">
            <v>40</v>
          </cell>
        </row>
        <row r="190">
          <cell r="Q190">
            <v>45</v>
          </cell>
          <cell r="R190" t="e">
            <v>#N/A</v>
          </cell>
        </row>
        <row r="191">
          <cell r="Q191" t="e">
            <v>#N/A</v>
          </cell>
          <cell r="R191">
            <v>40</v>
          </cell>
        </row>
        <row r="192">
          <cell r="Q192" t="e">
            <v>#N/A</v>
          </cell>
          <cell r="R192">
            <v>60</v>
          </cell>
        </row>
        <row r="193">
          <cell r="Q193">
            <v>12</v>
          </cell>
          <cell r="R193" t="e">
            <v>#N/A</v>
          </cell>
        </row>
        <row r="194">
          <cell r="Q194" t="e">
            <v>#N/A</v>
          </cell>
          <cell r="R194">
            <v>40</v>
          </cell>
        </row>
        <row r="195">
          <cell r="Q195" t="e">
            <v>#N/A</v>
          </cell>
          <cell r="R195">
            <v>56</v>
          </cell>
        </row>
        <row r="196">
          <cell r="Q196" t="e">
            <v>#N/A</v>
          </cell>
          <cell r="R196">
            <v>25</v>
          </cell>
        </row>
        <row r="197">
          <cell r="Q197" t="e">
            <v>#N/A</v>
          </cell>
          <cell r="R197">
            <v>45</v>
          </cell>
        </row>
        <row r="198">
          <cell r="Q198">
            <v>35</v>
          </cell>
          <cell r="R198" t="e">
            <v>#N/A</v>
          </cell>
        </row>
        <row r="199">
          <cell r="Q199" t="e">
            <v>#N/A</v>
          </cell>
          <cell r="R199">
            <v>56</v>
          </cell>
        </row>
        <row r="200">
          <cell r="Q200" t="e">
            <v>#N/A</v>
          </cell>
          <cell r="R200">
            <v>40</v>
          </cell>
        </row>
        <row r="201">
          <cell r="Q201" t="e">
            <v>#N/A</v>
          </cell>
          <cell r="R201">
            <v>35</v>
          </cell>
        </row>
        <row r="202">
          <cell r="Q202" t="e">
            <v>#N/A</v>
          </cell>
          <cell r="R202">
            <v>40</v>
          </cell>
        </row>
        <row r="203">
          <cell r="Q203">
            <v>40</v>
          </cell>
          <cell r="R203" t="e">
            <v>#N/A</v>
          </cell>
        </row>
        <row r="204">
          <cell r="Q204" t="e">
            <v>#N/A</v>
          </cell>
          <cell r="R204">
            <v>50</v>
          </cell>
        </row>
        <row r="205">
          <cell r="Q205" t="e">
            <v>#N/A</v>
          </cell>
          <cell r="R205">
            <v>53</v>
          </cell>
        </row>
        <row r="206">
          <cell r="Q206" t="e">
            <v>#N/A</v>
          </cell>
          <cell r="R206">
            <v>40</v>
          </cell>
        </row>
        <row r="207">
          <cell r="Q207" t="e">
            <v>#N/A</v>
          </cell>
          <cell r="R207">
            <v>40</v>
          </cell>
        </row>
        <row r="208">
          <cell r="Q208" t="e">
            <v>#N/A</v>
          </cell>
          <cell r="R208">
            <v>70</v>
          </cell>
        </row>
        <row r="209">
          <cell r="Q209">
            <v>40</v>
          </cell>
          <cell r="R209" t="e">
            <v>#N/A</v>
          </cell>
        </row>
        <row r="210">
          <cell r="Q210" t="e">
            <v>#N/A</v>
          </cell>
          <cell r="R210">
            <v>60</v>
          </cell>
        </row>
        <row r="211">
          <cell r="Q211" t="e">
            <v>#N/A</v>
          </cell>
          <cell r="R211">
            <v>99</v>
          </cell>
        </row>
        <row r="212">
          <cell r="Q212" t="e">
            <v>#N/A</v>
          </cell>
          <cell r="R212">
            <v>40</v>
          </cell>
        </row>
        <row r="213">
          <cell r="Q213" t="e">
            <v>#N/A</v>
          </cell>
          <cell r="R213">
            <v>49</v>
          </cell>
        </row>
        <row r="214">
          <cell r="Q214">
            <v>15</v>
          </cell>
          <cell r="R214" t="e">
            <v>#N/A</v>
          </cell>
        </row>
        <row r="215">
          <cell r="Q215" t="e">
            <v>#N/A</v>
          </cell>
          <cell r="R215">
            <v>20</v>
          </cell>
        </row>
        <row r="216">
          <cell r="Q216">
            <v>40</v>
          </cell>
          <cell r="R216" t="e">
            <v>#N/A</v>
          </cell>
        </row>
        <row r="217">
          <cell r="Q217">
            <v>35</v>
          </cell>
          <cell r="R217" t="e">
            <v>#N/A</v>
          </cell>
        </row>
        <row r="218">
          <cell r="Q218">
            <v>25</v>
          </cell>
          <cell r="R218" t="e">
            <v>#N/A</v>
          </cell>
        </row>
        <row r="219">
          <cell r="Q219" t="e">
            <v>#N/A</v>
          </cell>
          <cell r="R219">
            <v>40</v>
          </cell>
        </row>
        <row r="220">
          <cell r="Q220" t="e">
            <v>#N/A</v>
          </cell>
          <cell r="R220">
            <v>45</v>
          </cell>
        </row>
        <row r="221">
          <cell r="Q221" t="e">
            <v>#N/A</v>
          </cell>
          <cell r="R221">
            <v>20</v>
          </cell>
        </row>
        <row r="222">
          <cell r="Q222" t="e">
            <v>#N/A</v>
          </cell>
          <cell r="R222">
            <v>40</v>
          </cell>
        </row>
        <row r="223">
          <cell r="Q223">
            <v>40</v>
          </cell>
          <cell r="R223" t="e">
            <v>#N/A</v>
          </cell>
        </row>
        <row r="224">
          <cell r="Q224" t="e">
            <v>#N/A</v>
          </cell>
          <cell r="R224">
            <v>40</v>
          </cell>
        </row>
        <row r="225">
          <cell r="Q225">
            <v>10</v>
          </cell>
          <cell r="R225" t="e">
            <v>#N/A</v>
          </cell>
        </row>
        <row r="226">
          <cell r="Q226">
            <v>40</v>
          </cell>
          <cell r="R226" t="e">
            <v>#N/A</v>
          </cell>
        </row>
        <row r="227">
          <cell r="Q227">
            <v>35</v>
          </cell>
          <cell r="R227" t="e">
            <v>#N/A</v>
          </cell>
        </row>
        <row r="228">
          <cell r="Q228" t="e">
            <v>#N/A</v>
          </cell>
          <cell r="R228">
            <v>40</v>
          </cell>
        </row>
        <row r="229">
          <cell r="Q229" t="e">
            <v>#N/A</v>
          </cell>
          <cell r="R229">
            <v>40</v>
          </cell>
        </row>
        <row r="230">
          <cell r="Q230" t="e">
            <v>#N/A</v>
          </cell>
          <cell r="R230">
            <v>40</v>
          </cell>
        </row>
        <row r="231">
          <cell r="Q231">
            <v>40</v>
          </cell>
          <cell r="R231" t="e">
            <v>#N/A</v>
          </cell>
        </row>
        <row r="232">
          <cell r="Q232">
            <v>35</v>
          </cell>
          <cell r="R232" t="e">
            <v>#N/A</v>
          </cell>
        </row>
        <row r="233">
          <cell r="Q233" t="e">
            <v>#N/A</v>
          </cell>
          <cell r="R233">
            <v>45</v>
          </cell>
        </row>
        <row r="234">
          <cell r="Q234" t="e">
            <v>#N/A</v>
          </cell>
          <cell r="R234">
            <v>40</v>
          </cell>
        </row>
        <row r="235">
          <cell r="Q235">
            <v>55</v>
          </cell>
          <cell r="R235" t="e">
            <v>#N/A</v>
          </cell>
        </row>
        <row r="236">
          <cell r="Q236" t="e">
            <v>#N/A</v>
          </cell>
          <cell r="R236">
            <v>50</v>
          </cell>
        </row>
        <row r="237">
          <cell r="Q237" t="e">
            <v>#N/A</v>
          </cell>
          <cell r="R237">
            <v>12</v>
          </cell>
        </row>
        <row r="238">
          <cell r="Q238" t="e">
            <v>#N/A</v>
          </cell>
          <cell r="R238">
            <v>40</v>
          </cell>
        </row>
        <row r="239">
          <cell r="Q239" t="e">
            <v>#N/A</v>
          </cell>
          <cell r="R239">
            <v>15</v>
          </cell>
        </row>
        <row r="240">
          <cell r="Q240" t="e">
            <v>#N/A</v>
          </cell>
          <cell r="R240">
            <v>45</v>
          </cell>
        </row>
        <row r="241">
          <cell r="Q241" t="e">
            <v>#N/A</v>
          </cell>
          <cell r="R241">
            <v>40</v>
          </cell>
        </row>
        <row r="242">
          <cell r="Q242" t="e">
            <v>#N/A</v>
          </cell>
          <cell r="R242">
            <v>4</v>
          </cell>
        </row>
        <row r="243">
          <cell r="Q243" t="e">
            <v>#N/A</v>
          </cell>
          <cell r="R243">
            <v>40</v>
          </cell>
        </row>
        <row r="244">
          <cell r="Q244">
            <v>15</v>
          </cell>
          <cell r="R244" t="e">
            <v>#N/A</v>
          </cell>
        </row>
        <row r="245">
          <cell r="Q245">
            <v>40</v>
          </cell>
          <cell r="R245" t="e">
            <v>#N/A</v>
          </cell>
        </row>
        <row r="246">
          <cell r="Q246">
            <v>45</v>
          </cell>
          <cell r="R246" t="e">
            <v>#N/A</v>
          </cell>
        </row>
        <row r="247">
          <cell r="Q247" t="e">
            <v>#N/A</v>
          </cell>
          <cell r="R247">
            <v>40</v>
          </cell>
        </row>
        <row r="248">
          <cell r="Q248" t="e">
            <v>#N/A</v>
          </cell>
          <cell r="R248">
            <v>40</v>
          </cell>
        </row>
        <row r="249">
          <cell r="Q249" t="e">
            <v>#N/A</v>
          </cell>
          <cell r="R249">
            <v>50</v>
          </cell>
        </row>
        <row r="250">
          <cell r="Q250">
            <v>45</v>
          </cell>
          <cell r="R250" t="e">
            <v>#N/A</v>
          </cell>
        </row>
        <row r="251">
          <cell r="Q251">
            <v>35</v>
          </cell>
          <cell r="R251" t="e">
            <v>#N/A</v>
          </cell>
        </row>
        <row r="252">
          <cell r="Q252" t="e">
            <v>#N/A</v>
          </cell>
          <cell r="R252">
            <v>40</v>
          </cell>
        </row>
        <row r="253">
          <cell r="Q253" t="e">
            <v>#N/A</v>
          </cell>
          <cell r="R253">
            <v>16</v>
          </cell>
        </row>
        <row r="254">
          <cell r="Q254">
            <v>20</v>
          </cell>
          <cell r="R254" t="e">
            <v>#N/A</v>
          </cell>
        </row>
        <row r="255">
          <cell r="Q255">
            <v>35</v>
          </cell>
          <cell r="R255" t="e">
            <v>#N/A</v>
          </cell>
        </row>
        <row r="256">
          <cell r="Q256" t="e">
            <v>#N/A</v>
          </cell>
          <cell r="R256">
            <v>45</v>
          </cell>
        </row>
        <row r="257">
          <cell r="Q257">
            <v>60</v>
          </cell>
          <cell r="R257" t="e">
            <v>#N/A</v>
          </cell>
        </row>
        <row r="258">
          <cell r="Q258" t="e">
            <v>#N/A</v>
          </cell>
          <cell r="R258">
            <v>24</v>
          </cell>
        </row>
        <row r="259">
          <cell r="Q259" t="e">
            <v>#N/A</v>
          </cell>
          <cell r="R259">
            <v>40</v>
          </cell>
        </row>
        <row r="260">
          <cell r="Q260">
            <v>40</v>
          </cell>
          <cell r="R260" t="e">
            <v>#N/A</v>
          </cell>
        </row>
        <row r="261">
          <cell r="Q261">
            <v>40</v>
          </cell>
          <cell r="R261" t="e">
            <v>#N/A</v>
          </cell>
        </row>
        <row r="262">
          <cell r="Q262" t="e">
            <v>#N/A</v>
          </cell>
          <cell r="R262">
            <v>65</v>
          </cell>
        </row>
        <row r="263">
          <cell r="Q263" t="e">
            <v>#N/A</v>
          </cell>
          <cell r="R263">
            <v>40</v>
          </cell>
        </row>
        <row r="264">
          <cell r="Q264" t="e">
            <v>#N/A</v>
          </cell>
          <cell r="R264">
            <v>50</v>
          </cell>
        </row>
        <row r="265">
          <cell r="Q265" t="e">
            <v>#N/A</v>
          </cell>
          <cell r="R265">
            <v>40</v>
          </cell>
        </row>
        <row r="266">
          <cell r="Q266" t="e">
            <v>#N/A</v>
          </cell>
          <cell r="R266">
            <v>50</v>
          </cell>
        </row>
        <row r="267">
          <cell r="Q267">
            <v>40</v>
          </cell>
          <cell r="R267" t="e">
            <v>#N/A</v>
          </cell>
        </row>
        <row r="268">
          <cell r="Q268" t="e">
            <v>#N/A</v>
          </cell>
          <cell r="R268">
            <v>40</v>
          </cell>
        </row>
        <row r="269">
          <cell r="Q269" t="e">
            <v>#N/A</v>
          </cell>
          <cell r="R269">
            <v>60</v>
          </cell>
        </row>
        <row r="270">
          <cell r="Q270">
            <v>40</v>
          </cell>
          <cell r="R270" t="e">
            <v>#N/A</v>
          </cell>
        </row>
        <row r="271">
          <cell r="Q271">
            <v>40</v>
          </cell>
          <cell r="R271" t="e">
            <v>#N/A</v>
          </cell>
        </row>
        <row r="272">
          <cell r="Q272" t="e">
            <v>#N/A</v>
          </cell>
          <cell r="R272">
            <v>45</v>
          </cell>
        </row>
        <row r="273">
          <cell r="Q273">
            <v>38</v>
          </cell>
          <cell r="R273" t="e">
            <v>#N/A</v>
          </cell>
        </row>
        <row r="274">
          <cell r="Q274" t="e">
            <v>#N/A</v>
          </cell>
          <cell r="R274">
            <v>40</v>
          </cell>
        </row>
        <row r="275">
          <cell r="Q275" t="e">
            <v>#N/A</v>
          </cell>
          <cell r="R275">
            <v>40</v>
          </cell>
        </row>
        <row r="276">
          <cell r="Q276" t="e">
            <v>#N/A</v>
          </cell>
          <cell r="R276">
            <v>40</v>
          </cell>
        </row>
        <row r="277">
          <cell r="Q277">
            <v>40</v>
          </cell>
          <cell r="R277" t="e">
            <v>#N/A</v>
          </cell>
        </row>
        <row r="278">
          <cell r="Q278" t="e">
            <v>#N/A</v>
          </cell>
          <cell r="R278">
            <v>40</v>
          </cell>
        </row>
        <row r="279">
          <cell r="Q279" t="e">
            <v>#N/A</v>
          </cell>
          <cell r="R279">
            <v>50</v>
          </cell>
        </row>
        <row r="280">
          <cell r="Q280" t="e">
            <v>#N/A</v>
          </cell>
          <cell r="R280">
            <v>40</v>
          </cell>
        </row>
        <row r="281">
          <cell r="Q281" t="e">
            <v>#N/A</v>
          </cell>
          <cell r="R281">
            <v>40</v>
          </cell>
        </row>
        <row r="282">
          <cell r="Q282">
            <v>30</v>
          </cell>
          <cell r="R282" t="e">
            <v>#N/A</v>
          </cell>
        </row>
        <row r="283">
          <cell r="Q283">
            <v>40</v>
          </cell>
          <cell r="R283" t="e">
            <v>#N/A</v>
          </cell>
        </row>
        <row r="284">
          <cell r="Q284" t="e">
            <v>#N/A</v>
          </cell>
          <cell r="R284">
            <v>65</v>
          </cell>
        </row>
        <row r="285">
          <cell r="Q285" t="e">
            <v>#N/A</v>
          </cell>
          <cell r="R285">
            <v>50</v>
          </cell>
        </row>
        <row r="286">
          <cell r="Q286">
            <v>40</v>
          </cell>
          <cell r="R286" t="e">
            <v>#N/A</v>
          </cell>
        </row>
        <row r="287">
          <cell r="Q287" t="e">
            <v>#N/A</v>
          </cell>
          <cell r="R287">
            <v>40</v>
          </cell>
        </row>
        <row r="288">
          <cell r="Q288" t="e">
            <v>#N/A</v>
          </cell>
          <cell r="R288">
            <v>40</v>
          </cell>
        </row>
        <row r="289">
          <cell r="Q289">
            <v>40</v>
          </cell>
          <cell r="R289" t="e">
            <v>#N/A</v>
          </cell>
        </row>
        <row r="290">
          <cell r="Q290" t="e">
            <v>#N/A</v>
          </cell>
          <cell r="R290">
            <v>26</v>
          </cell>
        </row>
        <row r="291">
          <cell r="Q291" t="e">
            <v>#N/A</v>
          </cell>
          <cell r="R291">
            <v>40</v>
          </cell>
        </row>
        <row r="292">
          <cell r="Q292" t="e">
            <v>#N/A</v>
          </cell>
          <cell r="R292">
            <v>40</v>
          </cell>
        </row>
        <row r="293">
          <cell r="Q293" t="e">
            <v>#N/A</v>
          </cell>
          <cell r="R293">
            <v>20</v>
          </cell>
        </row>
        <row r="294">
          <cell r="Q294">
            <v>40</v>
          </cell>
          <cell r="R294" t="e">
            <v>#N/A</v>
          </cell>
        </row>
        <row r="295">
          <cell r="Q295" t="e">
            <v>#N/A</v>
          </cell>
          <cell r="R295">
            <v>40</v>
          </cell>
        </row>
        <row r="296">
          <cell r="Q296" t="e">
            <v>#N/A</v>
          </cell>
          <cell r="R296">
            <v>35</v>
          </cell>
        </row>
        <row r="297">
          <cell r="Q297">
            <v>12</v>
          </cell>
          <cell r="R297" t="e">
            <v>#N/A</v>
          </cell>
        </row>
        <row r="298">
          <cell r="Q298" t="e">
            <v>#N/A</v>
          </cell>
          <cell r="R298">
            <v>38</v>
          </cell>
        </row>
        <row r="299">
          <cell r="Q299" t="e">
            <v>#N/A</v>
          </cell>
          <cell r="R299">
            <v>40</v>
          </cell>
        </row>
        <row r="300">
          <cell r="Q300" t="e">
            <v>#N/A</v>
          </cell>
          <cell r="R300">
            <v>60</v>
          </cell>
        </row>
        <row r="301">
          <cell r="Q301" t="e">
            <v>#N/A</v>
          </cell>
          <cell r="R301">
            <v>45</v>
          </cell>
        </row>
        <row r="302">
          <cell r="Q302" t="e">
            <v>#N/A</v>
          </cell>
          <cell r="R302">
            <v>40</v>
          </cell>
        </row>
        <row r="303">
          <cell r="Q303" t="e">
            <v>#N/A</v>
          </cell>
          <cell r="R303">
            <v>40</v>
          </cell>
        </row>
        <row r="304">
          <cell r="Q304" t="e">
            <v>#N/A</v>
          </cell>
          <cell r="R304">
            <v>45</v>
          </cell>
        </row>
        <row r="305">
          <cell r="Q305">
            <v>20</v>
          </cell>
          <cell r="R305" t="e">
            <v>#N/A</v>
          </cell>
        </row>
        <row r="306">
          <cell r="Q306" t="e">
            <v>#N/A</v>
          </cell>
          <cell r="R306">
            <v>40</v>
          </cell>
        </row>
        <row r="307">
          <cell r="Q307" t="e">
            <v>#N/A</v>
          </cell>
          <cell r="R307">
            <v>40</v>
          </cell>
        </row>
        <row r="308">
          <cell r="Q308">
            <v>45</v>
          </cell>
          <cell r="R308" t="e">
            <v>#N/A</v>
          </cell>
        </row>
        <row r="309">
          <cell r="Q309">
            <v>40</v>
          </cell>
          <cell r="R309" t="e">
            <v>#N/A</v>
          </cell>
        </row>
        <row r="310">
          <cell r="Q310">
            <v>20</v>
          </cell>
          <cell r="R310" t="e">
            <v>#N/A</v>
          </cell>
        </row>
        <row r="311">
          <cell r="Q311">
            <v>55</v>
          </cell>
          <cell r="R311" t="e">
            <v>#N/A</v>
          </cell>
        </row>
        <row r="312">
          <cell r="Q312" t="e">
            <v>#N/A</v>
          </cell>
          <cell r="R312">
            <v>99</v>
          </cell>
        </row>
        <row r="313">
          <cell r="Q313" t="e">
            <v>#N/A</v>
          </cell>
          <cell r="R313">
            <v>40</v>
          </cell>
        </row>
        <row r="314">
          <cell r="Q314" t="e">
            <v>#N/A</v>
          </cell>
          <cell r="R314">
            <v>47</v>
          </cell>
        </row>
        <row r="315">
          <cell r="Q315">
            <v>30</v>
          </cell>
          <cell r="R315" t="e">
            <v>#N/A</v>
          </cell>
        </row>
        <row r="316">
          <cell r="Q316" t="e">
            <v>#N/A</v>
          </cell>
          <cell r="R316">
            <v>15</v>
          </cell>
        </row>
        <row r="317">
          <cell r="Q317">
            <v>40</v>
          </cell>
          <cell r="R317" t="e">
            <v>#N/A</v>
          </cell>
        </row>
        <row r="318">
          <cell r="Q318">
            <v>35</v>
          </cell>
          <cell r="R318" t="e">
            <v>#N/A</v>
          </cell>
        </row>
        <row r="319">
          <cell r="Q319">
            <v>33</v>
          </cell>
          <cell r="R319" t="e">
            <v>#N/A</v>
          </cell>
        </row>
        <row r="320">
          <cell r="Q320">
            <v>30</v>
          </cell>
          <cell r="R320" t="e">
            <v>#N/A</v>
          </cell>
        </row>
        <row r="321">
          <cell r="Q321" t="e">
            <v>#N/A</v>
          </cell>
          <cell r="R321">
            <v>38</v>
          </cell>
        </row>
        <row r="322">
          <cell r="Q322">
            <v>40</v>
          </cell>
          <cell r="R322" t="e">
            <v>#N/A</v>
          </cell>
        </row>
        <row r="323">
          <cell r="Q323" t="e">
            <v>#N/A</v>
          </cell>
          <cell r="R323">
            <v>40</v>
          </cell>
        </row>
        <row r="324">
          <cell r="Q324" t="e">
            <v>#N/A</v>
          </cell>
          <cell r="R324">
            <v>40</v>
          </cell>
        </row>
        <row r="325">
          <cell r="Q325">
            <v>40</v>
          </cell>
          <cell r="R325" t="e">
            <v>#N/A</v>
          </cell>
        </row>
        <row r="326">
          <cell r="Q326" t="e">
            <v>#N/A</v>
          </cell>
          <cell r="R326">
            <v>40</v>
          </cell>
        </row>
        <row r="327">
          <cell r="Q327" t="e">
            <v>#N/A</v>
          </cell>
          <cell r="R327">
            <v>50</v>
          </cell>
        </row>
        <row r="328">
          <cell r="Q328">
            <v>40</v>
          </cell>
          <cell r="R328" t="e">
            <v>#N/A</v>
          </cell>
        </row>
        <row r="329">
          <cell r="Q329" t="e">
            <v>#N/A</v>
          </cell>
          <cell r="R329">
            <v>50</v>
          </cell>
        </row>
        <row r="330">
          <cell r="Q330">
            <v>20</v>
          </cell>
          <cell r="R330" t="e">
            <v>#N/A</v>
          </cell>
        </row>
        <row r="331">
          <cell r="Q331" t="e">
            <v>#N/A</v>
          </cell>
          <cell r="R331">
            <v>40</v>
          </cell>
        </row>
        <row r="332">
          <cell r="Q332" t="e">
            <v>#N/A</v>
          </cell>
          <cell r="R332">
            <v>50</v>
          </cell>
        </row>
        <row r="333">
          <cell r="Q333" t="e">
            <v>#N/A</v>
          </cell>
          <cell r="R333">
            <v>40</v>
          </cell>
        </row>
        <row r="334">
          <cell r="Q334" t="e">
            <v>#N/A</v>
          </cell>
          <cell r="R334">
            <v>40</v>
          </cell>
        </row>
        <row r="335">
          <cell r="Q335" t="e">
            <v>#N/A</v>
          </cell>
          <cell r="R335">
            <v>80</v>
          </cell>
        </row>
        <row r="336">
          <cell r="Q336">
            <v>15</v>
          </cell>
          <cell r="R336" t="e">
            <v>#N/A</v>
          </cell>
        </row>
        <row r="337">
          <cell r="Q337" t="e">
            <v>#N/A</v>
          </cell>
          <cell r="R337">
            <v>40</v>
          </cell>
        </row>
        <row r="338">
          <cell r="Q338" t="e">
            <v>#N/A</v>
          </cell>
          <cell r="R338">
            <v>38</v>
          </cell>
        </row>
        <row r="339">
          <cell r="Q339" t="e">
            <v>#N/A</v>
          </cell>
          <cell r="R339">
            <v>42</v>
          </cell>
        </row>
        <row r="340">
          <cell r="Q340">
            <v>38</v>
          </cell>
          <cell r="R340" t="e">
            <v>#N/A</v>
          </cell>
        </row>
        <row r="341">
          <cell r="Q341" t="e">
            <v>#N/A</v>
          </cell>
          <cell r="R341">
            <v>40</v>
          </cell>
        </row>
        <row r="342">
          <cell r="Q342">
            <v>40</v>
          </cell>
          <cell r="R342" t="e">
            <v>#N/A</v>
          </cell>
        </row>
        <row r="343">
          <cell r="Q343" t="e">
            <v>#N/A</v>
          </cell>
          <cell r="R343">
            <v>50</v>
          </cell>
        </row>
        <row r="344">
          <cell r="Q344" t="e">
            <v>#N/A</v>
          </cell>
          <cell r="R344">
            <v>40</v>
          </cell>
        </row>
        <row r="345">
          <cell r="Q345" t="e">
            <v>#N/A</v>
          </cell>
          <cell r="R345">
            <v>40</v>
          </cell>
        </row>
        <row r="346">
          <cell r="Q346" t="e">
            <v>#N/A</v>
          </cell>
          <cell r="R346">
            <v>40</v>
          </cell>
        </row>
        <row r="347">
          <cell r="Q347" t="e">
            <v>#N/A</v>
          </cell>
          <cell r="R347">
            <v>45</v>
          </cell>
        </row>
        <row r="348">
          <cell r="Q348" t="e">
            <v>#N/A</v>
          </cell>
          <cell r="R348">
            <v>42</v>
          </cell>
        </row>
        <row r="349">
          <cell r="Q349" t="e">
            <v>#N/A</v>
          </cell>
          <cell r="R349">
            <v>40</v>
          </cell>
        </row>
        <row r="350">
          <cell r="Q350">
            <v>28</v>
          </cell>
          <cell r="R350" t="e">
            <v>#N/A</v>
          </cell>
        </row>
        <row r="351">
          <cell r="Q351" t="e">
            <v>#N/A</v>
          </cell>
          <cell r="R351">
            <v>50</v>
          </cell>
        </row>
        <row r="352">
          <cell r="Q352" t="e">
            <v>#N/A</v>
          </cell>
          <cell r="R352">
            <v>45</v>
          </cell>
        </row>
        <row r="353">
          <cell r="Q353" t="e">
            <v>#N/A</v>
          </cell>
          <cell r="R353">
            <v>65</v>
          </cell>
        </row>
        <row r="354">
          <cell r="Q354" t="e">
            <v>#N/A</v>
          </cell>
          <cell r="R354">
            <v>44</v>
          </cell>
        </row>
        <row r="355">
          <cell r="Q355">
            <v>36</v>
          </cell>
          <cell r="R355" t="e">
            <v>#N/A</v>
          </cell>
        </row>
        <row r="356">
          <cell r="Q356">
            <v>25</v>
          </cell>
          <cell r="R356" t="e">
            <v>#N/A</v>
          </cell>
        </row>
        <row r="357">
          <cell r="Q357" t="e">
            <v>#N/A</v>
          </cell>
          <cell r="R357">
            <v>50</v>
          </cell>
        </row>
        <row r="358">
          <cell r="Q358" t="e">
            <v>#N/A</v>
          </cell>
          <cell r="R358">
            <v>50</v>
          </cell>
        </row>
        <row r="359">
          <cell r="Q359">
            <v>40</v>
          </cell>
          <cell r="R359" t="e">
            <v>#N/A</v>
          </cell>
        </row>
        <row r="360">
          <cell r="Q360" t="e">
            <v>#N/A</v>
          </cell>
          <cell r="R360">
            <v>40</v>
          </cell>
        </row>
        <row r="361">
          <cell r="Q361">
            <v>40</v>
          </cell>
          <cell r="R361" t="e">
            <v>#N/A</v>
          </cell>
        </row>
        <row r="362">
          <cell r="Q362" t="e">
            <v>#N/A</v>
          </cell>
          <cell r="R362">
            <v>30</v>
          </cell>
        </row>
        <row r="363">
          <cell r="Q363">
            <v>35</v>
          </cell>
          <cell r="R363" t="e">
            <v>#N/A</v>
          </cell>
        </row>
        <row r="364">
          <cell r="Q364" t="e">
            <v>#N/A</v>
          </cell>
          <cell r="R364">
            <v>18</v>
          </cell>
        </row>
        <row r="365">
          <cell r="Q365" t="e">
            <v>#N/A</v>
          </cell>
          <cell r="R365">
            <v>40</v>
          </cell>
        </row>
        <row r="366">
          <cell r="Q366">
            <v>30</v>
          </cell>
          <cell r="R366" t="e">
            <v>#N/A</v>
          </cell>
        </row>
        <row r="367">
          <cell r="Q367" t="e">
            <v>#N/A</v>
          </cell>
          <cell r="R367">
            <v>35</v>
          </cell>
        </row>
        <row r="368">
          <cell r="Q368" t="e">
            <v>#N/A</v>
          </cell>
          <cell r="R368">
            <v>18</v>
          </cell>
        </row>
        <row r="369">
          <cell r="Q369">
            <v>30</v>
          </cell>
          <cell r="R369" t="e">
            <v>#N/A</v>
          </cell>
        </row>
        <row r="370">
          <cell r="Q370" t="e">
            <v>#N/A</v>
          </cell>
          <cell r="R370">
            <v>40</v>
          </cell>
        </row>
        <row r="371">
          <cell r="Q371" t="e">
            <v>#N/A</v>
          </cell>
          <cell r="R371">
            <v>40</v>
          </cell>
        </row>
        <row r="372">
          <cell r="Q372">
            <v>37</v>
          </cell>
          <cell r="R372" t="e">
            <v>#N/A</v>
          </cell>
        </row>
        <row r="373">
          <cell r="Q373" t="e">
            <v>#N/A</v>
          </cell>
          <cell r="R373">
            <v>65</v>
          </cell>
        </row>
        <row r="374">
          <cell r="Q374" t="e">
            <v>#N/A</v>
          </cell>
          <cell r="R374">
            <v>40</v>
          </cell>
        </row>
        <row r="375">
          <cell r="Q375">
            <v>40</v>
          </cell>
          <cell r="R375" t="e">
            <v>#N/A</v>
          </cell>
        </row>
        <row r="376">
          <cell r="Q376" t="e">
            <v>#N/A</v>
          </cell>
          <cell r="R376">
            <v>60</v>
          </cell>
        </row>
        <row r="377">
          <cell r="Q377" t="e">
            <v>#N/A</v>
          </cell>
          <cell r="R377">
            <v>37</v>
          </cell>
        </row>
        <row r="378">
          <cell r="Q378" t="e">
            <v>#N/A</v>
          </cell>
          <cell r="R378">
            <v>45</v>
          </cell>
        </row>
        <row r="379">
          <cell r="Q379">
            <v>30</v>
          </cell>
          <cell r="R379" t="e">
            <v>#N/A</v>
          </cell>
        </row>
        <row r="380">
          <cell r="Q380">
            <v>25</v>
          </cell>
          <cell r="R380" t="e">
            <v>#N/A</v>
          </cell>
        </row>
        <row r="381">
          <cell r="Q381" t="e">
            <v>#N/A</v>
          </cell>
          <cell r="R381">
            <v>40</v>
          </cell>
        </row>
        <row r="382">
          <cell r="Q382" t="e">
            <v>#N/A</v>
          </cell>
          <cell r="R382">
            <v>40</v>
          </cell>
        </row>
        <row r="383">
          <cell r="Q383">
            <v>99</v>
          </cell>
          <cell r="R383" t="e">
            <v>#N/A</v>
          </cell>
        </row>
        <row r="384">
          <cell r="Q384">
            <v>50</v>
          </cell>
          <cell r="R384" t="e">
            <v>#N/A</v>
          </cell>
        </row>
        <row r="385">
          <cell r="Q385">
            <v>10</v>
          </cell>
          <cell r="R385" t="e">
            <v>#N/A</v>
          </cell>
        </row>
        <row r="386">
          <cell r="Q386" t="e">
            <v>#N/A</v>
          </cell>
          <cell r="R386">
            <v>40</v>
          </cell>
        </row>
        <row r="387">
          <cell r="Q387">
            <v>25</v>
          </cell>
          <cell r="R387" t="e">
            <v>#N/A</v>
          </cell>
        </row>
        <row r="388">
          <cell r="Q388" t="e">
            <v>#N/A</v>
          </cell>
          <cell r="R388">
            <v>20</v>
          </cell>
        </row>
        <row r="389">
          <cell r="Q389">
            <v>40</v>
          </cell>
          <cell r="R389" t="e">
            <v>#N/A</v>
          </cell>
        </row>
        <row r="390">
          <cell r="Q390">
            <v>50</v>
          </cell>
          <cell r="R390" t="e">
            <v>#N/A</v>
          </cell>
        </row>
        <row r="391">
          <cell r="Q391" t="e">
            <v>#N/A</v>
          </cell>
          <cell r="R391">
            <v>60</v>
          </cell>
        </row>
        <row r="392">
          <cell r="Q392" t="e">
            <v>#N/A</v>
          </cell>
          <cell r="R392">
            <v>40</v>
          </cell>
        </row>
        <row r="393">
          <cell r="Q393" t="e">
            <v>#N/A</v>
          </cell>
          <cell r="R393">
            <v>60</v>
          </cell>
        </row>
        <row r="394">
          <cell r="Q394" t="e">
            <v>#N/A</v>
          </cell>
          <cell r="R394">
            <v>55</v>
          </cell>
        </row>
        <row r="395">
          <cell r="Q395" t="e">
            <v>#N/A</v>
          </cell>
          <cell r="R395">
            <v>45</v>
          </cell>
        </row>
        <row r="396">
          <cell r="Q396" t="e">
            <v>#N/A</v>
          </cell>
          <cell r="R396">
            <v>40</v>
          </cell>
        </row>
        <row r="397">
          <cell r="Q397" t="e">
            <v>#N/A</v>
          </cell>
          <cell r="R397">
            <v>40</v>
          </cell>
        </row>
        <row r="398">
          <cell r="Q398">
            <v>40</v>
          </cell>
          <cell r="R398" t="e">
            <v>#N/A</v>
          </cell>
        </row>
        <row r="399">
          <cell r="Q399" t="e">
            <v>#N/A</v>
          </cell>
          <cell r="R399">
            <v>40</v>
          </cell>
        </row>
        <row r="400">
          <cell r="Q400">
            <v>32</v>
          </cell>
          <cell r="R400" t="e">
            <v>#N/A</v>
          </cell>
        </row>
        <row r="401">
          <cell r="Q401">
            <v>40</v>
          </cell>
          <cell r="R401" t="e">
            <v>#N/A</v>
          </cell>
        </row>
        <row r="402">
          <cell r="Q402">
            <v>40</v>
          </cell>
          <cell r="R402" t="e">
            <v>#N/A</v>
          </cell>
        </row>
        <row r="403">
          <cell r="Q403">
            <v>40</v>
          </cell>
          <cell r="R403" t="e">
            <v>#N/A</v>
          </cell>
        </row>
        <row r="404">
          <cell r="Q404" t="e">
            <v>#N/A</v>
          </cell>
          <cell r="R404">
            <v>48</v>
          </cell>
        </row>
        <row r="405">
          <cell r="Q405" t="e">
            <v>#N/A</v>
          </cell>
          <cell r="R405">
            <v>44</v>
          </cell>
        </row>
        <row r="406">
          <cell r="Q406">
            <v>40</v>
          </cell>
          <cell r="R406" t="e">
            <v>#N/A</v>
          </cell>
        </row>
        <row r="407">
          <cell r="Q407">
            <v>30</v>
          </cell>
          <cell r="R407" t="e">
            <v>#N/A</v>
          </cell>
        </row>
        <row r="408">
          <cell r="Q408" t="e">
            <v>#N/A</v>
          </cell>
          <cell r="R408">
            <v>24</v>
          </cell>
        </row>
        <row r="409">
          <cell r="Q409" t="e">
            <v>#N/A</v>
          </cell>
          <cell r="R409">
            <v>60</v>
          </cell>
        </row>
        <row r="410">
          <cell r="Q410">
            <v>40</v>
          </cell>
          <cell r="R410" t="e">
            <v>#N/A</v>
          </cell>
        </row>
        <row r="411">
          <cell r="Q411" t="e">
            <v>#N/A</v>
          </cell>
          <cell r="R411">
            <v>40</v>
          </cell>
        </row>
        <row r="412">
          <cell r="Q412" t="e">
            <v>#N/A</v>
          </cell>
          <cell r="R412">
            <v>40</v>
          </cell>
        </row>
        <row r="413">
          <cell r="Q413">
            <v>20</v>
          </cell>
          <cell r="R413" t="e">
            <v>#N/A</v>
          </cell>
        </row>
        <row r="414">
          <cell r="Q414">
            <v>50</v>
          </cell>
          <cell r="R414" t="e">
            <v>#N/A</v>
          </cell>
        </row>
        <row r="415">
          <cell r="Q415" t="e">
            <v>#N/A</v>
          </cell>
          <cell r="R415">
            <v>80</v>
          </cell>
        </row>
        <row r="416">
          <cell r="Q416">
            <v>50</v>
          </cell>
          <cell r="R416" t="e">
            <v>#N/A</v>
          </cell>
        </row>
        <row r="417">
          <cell r="Q417" t="e">
            <v>#N/A</v>
          </cell>
          <cell r="R417">
            <v>40</v>
          </cell>
        </row>
        <row r="418">
          <cell r="Q418">
            <v>15</v>
          </cell>
          <cell r="R418" t="e">
            <v>#N/A</v>
          </cell>
        </row>
        <row r="419">
          <cell r="Q419" t="e">
            <v>#N/A</v>
          </cell>
          <cell r="R419">
            <v>40</v>
          </cell>
        </row>
        <row r="420">
          <cell r="Q420">
            <v>40</v>
          </cell>
          <cell r="R420" t="e">
            <v>#N/A</v>
          </cell>
        </row>
        <row r="421">
          <cell r="Q421">
            <v>30</v>
          </cell>
          <cell r="R421" t="e">
            <v>#N/A</v>
          </cell>
        </row>
        <row r="422">
          <cell r="Q422" t="e">
            <v>#N/A</v>
          </cell>
          <cell r="R422">
            <v>40</v>
          </cell>
        </row>
        <row r="423">
          <cell r="Q423">
            <v>40</v>
          </cell>
          <cell r="R423" t="e">
            <v>#N/A</v>
          </cell>
        </row>
        <row r="424">
          <cell r="Q424" t="e">
            <v>#N/A</v>
          </cell>
          <cell r="R424">
            <v>40</v>
          </cell>
        </row>
        <row r="425">
          <cell r="Q425" t="e">
            <v>#N/A</v>
          </cell>
          <cell r="R425">
            <v>40</v>
          </cell>
        </row>
        <row r="426">
          <cell r="Q426" t="e">
            <v>#N/A</v>
          </cell>
          <cell r="R426">
            <v>45</v>
          </cell>
        </row>
        <row r="427">
          <cell r="Q427" t="e">
            <v>#N/A</v>
          </cell>
          <cell r="R427">
            <v>80</v>
          </cell>
        </row>
        <row r="428">
          <cell r="Q428">
            <v>40</v>
          </cell>
          <cell r="R428" t="e">
            <v>#N/A</v>
          </cell>
        </row>
        <row r="429">
          <cell r="Q429" t="e">
            <v>#N/A</v>
          </cell>
          <cell r="R429">
            <v>45</v>
          </cell>
        </row>
        <row r="430">
          <cell r="Q430" t="e">
            <v>#N/A</v>
          </cell>
          <cell r="R430">
            <v>50</v>
          </cell>
        </row>
        <row r="431">
          <cell r="Q431" t="e">
            <v>#N/A</v>
          </cell>
          <cell r="R431">
            <v>40</v>
          </cell>
        </row>
        <row r="432">
          <cell r="Q432" t="e">
            <v>#N/A</v>
          </cell>
          <cell r="R432">
            <v>50</v>
          </cell>
        </row>
        <row r="433">
          <cell r="Q433" t="e">
            <v>#N/A</v>
          </cell>
          <cell r="R433">
            <v>40</v>
          </cell>
        </row>
        <row r="434">
          <cell r="Q434" t="e">
            <v>#N/A</v>
          </cell>
          <cell r="R434">
            <v>40</v>
          </cell>
        </row>
        <row r="435">
          <cell r="Q435" t="e">
            <v>#N/A</v>
          </cell>
          <cell r="R435">
            <v>24</v>
          </cell>
        </row>
        <row r="436">
          <cell r="Q436">
            <v>40</v>
          </cell>
          <cell r="R436" t="e">
            <v>#N/A</v>
          </cell>
        </row>
        <row r="437">
          <cell r="Q437" t="e">
            <v>#N/A</v>
          </cell>
          <cell r="R437">
            <v>42</v>
          </cell>
        </row>
        <row r="438">
          <cell r="Q438">
            <v>20</v>
          </cell>
          <cell r="R438" t="e">
            <v>#N/A</v>
          </cell>
        </row>
        <row r="439">
          <cell r="Q439" t="e">
            <v>#N/A</v>
          </cell>
          <cell r="R439">
            <v>40</v>
          </cell>
        </row>
        <row r="440">
          <cell r="Q440" t="e">
            <v>#N/A</v>
          </cell>
          <cell r="R440">
            <v>60</v>
          </cell>
        </row>
        <row r="441">
          <cell r="Q441" t="e">
            <v>#N/A</v>
          </cell>
          <cell r="R441">
            <v>40</v>
          </cell>
        </row>
        <row r="442">
          <cell r="Q442" t="e">
            <v>#N/A</v>
          </cell>
          <cell r="R442">
            <v>55</v>
          </cell>
        </row>
        <row r="443">
          <cell r="Q443">
            <v>10</v>
          </cell>
          <cell r="R443" t="e">
            <v>#N/A</v>
          </cell>
        </row>
        <row r="444">
          <cell r="Q444">
            <v>35</v>
          </cell>
          <cell r="R444" t="e">
            <v>#N/A</v>
          </cell>
        </row>
        <row r="445">
          <cell r="Q445">
            <v>35</v>
          </cell>
          <cell r="R445" t="e">
            <v>#N/A</v>
          </cell>
        </row>
        <row r="446">
          <cell r="Q446" t="e">
            <v>#N/A</v>
          </cell>
          <cell r="R446">
            <v>65</v>
          </cell>
        </row>
        <row r="447">
          <cell r="Q447">
            <v>40</v>
          </cell>
          <cell r="R447" t="e">
            <v>#N/A</v>
          </cell>
        </row>
        <row r="448">
          <cell r="Q448">
            <v>40</v>
          </cell>
          <cell r="R448" t="e">
            <v>#N/A</v>
          </cell>
        </row>
        <row r="449">
          <cell r="Q449" t="e">
            <v>#N/A</v>
          </cell>
          <cell r="R449">
            <v>50</v>
          </cell>
        </row>
        <row r="450">
          <cell r="Q450" t="e">
            <v>#N/A</v>
          </cell>
          <cell r="R450">
            <v>55</v>
          </cell>
        </row>
        <row r="451">
          <cell r="Q451" t="e">
            <v>#N/A</v>
          </cell>
          <cell r="R451">
            <v>40</v>
          </cell>
        </row>
        <row r="452">
          <cell r="Q452" t="e">
            <v>#N/A</v>
          </cell>
          <cell r="R452">
            <v>40</v>
          </cell>
        </row>
        <row r="453">
          <cell r="Q453">
            <v>30</v>
          </cell>
          <cell r="R453" t="e">
            <v>#N/A</v>
          </cell>
        </row>
        <row r="454">
          <cell r="Q454" t="e">
            <v>#N/A</v>
          </cell>
          <cell r="R454">
            <v>25</v>
          </cell>
        </row>
        <row r="455">
          <cell r="Q455" t="e">
            <v>#N/A</v>
          </cell>
          <cell r="R455">
            <v>50</v>
          </cell>
        </row>
        <row r="456">
          <cell r="Q456" t="e">
            <v>#N/A</v>
          </cell>
          <cell r="R456">
            <v>40</v>
          </cell>
        </row>
        <row r="457">
          <cell r="Q457" t="e">
            <v>#N/A</v>
          </cell>
          <cell r="R457">
            <v>55</v>
          </cell>
        </row>
        <row r="458">
          <cell r="Q458" t="e">
            <v>#N/A</v>
          </cell>
          <cell r="R458">
            <v>40</v>
          </cell>
        </row>
        <row r="459">
          <cell r="Q459" t="e">
            <v>#N/A</v>
          </cell>
          <cell r="R459">
            <v>40</v>
          </cell>
        </row>
        <row r="460">
          <cell r="Q460" t="e">
            <v>#N/A</v>
          </cell>
          <cell r="R460">
            <v>37</v>
          </cell>
        </row>
        <row r="461">
          <cell r="Q461" t="e">
            <v>#N/A</v>
          </cell>
          <cell r="R461">
            <v>40</v>
          </cell>
        </row>
        <row r="462">
          <cell r="Q462" t="e">
            <v>#N/A</v>
          </cell>
          <cell r="R462">
            <v>70</v>
          </cell>
        </row>
        <row r="463">
          <cell r="Q463" t="e">
            <v>#N/A</v>
          </cell>
          <cell r="R463">
            <v>40</v>
          </cell>
        </row>
        <row r="464">
          <cell r="Q464" t="e">
            <v>#N/A</v>
          </cell>
          <cell r="R464">
            <v>30</v>
          </cell>
        </row>
        <row r="465">
          <cell r="Q465">
            <v>40</v>
          </cell>
          <cell r="R465" t="e">
            <v>#N/A</v>
          </cell>
        </row>
        <row r="466">
          <cell r="Q466" t="e">
            <v>#N/A</v>
          </cell>
          <cell r="R466">
            <v>50</v>
          </cell>
        </row>
        <row r="467">
          <cell r="Q467">
            <v>40</v>
          </cell>
          <cell r="R467" t="e">
            <v>#N/A</v>
          </cell>
        </row>
        <row r="468">
          <cell r="Q468" t="e">
            <v>#N/A</v>
          </cell>
          <cell r="R468">
            <v>40</v>
          </cell>
        </row>
        <row r="469">
          <cell r="Q469" t="e">
            <v>#N/A</v>
          </cell>
          <cell r="R469">
            <v>20</v>
          </cell>
        </row>
        <row r="470">
          <cell r="Q470" t="e">
            <v>#N/A</v>
          </cell>
          <cell r="R470">
            <v>50</v>
          </cell>
        </row>
        <row r="471">
          <cell r="Q471" t="e">
            <v>#N/A</v>
          </cell>
          <cell r="R471">
            <v>35</v>
          </cell>
        </row>
        <row r="472">
          <cell r="Q472">
            <v>38</v>
          </cell>
          <cell r="R472" t="e">
            <v>#N/A</v>
          </cell>
        </row>
        <row r="473">
          <cell r="Q473" t="e">
            <v>#N/A</v>
          </cell>
          <cell r="R473">
            <v>15</v>
          </cell>
        </row>
        <row r="474">
          <cell r="Q474" t="e">
            <v>#N/A</v>
          </cell>
          <cell r="R474">
            <v>45</v>
          </cell>
        </row>
        <row r="475">
          <cell r="Q475">
            <v>40</v>
          </cell>
          <cell r="R475" t="e">
            <v>#N/A</v>
          </cell>
        </row>
        <row r="476">
          <cell r="Q476" t="e">
            <v>#N/A</v>
          </cell>
          <cell r="R476">
            <v>40</v>
          </cell>
        </row>
        <row r="477">
          <cell r="Q477">
            <v>4</v>
          </cell>
          <cell r="R477" t="e">
            <v>#N/A</v>
          </cell>
        </row>
        <row r="478">
          <cell r="Q478">
            <v>30</v>
          </cell>
          <cell r="R478" t="e">
            <v>#N/A</v>
          </cell>
        </row>
        <row r="479">
          <cell r="Q479" t="e">
            <v>#N/A</v>
          </cell>
          <cell r="R479">
            <v>40</v>
          </cell>
        </row>
        <row r="480">
          <cell r="Q480" t="e">
            <v>#N/A</v>
          </cell>
          <cell r="R480">
            <v>65</v>
          </cell>
        </row>
        <row r="481">
          <cell r="Q481" t="e">
            <v>#N/A</v>
          </cell>
          <cell r="R481">
            <v>40</v>
          </cell>
        </row>
        <row r="482">
          <cell r="Q482" t="e">
            <v>#N/A</v>
          </cell>
          <cell r="R482">
            <v>40</v>
          </cell>
        </row>
        <row r="483">
          <cell r="Q483" t="e">
            <v>#N/A</v>
          </cell>
          <cell r="R483">
            <v>40</v>
          </cell>
        </row>
        <row r="484">
          <cell r="Q484">
            <v>20</v>
          </cell>
          <cell r="R484" t="e">
            <v>#N/A</v>
          </cell>
        </row>
        <row r="485">
          <cell r="Q485" t="e">
            <v>#N/A</v>
          </cell>
          <cell r="R485">
            <v>99</v>
          </cell>
        </row>
        <row r="486">
          <cell r="Q486" t="e">
            <v>#N/A</v>
          </cell>
          <cell r="R486">
            <v>40</v>
          </cell>
        </row>
        <row r="487">
          <cell r="Q487">
            <v>20</v>
          </cell>
          <cell r="R487" t="e">
            <v>#N/A</v>
          </cell>
        </row>
        <row r="488">
          <cell r="Q488">
            <v>40</v>
          </cell>
          <cell r="R488" t="e">
            <v>#N/A</v>
          </cell>
        </row>
        <row r="489">
          <cell r="Q489" t="e">
            <v>#N/A</v>
          </cell>
          <cell r="R489">
            <v>60</v>
          </cell>
        </row>
        <row r="490">
          <cell r="Q490" t="e">
            <v>#N/A</v>
          </cell>
          <cell r="R490">
            <v>50</v>
          </cell>
        </row>
        <row r="491">
          <cell r="Q491" t="e">
            <v>#N/A</v>
          </cell>
          <cell r="R491">
            <v>70</v>
          </cell>
        </row>
        <row r="492">
          <cell r="Q492" t="e">
            <v>#N/A</v>
          </cell>
          <cell r="R492">
            <v>40</v>
          </cell>
        </row>
        <row r="493">
          <cell r="Q493">
            <v>40</v>
          </cell>
          <cell r="R493" t="e">
            <v>#N/A</v>
          </cell>
        </row>
        <row r="494">
          <cell r="Q494" t="e">
            <v>#N/A</v>
          </cell>
          <cell r="R494">
            <v>60</v>
          </cell>
        </row>
        <row r="495">
          <cell r="Q495">
            <v>20</v>
          </cell>
          <cell r="R495" t="e">
            <v>#N/A</v>
          </cell>
        </row>
        <row r="496">
          <cell r="Q496" t="e">
            <v>#N/A</v>
          </cell>
          <cell r="R496">
            <v>45</v>
          </cell>
        </row>
        <row r="497">
          <cell r="Q497" t="e">
            <v>#N/A</v>
          </cell>
          <cell r="R497">
            <v>50</v>
          </cell>
        </row>
        <row r="498">
          <cell r="Q498" t="e">
            <v>#N/A</v>
          </cell>
          <cell r="R498">
            <v>48</v>
          </cell>
        </row>
        <row r="499">
          <cell r="Q499" t="e">
            <v>#N/A</v>
          </cell>
          <cell r="R499">
            <v>40</v>
          </cell>
        </row>
        <row r="500">
          <cell r="Q500" t="e">
            <v>#N/A</v>
          </cell>
          <cell r="R500">
            <v>40</v>
          </cell>
        </row>
        <row r="501">
          <cell r="Q501" t="e">
            <v>#N/A</v>
          </cell>
          <cell r="R501">
            <v>40</v>
          </cell>
        </row>
        <row r="502">
          <cell r="Q502">
            <v>40</v>
          </cell>
          <cell r="R502" t="e">
            <v>#N/A</v>
          </cell>
        </row>
        <row r="503">
          <cell r="Q503" t="e">
            <v>#N/A</v>
          </cell>
          <cell r="R503">
            <v>60</v>
          </cell>
        </row>
        <row r="504">
          <cell r="Q504" t="e">
            <v>#N/A</v>
          </cell>
          <cell r="R504">
            <v>65</v>
          </cell>
        </row>
        <row r="505">
          <cell r="Q505">
            <v>40</v>
          </cell>
          <cell r="R505" t="e">
            <v>#N/A</v>
          </cell>
        </row>
        <row r="506">
          <cell r="Q506" t="e">
            <v>#N/A</v>
          </cell>
          <cell r="R506">
            <v>70</v>
          </cell>
        </row>
        <row r="507">
          <cell r="Q507" t="e">
            <v>#N/A</v>
          </cell>
          <cell r="R507">
            <v>20</v>
          </cell>
        </row>
        <row r="508">
          <cell r="Q508">
            <v>40</v>
          </cell>
          <cell r="R508" t="e">
            <v>#N/A</v>
          </cell>
        </row>
        <row r="509">
          <cell r="Q509" t="e">
            <v>#N/A</v>
          </cell>
          <cell r="R509">
            <v>60</v>
          </cell>
        </row>
        <row r="510">
          <cell r="Q510" t="e">
            <v>#N/A</v>
          </cell>
          <cell r="R510">
            <v>45</v>
          </cell>
        </row>
        <row r="511">
          <cell r="Q511">
            <v>50</v>
          </cell>
          <cell r="R511" t="e">
            <v>#N/A</v>
          </cell>
        </row>
        <row r="512">
          <cell r="Q512">
            <v>20</v>
          </cell>
          <cell r="R512" t="e">
            <v>#N/A</v>
          </cell>
        </row>
        <row r="513">
          <cell r="Q513">
            <v>40</v>
          </cell>
          <cell r="R513" t="e">
            <v>#N/A</v>
          </cell>
        </row>
        <row r="514">
          <cell r="Q514" t="e">
            <v>#N/A</v>
          </cell>
          <cell r="R514">
            <v>50</v>
          </cell>
        </row>
        <row r="515">
          <cell r="Q515" t="e">
            <v>#N/A</v>
          </cell>
          <cell r="R515">
            <v>30</v>
          </cell>
        </row>
        <row r="516">
          <cell r="Q516" t="e">
            <v>#N/A</v>
          </cell>
          <cell r="R516">
            <v>45</v>
          </cell>
        </row>
        <row r="517">
          <cell r="Q517" t="e">
            <v>#N/A</v>
          </cell>
          <cell r="R517">
            <v>75</v>
          </cell>
        </row>
        <row r="518">
          <cell r="Q518" t="e">
            <v>#N/A</v>
          </cell>
          <cell r="R518">
            <v>40</v>
          </cell>
        </row>
        <row r="519">
          <cell r="Q519" t="e">
            <v>#N/A</v>
          </cell>
          <cell r="R519">
            <v>45</v>
          </cell>
        </row>
        <row r="520">
          <cell r="Q520">
            <v>38</v>
          </cell>
          <cell r="R520" t="e">
            <v>#N/A</v>
          </cell>
        </row>
        <row r="521">
          <cell r="Q521">
            <v>40</v>
          </cell>
          <cell r="R521" t="e">
            <v>#N/A</v>
          </cell>
        </row>
        <row r="522">
          <cell r="Q522" t="e">
            <v>#N/A</v>
          </cell>
          <cell r="R522">
            <v>44</v>
          </cell>
        </row>
        <row r="523">
          <cell r="Q523" t="e">
            <v>#N/A</v>
          </cell>
          <cell r="R523">
            <v>53</v>
          </cell>
        </row>
        <row r="524">
          <cell r="Q524" t="e">
            <v>#N/A</v>
          </cell>
          <cell r="R524">
            <v>40</v>
          </cell>
        </row>
        <row r="525">
          <cell r="Q525" t="e">
            <v>#N/A</v>
          </cell>
          <cell r="R525">
            <v>20</v>
          </cell>
        </row>
        <row r="526">
          <cell r="Q526" t="e">
            <v>#N/A</v>
          </cell>
          <cell r="R526">
            <v>40</v>
          </cell>
        </row>
        <row r="527">
          <cell r="Q527">
            <v>20</v>
          </cell>
          <cell r="R527" t="e">
            <v>#N/A</v>
          </cell>
        </row>
        <row r="528">
          <cell r="Q528">
            <v>40</v>
          </cell>
          <cell r="R528" t="e">
            <v>#N/A</v>
          </cell>
        </row>
        <row r="529">
          <cell r="Q529" t="e">
            <v>#N/A</v>
          </cell>
          <cell r="R529">
            <v>24</v>
          </cell>
        </row>
        <row r="530">
          <cell r="Q530" t="e">
            <v>#N/A</v>
          </cell>
          <cell r="R530">
            <v>40</v>
          </cell>
        </row>
        <row r="531">
          <cell r="Q531">
            <v>40</v>
          </cell>
          <cell r="R531" t="e">
            <v>#N/A</v>
          </cell>
        </row>
        <row r="532">
          <cell r="Q532" t="e">
            <v>#N/A</v>
          </cell>
          <cell r="R532">
            <v>50</v>
          </cell>
        </row>
        <row r="533">
          <cell r="Q533">
            <v>40</v>
          </cell>
          <cell r="R533" t="e">
            <v>#N/A</v>
          </cell>
        </row>
        <row r="534">
          <cell r="Q534" t="e">
            <v>#N/A</v>
          </cell>
          <cell r="R534">
            <v>40</v>
          </cell>
        </row>
        <row r="535">
          <cell r="Q535" t="e">
            <v>#N/A</v>
          </cell>
          <cell r="R535">
            <v>20</v>
          </cell>
        </row>
        <row r="536">
          <cell r="Q536" t="e">
            <v>#N/A</v>
          </cell>
          <cell r="R536">
            <v>40</v>
          </cell>
        </row>
        <row r="537">
          <cell r="Q537" t="e">
            <v>#N/A</v>
          </cell>
          <cell r="R537">
            <v>84</v>
          </cell>
        </row>
        <row r="538">
          <cell r="Q538" t="e">
            <v>#N/A</v>
          </cell>
          <cell r="R538">
            <v>40</v>
          </cell>
        </row>
        <row r="539">
          <cell r="Q539" t="e">
            <v>#N/A</v>
          </cell>
          <cell r="R539">
            <v>30</v>
          </cell>
        </row>
        <row r="540">
          <cell r="Q540" t="e">
            <v>#N/A</v>
          </cell>
          <cell r="R540">
            <v>50</v>
          </cell>
        </row>
        <row r="541">
          <cell r="Q541">
            <v>45</v>
          </cell>
          <cell r="R541" t="e">
            <v>#N/A</v>
          </cell>
        </row>
        <row r="542">
          <cell r="Q542" t="e">
            <v>#N/A</v>
          </cell>
          <cell r="R542">
            <v>36</v>
          </cell>
        </row>
        <row r="543">
          <cell r="Q543" t="e">
            <v>#N/A</v>
          </cell>
          <cell r="R543">
            <v>40</v>
          </cell>
        </row>
        <row r="544">
          <cell r="Q544" t="e">
            <v>#N/A</v>
          </cell>
          <cell r="R544">
            <v>50</v>
          </cell>
        </row>
        <row r="545">
          <cell r="Q545" t="e">
            <v>#N/A</v>
          </cell>
          <cell r="R545">
            <v>40</v>
          </cell>
        </row>
        <row r="546">
          <cell r="Q546" t="e">
            <v>#N/A</v>
          </cell>
          <cell r="R546">
            <v>60</v>
          </cell>
        </row>
        <row r="547">
          <cell r="Q547" t="e">
            <v>#N/A</v>
          </cell>
          <cell r="R547">
            <v>30</v>
          </cell>
        </row>
        <row r="548">
          <cell r="Q548" t="e">
            <v>#N/A</v>
          </cell>
          <cell r="R548">
            <v>60</v>
          </cell>
        </row>
        <row r="549">
          <cell r="Q549">
            <v>33</v>
          </cell>
          <cell r="R549" t="e">
            <v>#N/A</v>
          </cell>
        </row>
        <row r="550">
          <cell r="Q550" t="e">
            <v>#N/A</v>
          </cell>
          <cell r="R550">
            <v>45</v>
          </cell>
        </row>
        <row r="551">
          <cell r="Q551" t="e">
            <v>#N/A</v>
          </cell>
          <cell r="R551">
            <v>40</v>
          </cell>
        </row>
        <row r="552">
          <cell r="Q552">
            <v>40</v>
          </cell>
          <cell r="R552" t="e">
            <v>#N/A</v>
          </cell>
        </row>
        <row r="553">
          <cell r="Q553" t="e">
            <v>#N/A</v>
          </cell>
          <cell r="R553">
            <v>40</v>
          </cell>
        </row>
        <row r="554">
          <cell r="Q554" t="e">
            <v>#N/A</v>
          </cell>
          <cell r="R554">
            <v>40</v>
          </cell>
        </row>
        <row r="555">
          <cell r="Q555">
            <v>40</v>
          </cell>
          <cell r="R555" t="e">
            <v>#N/A</v>
          </cell>
        </row>
        <row r="556">
          <cell r="Q556">
            <v>50</v>
          </cell>
          <cell r="R556" t="e">
            <v>#N/A</v>
          </cell>
        </row>
        <row r="557">
          <cell r="Q557" t="e">
            <v>#N/A</v>
          </cell>
          <cell r="R557">
            <v>55</v>
          </cell>
        </row>
        <row r="558">
          <cell r="Q558" t="e">
            <v>#N/A</v>
          </cell>
          <cell r="R558">
            <v>70</v>
          </cell>
        </row>
        <row r="559">
          <cell r="Q559">
            <v>45</v>
          </cell>
          <cell r="R559" t="e">
            <v>#N/A</v>
          </cell>
        </row>
        <row r="560">
          <cell r="Q560" t="e">
            <v>#N/A</v>
          </cell>
          <cell r="R560">
            <v>56</v>
          </cell>
        </row>
        <row r="561">
          <cell r="Q561">
            <v>25</v>
          </cell>
          <cell r="R561" t="e">
            <v>#N/A</v>
          </cell>
        </row>
        <row r="562">
          <cell r="Q562">
            <v>40</v>
          </cell>
          <cell r="R562" t="e">
            <v>#N/A</v>
          </cell>
        </row>
        <row r="563">
          <cell r="Q563">
            <v>38</v>
          </cell>
          <cell r="R563" t="e">
            <v>#N/A</v>
          </cell>
        </row>
        <row r="564">
          <cell r="Q564">
            <v>40</v>
          </cell>
          <cell r="R564" t="e">
            <v>#N/A</v>
          </cell>
        </row>
        <row r="565">
          <cell r="Q565" t="e">
            <v>#N/A</v>
          </cell>
          <cell r="R565">
            <v>40</v>
          </cell>
        </row>
        <row r="566">
          <cell r="Q566" t="e">
            <v>#N/A</v>
          </cell>
          <cell r="R566">
            <v>40</v>
          </cell>
        </row>
        <row r="567">
          <cell r="Q567" t="e">
            <v>#N/A</v>
          </cell>
          <cell r="R567">
            <v>40</v>
          </cell>
        </row>
        <row r="568">
          <cell r="Q568" t="e">
            <v>#N/A</v>
          </cell>
          <cell r="R568">
            <v>40</v>
          </cell>
        </row>
        <row r="569">
          <cell r="Q569">
            <v>40</v>
          </cell>
          <cell r="R569" t="e">
            <v>#N/A</v>
          </cell>
        </row>
        <row r="570">
          <cell r="Q570">
            <v>35</v>
          </cell>
          <cell r="R570" t="e">
            <v>#N/A</v>
          </cell>
        </row>
        <row r="571">
          <cell r="Q571">
            <v>50</v>
          </cell>
          <cell r="R571" t="e">
            <v>#N/A</v>
          </cell>
        </row>
        <row r="572">
          <cell r="Q572" t="e">
            <v>#N/A</v>
          </cell>
          <cell r="R572">
            <v>35</v>
          </cell>
        </row>
        <row r="573">
          <cell r="Q573" t="e">
            <v>#N/A</v>
          </cell>
          <cell r="R573">
            <v>30</v>
          </cell>
        </row>
        <row r="574">
          <cell r="Q574">
            <v>30</v>
          </cell>
          <cell r="R574" t="e">
            <v>#N/A</v>
          </cell>
        </row>
        <row r="575">
          <cell r="Q575">
            <v>20</v>
          </cell>
          <cell r="R575" t="e">
            <v>#N/A</v>
          </cell>
        </row>
        <row r="576">
          <cell r="Q576" t="e">
            <v>#N/A</v>
          </cell>
          <cell r="R576">
            <v>40</v>
          </cell>
        </row>
        <row r="577">
          <cell r="Q577" t="e">
            <v>#N/A</v>
          </cell>
          <cell r="R577">
            <v>60</v>
          </cell>
        </row>
        <row r="578">
          <cell r="Q578" t="e">
            <v>#N/A</v>
          </cell>
          <cell r="R578">
            <v>46</v>
          </cell>
        </row>
        <row r="579">
          <cell r="Q579" t="e">
            <v>#N/A</v>
          </cell>
          <cell r="R579">
            <v>30</v>
          </cell>
        </row>
        <row r="580">
          <cell r="Q580" t="e">
            <v>#N/A</v>
          </cell>
          <cell r="R580">
            <v>40</v>
          </cell>
        </row>
        <row r="581">
          <cell r="Q581" t="e">
            <v>#N/A</v>
          </cell>
          <cell r="R581">
            <v>40</v>
          </cell>
        </row>
        <row r="582">
          <cell r="Q582">
            <v>55</v>
          </cell>
          <cell r="R582" t="e">
            <v>#N/A</v>
          </cell>
        </row>
        <row r="583">
          <cell r="Q583" t="e">
            <v>#N/A</v>
          </cell>
          <cell r="R583">
            <v>50</v>
          </cell>
        </row>
        <row r="584">
          <cell r="Q584">
            <v>15</v>
          </cell>
          <cell r="R584" t="e">
            <v>#N/A</v>
          </cell>
        </row>
        <row r="585">
          <cell r="Q585" t="e">
            <v>#N/A</v>
          </cell>
          <cell r="R585">
            <v>40</v>
          </cell>
        </row>
        <row r="586">
          <cell r="Q586" t="e">
            <v>#N/A</v>
          </cell>
          <cell r="R586">
            <v>50</v>
          </cell>
        </row>
        <row r="587">
          <cell r="Q587">
            <v>32</v>
          </cell>
          <cell r="R587" t="e">
            <v>#N/A</v>
          </cell>
        </row>
        <row r="588">
          <cell r="Q588" t="e">
            <v>#N/A</v>
          </cell>
          <cell r="R588">
            <v>38</v>
          </cell>
        </row>
        <row r="589">
          <cell r="Q589" t="e">
            <v>#N/A</v>
          </cell>
          <cell r="R589">
            <v>20</v>
          </cell>
        </row>
        <row r="590">
          <cell r="Q590" t="e">
            <v>#N/A</v>
          </cell>
          <cell r="R590">
            <v>40</v>
          </cell>
        </row>
        <row r="591">
          <cell r="Q591" t="e">
            <v>#N/A</v>
          </cell>
          <cell r="R591">
            <v>25</v>
          </cell>
        </row>
        <row r="592">
          <cell r="Q592" t="e">
            <v>#N/A</v>
          </cell>
          <cell r="R592">
            <v>60</v>
          </cell>
        </row>
        <row r="593">
          <cell r="Q593" t="e">
            <v>#N/A</v>
          </cell>
          <cell r="R593">
            <v>55</v>
          </cell>
        </row>
        <row r="594">
          <cell r="Q594" t="e">
            <v>#N/A</v>
          </cell>
          <cell r="R594">
            <v>50</v>
          </cell>
        </row>
        <row r="595">
          <cell r="Q595" t="e">
            <v>#N/A</v>
          </cell>
          <cell r="R595">
            <v>40</v>
          </cell>
        </row>
        <row r="596">
          <cell r="Q596" t="e">
            <v>#N/A</v>
          </cell>
          <cell r="R596">
            <v>40</v>
          </cell>
        </row>
        <row r="597">
          <cell r="Q597" t="e">
            <v>#N/A</v>
          </cell>
          <cell r="R597">
            <v>40</v>
          </cell>
        </row>
        <row r="598">
          <cell r="Q598" t="e">
            <v>#N/A</v>
          </cell>
          <cell r="R598">
            <v>40</v>
          </cell>
        </row>
        <row r="599">
          <cell r="Q599" t="e">
            <v>#N/A</v>
          </cell>
          <cell r="R599">
            <v>24</v>
          </cell>
        </row>
        <row r="600">
          <cell r="Q600" t="e">
            <v>#N/A</v>
          </cell>
          <cell r="R600">
            <v>40</v>
          </cell>
        </row>
        <row r="601">
          <cell r="Q601">
            <v>35</v>
          </cell>
          <cell r="R601" t="e">
            <v>#N/A</v>
          </cell>
        </row>
        <row r="602">
          <cell r="Q602" t="e">
            <v>#N/A</v>
          </cell>
          <cell r="R602">
            <v>50</v>
          </cell>
        </row>
        <row r="603">
          <cell r="Q603" t="e">
            <v>#N/A</v>
          </cell>
          <cell r="R603">
            <v>40</v>
          </cell>
        </row>
        <row r="604">
          <cell r="Q604" t="e">
            <v>#N/A</v>
          </cell>
          <cell r="R604">
            <v>40</v>
          </cell>
        </row>
        <row r="605">
          <cell r="Q605">
            <v>40</v>
          </cell>
          <cell r="R605" t="e">
            <v>#N/A</v>
          </cell>
        </row>
        <row r="606">
          <cell r="Q606">
            <v>20</v>
          </cell>
          <cell r="R606" t="e">
            <v>#N/A</v>
          </cell>
        </row>
        <row r="607">
          <cell r="Q607" t="e">
            <v>#N/A</v>
          </cell>
          <cell r="R607">
            <v>40</v>
          </cell>
        </row>
        <row r="608">
          <cell r="Q608" t="e">
            <v>#N/A</v>
          </cell>
          <cell r="R608">
            <v>20</v>
          </cell>
        </row>
        <row r="609">
          <cell r="Q609">
            <v>40</v>
          </cell>
          <cell r="R609" t="e">
            <v>#N/A</v>
          </cell>
        </row>
        <row r="610">
          <cell r="Q610">
            <v>40</v>
          </cell>
          <cell r="R610" t="e">
            <v>#N/A</v>
          </cell>
        </row>
        <row r="611">
          <cell r="Q611" t="e">
            <v>#N/A</v>
          </cell>
          <cell r="R611">
            <v>40</v>
          </cell>
        </row>
        <row r="612">
          <cell r="Q612">
            <v>30</v>
          </cell>
          <cell r="R612" t="e">
            <v>#N/A</v>
          </cell>
        </row>
        <row r="613">
          <cell r="Q613" t="e">
            <v>#N/A</v>
          </cell>
          <cell r="R613">
            <v>40</v>
          </cell>
        </row>
        <row r="614">
          <cell r="Q614" t="e">
            <v>#N/A</v>
          </cell>
          <cell r="R614">
            <v>60</v>
          </cell>
        </row>
        <row r="615">
          <cell r="Q615" t="e">
            <v>#N/A</v>
          </cell>
          <cell r="R615">
            <v>15</v>
          </cell>
        </row>
        <row r="616">
          <cell r="Q616">
            <v>40</v>
          </cell>
          <cell r="R616" t="e">
            <v>#N/A</v>
          </cell>
        </row>
        <row r="617">
          <cell r="Q617" t="e">
            <v>#N/A</v>
          </cell>
          <cell r="R617">
            <v>10</v>
          </cell>
        </row>
        <row r="618">
          <cell r="Q618" t="e">
            <v>#N/A</v>
          </cell>
          <cell r="R618">
            <v>70</v>
          </cell>
        </row>
        <row r="619">
          <cell r="Q619">
            <v>40</v>
          </cell>
          <cell r="R619" t="e">
            <v>#N/A</v>
          </cell>
        </row>
        <row r="620">
          <cell r="Q620">
            <v>45</v>
          </cell>
          <cell r="R620" t="e">
            <v>#N/A</v>
          </cell>
        </row>
        <row r="621">
          <cell r="Q621">
            <v>40</v>
          </cell>
          <cell r="R621" t="e">
            <v>#N/A</v>
          </cell>
        </row>
        <row r="622">
          <cell r="Q622" t="e">
            <v>#N/A</v>
          </cell>
          <cell r="R622">
            <v>35</v>
          </cell>
        </row>
        <row r="623">
          <cell r="Q623" t="e">
            <v>#N/A</v>
          </cell>
          <cell r="R623">
            <v>50</v>
          </cell>
        </row>
        <row r="624">
          <cell r="Q624">
            <v>20</v>
          </cell>
          <cell r="R624" t="e">
            <v>#N/A</v>
          </cell>
        </row>
        <row r="625">
          <cell r="Q625">
            <v>50</v>
          </cell>
          <cell r="R625" t="e">
            <v>#N/A</v>
          </cell>
        </row>
        <row r="626">
          <cell r="Q626" t="e">
            <v>#N/A</v>
          </cell>
          <cell r="R626">
            <v>20</v>
          </cell>
        </row>
        <row r="627">
          <cell r="Q627" t="e">
            <v>#N/A</v>
          </cell>
          <cell r="R627">
            <v>40</v>
          </cell>
        </row>
        <row r="628">
          <cell r="Q628" t="e">
            <v>#N/A</v>
          </cell>
          <cell r="R628">
            <v>40</v>
          </cell>
        </row>
        <row r="629">
          <cell r="Q629" t="e">
            <v>#N/A</v>
          </cell>
          <cell r="R629">
            <v>40</v>
          </cell>
        </row>
        <row r="630">
          <cell r="Q630">
            <v>40</v>
          </cell>
          <cell r="R630" t="e">
            <v>#N/A</v>
          </cell>
        </row>
        <row r="631">
          <cell r="Q631" t="e">
            <v>#N/A</v>
          </cell>
          <cell r="R631">
            <v>60</v>
          </cell>
        </row>
        <row r="632">
          <cell r="Q632" t="e">
            <v>#N/A</v>
          </cell>
          <cell r="R632">
            <v>60</v>
          </cell>
        </row>
        <row r="633">
          <cell r="Q633">
            <v>24</v>
          </cell>
          <cell r="R633" t="e">
            <v>#N/A</v>
          </cell>
        </row>
        <row r="634">
          <cell r="Q634" t="e">
            <v>#N/A</v>
          </cell>
          <cell r="R634">
            <v>55</v>
          </cell>
        </row>
        <row r="635">
          <cell r="Q635" t="e">
            <v>#N/A</v>
          </cell>
          <cell r="R635">
            <v>50</v>
          </cell>
        </row>
        <row r="636">
          <cell r="Q636" t="e">
            <v>#N/A</v>
          </cell>
          <cell r="R636">
            <v>25</v>
          </cell>
        </row>
        <row r="637">
          <cell r="Q637" t="e">
            <v>#N/A</v>
          </cell>
          <cell r="R637">
            <v>55</v>
          </cell>
        </row>
        <row r="638">
          <cell r="Q638" t="e">
            <v>#N/A</v>
          </cell>
          <cell r="R638">
            <v>40</v>
          </cell>
        </row>
        <row r="639">
          <cell r="Q639" t="e">
            <v>#N/A</v>
          </cell>
          <cell r="R639">
            <v>48</v>
          </cell>
        </row>
        <row r="640">
          <cell r="Q640" t="e">
            <v>#N/A</v>
          </cell>
          <cell r="R640">
            <v>40</v>
          </cell>
        </row>
        <row r="641">
          <cell r="Q641">
            <v>40</v>
          </cell>
          <cell r="R641" t="e">
            <v>#N/A</v>
          </cell>
        </row>
        <row r="642">
          <cell r="Q642">
            <v>40</v>
          </cell>
          <cell r="R642" t="e">
            <v>#N/A</v>
          </cell>
        </row>
        <row r="643">
          <cell r="Q643" t="e">
            <v>#N/A</v>
          </cell>
          <cell r="R643">
            <v>60</v>
          </cell>
        </row>
        <row r="644">
          <cell r="Q644">
            <v>99</v>
          </cell>
          <cell r="R644" t="e">
            <v>#N/A</v>
          </cell>
        </row>
      </sheetData>
      <sheetData sheetId="6"/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m" refreshedDate="46104.639819444441" createdVersion="8" refreshedVersion="8" minRefreshableVersion="3" recordCount="643" xr:uid="{2693471B-A049-42D1-B8E1-C04B6006BEE4}">
  <cacheSource type="worksheet">
    <worksheetSource name="Tabela3"/>
  </cacheSource>
  <cacheFields count="16">
    <cacheField name="Indeks" numFmtId="0">
      <sharedItems containsSemiMixedTypes="0" containsString="0" containsNumber="1" containsInteger="1" minValue="1" maxValue="643"/>
    </cacheField>
    <cacheField name="Age" numFmtId="0">
      <sharedItems containsSemiMixedTypes="0" containsString="0" containsNumber="1" containsInteger="1" minValue="17" maxValue="90" count="62">
        <n v="18"/>
        <n v="28"/>
        <n v="35"/>
        <n v="46"/>
        <n v="34"/>
        <n v="44"/>
        <n v="54"/>
        <n v="30"/>
        <n v="42"/>
        <n v="21"/>
        <n v="36"/>
        <n v="31"/>
        <n v="55"/>
        <n v="45"/>
        <n v="23"/>
        <n v="40"/>
        <n v="37"/>
        <n v="43"/>
        <n v="29"/>
        <n v="17"/>
        <n v="66"/>
        <n v="69"/>
        <n v="27"/>
        <n v="26"/>
        <n v="50"/>
        <n v="59"/>
        <n v="64"/>
        <n v="19"/>
        <n v="47"/>
        <n v="56"/>
        <n v="51"/>
        <n v="20"/>
        <n v="25"/>
        <n v="22"/>
        <n v="39"/>
        <n v="53"/>
        <n v="24"/>
        <n v="58"/>
        <n v="41"/>
        <n v="48"/>
        <n v="33"/>
        <n v="73"/>
        <n v="70"/>
        <n v="38"/>
        <n v="32"/>
        <n v="52"/>
        <n v="57"/>
        <n v="61"/>
        <n v="63"/>
        <n v="49"/>
        <n v="90"/>
        <n v="62"/>
        <n v="74"/>
        <n v="60"/>
        <n v="67"/>
        <n v="71"/>
        <n v="65"/>
        <n v="75"/>
        <n v="68"/>
        <n v="76"/>
        <n v="80"/>
        <n v="81"/>
      </sharedItems>
      <fieldGroup base="1">
        <rangePr startNum="17" endNum="90" groupInterval="10"/>
        <groupItems count="10">
          <s v="&lt;17"/>
          <s v="17-26"/>
          <s v="27-36"/>
          <s v="37-46"/>
          <s v="47-56"/>
          <s v="57-66"/>
          <s v="67-76"/>
          <s v="77-86"/>
          <s v="87-96"/>
          <s v="&gt;97"/>
        </groupItems>
      </fieldGroup>
    </cacheField>
    <cacheField name="Work_class" numFmtId="0">
      <sharedItems/>
    </cacheField>
    <cacheField name="fnlwgt" numFmtId="0">
      <sharedItems containsSemiMixedTypes="0" containsString="0" containsNumber="1" containsInteger="1" minValue="19302" maxValue="592930"/>
    </cacheField>
    <cacheField name="education" numFmtId="0">
      <sharedItems count="16">
        <s v="11th"/>
        <s v="Assoc-acdm"/>
        <s v="Some-college"/>
        <s v="5th-6th"/>
        <s v="12th"/>
        <s v="Bachelors"/>
        <s v="HS-grad"/>
        <s v="Masters"/>
        <s v="10th"/>
        <s v="Assoc-voc"/>
        <s v="Prof-school"/>
        <s v="Preschool"/>
        <s v="7th-8th"/>
        <s v="Doctorate"/>
        <s v="9th"/>
        <s v="1st-4th"/>
      </sharedItems>
    </cacheField>
    <cacheField name="education-num" numFmtId="0">
      <sharedItems containsSemiMixedTypes="0" containsString="0" containsNumber="1" containsInteger="1" minValue="1" maxValue="16"/>
    </cacheField>
    <cacheField name="marital-status" numFmtId="0">
      <sharedItems count="6">
        <s v="Never-married"/>
        <s v="Divorced"/>
        <s v="Separated"/>
        <s v="Married-civ-spouse"/>
        <s v="Widowed"/>
        <s v="Married-spouse-absent"/>
      </sharedItems>
    </cacheField>
    <cacheField name="occupation" numFmtId="0">
      <sharedItems/>
    </cacheField>
    <cacheField name="relationship" numFmtId="0">
      <sharedItems/>
    </cacheField>
    <cacheField name="race" numFmtId="0">
      <sharedItems count="4">
        <s v="White"/>
        <s v="Amer-Indian-Eskimo"/>
        <s v="Black"/>
        <s v="Asian-Pac-Islander"/>
      </sharedItems>
    </cacheField>
    <cacheField name="sex" numFmtId="0">
      <sharedItems count="2">
        <s v="Female"/>
        <s v="Male"/>
      </sharedItems>
    </cacheField>
    <cacheField name="capital-gain" numFmtId="0">
      <sharedItems containsSemiMixedTypes="0" containsString="0" containsNumber="1" containsInteger="1" minValue="0" maxValue="99999"/>
    </cacheField>
    <cacheField name="capital-loss" numFmtId="0">
      <sharedItems containsSemiMixedTypes="0" containsString="0" containsNumber="1" containsInteger="1" minValue="0" maxValue="2824"/>
    </cacheField>
    <cacheField name="hours-per-week" numFmtId="0">
      <sharedItems containsSemiMixedTypes="0" containsString="0" containsNumber="1" containsInteger="1" minValue="4" maxValue="99"/>
    </cacheField>
    <cacheField name="native-country" numFmtId="0">
      <sharedItems/>
    </cacheField>
    <cacheField name="Income" numFmtId="0">
      <sharedItems count="2">
        <s v="&lt;=50K"/>
        <s v="&gt;50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">
  <r>
    <n v="1"/>
    <x v="0"/>
    <s v="Private"/>
    <n v="309634"/>
    <x v="0"/>
    <n v="7"/>
    <x v="0"/>
    <s v="Other-service"/>
    <s v="Own-child"/>
    <x v="0"/>
    <x v="0"/>
    <n v="0"/>
    <n v="0"/>
    <n v="22"/>
    <s v="United-States"/>
    <x v="0"/>
  </r>
  <r>
    <n v="2"/>
    <x v="1"/>
    <s v="Private"/>
    <n v="69621"/>
    <x v="1"/>
    <n v="12"/>
    <x v="0"/>
    <s v="Sales"/>
    <s v="Not-in-family"/>
    <x v="0"/>
    <x v="0"/>
    <n v="0"/>
    <n v="0"/>
    <n v="60"/>
    <s v="United-States"/>
    <x v="0"/>
  </r>
  <r>
    <n v="3"/>
    <x v="2"/>
    <s v="Private"/>
    <n v="153790"/>
    <x v="2"/>
    <n v="10"/>
    <x v="0"/>
    <s v="Sales"/>
    <s v="Not-in-family"/>
    <x v="1"/>
    <x v="0"/>
    <n v="0"/>
    <n v="0"/>
    <n v="40"/>
    <s v="United-States"/>
    <x v="0"/>
  </r>
  <r>
    <n v="4"/>
    <x v="3"/>
    <s v="Private"/>
    <n v="214955"/>
    <x v="3"/>
    <n v="3"/>
    <x v="1"/>
    <s v="Craft-repair"/>
    <s v="Not-in-family"/>
    <x v="0"/>
    <x v="0"/>
    <n v="0"/>
    <n v="2339"/>
    <n v="45"/>
    <s v="United-States"/>
    <x v="0"/>
  </r>
  <r>
    <n v="5"/>
    <x v="2"/>
    <s v="Private"/>
    <n v="92440"/>
    <x v="4"/>
    <n v="8"/>
    <x v="1"/>
    <s v="Craft-repair"/>
    <s v="Not-in-family"/>
    <x v="0"/>
    <x v="1"/>
    <n v="0"/>
    <n v="0"/>
    <n v="50"/>
    <s v="United-States"/>
    <x v="1"/>
  </r>
  <r>
    <n v="6"/>
    <x v="4"/>
    <s v="Local-gov"/>
    <n v="243867"/>
    <x v="0"/>
    <n v="7"/>
    <x v="2"/>
    <s v="Machine-op-inspct"/>
    <s v="Not-in-family"/>
    <x v="2"/>
    <x v="1"/>
    <n v="0"/>
    <n v="0"/>
    <n v="40"/>
    <s v="United-States"/>
    <x v="0"/>
  </r>
  <r>
    <n v="7"/>
    <x v="5"/>
    <s v="Private"/>
    <n v="116632"/>
    <x v="1"/>
    <n v="12"/>
    <x v="0"/>
    <s v="Farming-fishing"/>
    <s v="Own-child"/>
    <x v="0"/>
    <x v="1"/>
    <n v="0"/>
    <n v="0"/>
    <n v="40"/>
    <s v="United-States"/>
    <x v="0"/>
  </r>
  <r>
    <n v="8"/>
    <x v="1"/>
    <s v="State-gov"/>
    <n v="70100"/>
    <x v="5"/>
    <n v="13"/>
    <x v="0"/>
    <s v="Prof-specialty"/>
    <s v="Not-in-family"/>
    <x v="0"/>
    <x v="1"/>
    <n v="0"/>
    <n v="0"/>
    <n v="20"/>
    <s v="United-States"/>
    <x v="0"/>
  </r>
  <r>
    <n v="9"/>
    <x v="4"/>
    <s v="Private"/>
    <n v="148291"/>
    <x v="6"/>
    <n v="9"/>
    <x v="3"/>
    <s v="Tech-support"/>
    <s v="Wife"/>
    <x v="0"/>
    <x v="0"/>
    <n v="0"/>
    <n v="0"/>
    <n v="32"/>
    <s v="United-States"/>
    <x v="0"/>
  </r>
  <r>
    <n v="10"/>
    <x v="6"/>
    <s v="Private"/>
    <n v="212960"/>
    <x v="5"/>
    <n v="13"/>
    <x v="3"/>
    <s v="Sales"/>
    <s v="Husband"/>
    <x v="0"/>
    <x v="1"/>
    <n v="0"/>
    <n v="0"/>
    <n v="35"/>
    <s v="United-States"/>
    <x v="1"/>
  </r>
  <r>
    <n v="11"/>
    <x v="7"/>
    <s v="Private"/>
    <n v="103649"/>
    <x v="5"/>
    <n v="13"/>
    <x v="3"/>
    <s v="Adm-clerical"/>
    <s v="Wife"/>
    <x v="2"/>
    <x v="0"/>
    <n v="0"/>
    <n v="0"/>
    <n v="40"/>
    <s v="United-States"/>
    <x v="1"/>
  </r>
  <r>
    <n v="12"/>
    <x v="8"/>
    <s v="Private"/>
    <n v="247019"/>
    <x v="6"/>
    <n v="9"/>
    <x v="3"/>
    <s v="Craft-repair"/>
    <s v="Husband"/>
    <x v="2"/>
    <x v="1"/>
    <n v="0"/>
    <n v="0"/>
    <n v="40"/>
    <s v="United-States"/>
    <x v="1"/>
  </r>
  <r>
    <n v="13"/>
    <x v="9"/>
    <s v="Private"/>
    <n v="163870"/>
    <x v="2"/>
    <n v="10"/>
    <x v="0"/>
    <s v="Handlers-cleaners"/>
    <s v="Own-child"/>
    <x v="0"/>
    <x v="1"/>
    <n v="0"/>
    <n v="0"/>
    <n v="30"/>
    <s v="United-States"/>
    <x v="0"/>
  </r>
  <r>
    <n v="14"/>
    <x v="10"/>
    <s v="Private"/>
    <n v="70282"/>
    <x v="2"/>
    <n v="10"/>
    <x v="1"/>
    <s v="Adm-clerical"/>
    <s v="Unmarried"/>
    <x v="2"/>
    <x v="0"/>
    <n v="0"/>
    <n v="0"/>
    <n v="40"/>
    <s v="United-States"/>
    <x v="0"/>
  </r>
  <r>
    <n v="15"/>
    <x v="11"/>
    <s v="Private"/>
    <n v="295697"/>
    <x v="6"/>
    <n v="9"/>
    <x v="2"/>
    <s v="Other-service"/>
    <s v="Unmarried"/>
    <x v="2"/>
    <x v="0"/>
    <n v="0"/>
    <n v="0"/>
    <n v="40"/>
    <s v="United-States"/>
    <x v="0"/>
  </r>
  <r>
    <n v="16"/>
    <x v="12"/>
    <s v="Private"/>
    <n v="173093"/>
    <x v="2"/>
    <n v="10"/>
    <x v="1"/>
    <s v="Adm-clerical"/>
    <s v="Not-in-family"/>
    <x v="3"/>
    <x v="0"/>
    <n v="0"/>
    <n v="0"/>
    <n v="40"/>
    <s v="United-States"/>
    <x v="0"/>
  </r>
  <r>
    <n v="17"/>
    <x v="13"/>
    <s v="?"/>
    <n v="51164"/>
    <x v="2"/>
    <n v="10"/>
    <x v="3"/>
    <s v="?"/>
    <s v="Wife"/>
    <x v="2"/>
    <x v="0"/>
    <n v="0"/>
    <n v="0"/>
    <n v="40"/>
    <s v="United-States"/>
    <x v="0"/>
  </r>
  <r>
    <n v="18"/>
    <x v="14"/>
    <s v="Private"/>
    <n v="145111"/>
    <x v="6"/>
    <n v="9"/>
    <x v="0"/>
    <s v="Transport-moving"/>
    <s v="Unmarried"/>
    <x v="0"/>
    <x v="1"/>
    <n v="0"/>
    <n v="0"/>
    <n v="50"/>
    <s v="United-States"/>
    <x v="0"/>
  </r>
  <r>
    <n v="19"/>
    <x v="15"/>
    <s v="State-gov"/>
    <n v="188693"/>
    <x v="7"/>
    <n v="14"/>
    <x v="3"/>
    <s v="Prof-specialty"/>
    <s v="Husband"/>
    <x v="0"/>
    <x v="1"/>
    <n v="0"/>
    <n v="0"/>
    <n v="35"/>
    <s v="United-States"/>
    <x v="1"/>
  </r>
  <r>
    <n v="20"/>
    <x v="16"/>
    <s v="Private"/>
    <n v="215310"/>
    <x v="6"/>
    <n v="9"/>
    <x v="3"/>
    <s v="Craft-repair"/>
    <s v="Husband"/>
    <x v="0"/>
    <x v="1"/>
    <n v="0"/>
    <n v="0"/>
    <n v="50"/>
    <s v="United-States"/>
    <x v="1"/>
  </r>
  <r>
    <n v="21"/>
    <x v="17"/>
    <s v="Private"/>
    <n v="173728"/>
    <x v="5"/>
    <n v="13"/>
    <x v="2"/>
    <s v="Prof-specialty"/>
    <s v="Unmarried"/>
    <x v="0"/>
    <x v="0"/>
    <n v="0"/>
    <n v="0"/>
    <n v="40"/>
    <s v="United-States"/>
    <x v="0"/>
  </r>
  <r>
    <n v="22"/>
    <x v="11"/>
    <s v="Private"/>
    <n v="185732"/>
    <x v="6"/>
    <n v="9"/>
    <x v="0"/>
    <s v="Other-service"/>
    <s v="Own-child"/>
    <x v="0"/>
    <x v="0"/>
    <n v="0"/>
    <n v="0"/>
    <n v="30"/>
    <s v="United-States"/>
    <x v="0"/>
  </r>
  <r>
    <n v="23"/>
    <x v="1"/>
    <s v="Self-emp-not-inc"/>
    <n v="218555"/>
    <x v="2"/>
    <n v="10"/>
    <x v="0"/>
    <s v="Transport-moving"/>
    <s v="Not-in-family"/>
    <x v="0"/>
    <x v="1"/>
    <n v="0"/>
    <n v="1762"/>
    <n v="40"/>
    <s v="United-States"/>
    <x v="0"/>
  </r>
  <r>
    <n v="24"/>
    <x v="18"/>
    <s v="Federal-gov"/>
    <n v="301010"/>
    <x v="2"/>
    <n v="10"/>
    <x v="0"/>
    <s v="Armed-Forces"/>
    <s v="Not-in-family"/>
    <x v="2"/>
    <x v="1"/>
    <n v="0"/>
    <n v="0"/>
    <n v="60"/>
    <s v="United-States"/>
    <x v="0"/>
  </r>
  <r>
    <n v="25"/>
    <x v="19"/>
    <s v="?"/>
    <n v="138507"/>
    <x v="8"/>
    <n v="6"/>
    <x v="0"/>
    <s v="?"/>
    <s v="Own-child"/>
    <x v="0"/>
    <x v="1"/>
    <n v="0"/>
    <n v="0"/>
    <n v="20"/>
    <s v="United-States"/>
    <x v="0"/>
  </r>
  <r>
    <n v="26"/>
    <x v="19"/>
    <s v="Private"/>
    <n v="197850"/>
    <x v="0"/>
    <n v="7"/>
    <x v="0"/>
    <s v="Adm-clerical"/>
    <s v="Own-child"/>
    <x v="3"/>
    <x v="0"/>
    <n v="0"/>
    <n v="0"/>
    <n v="24"/>
    <s v="United-States"/>
    <x v="0"/>
  </r>
  <r>
    <n v="27"/>
    <x v="20"/>
    <s v="Self-emp-not-inc"/>
    <n v="298834"/>
    <x v="9"/>
    <n v="11"/>
    <x v="3"/>
    <s v="Prof-specialty"/>
    <s v="Husband"/>
    <x v="0"/>
    <x v="1"/>
    <n v="0"/>
    <n v="0"/>
    <n v="50"/>
    <s v="United-States"/>
    <x v="0"/>
  </r>
  <r>
    <n v="28"/>
    <x v="21"/>
    <s v="?"/>
    <n v="473040"/>
    <x v="3"/>
    <n v="3"/>
    <x v="1"/>
    <s v="?"/>
    <s v="Not-in-family"/>
    <x v="0"/>
    <x v="1"/>
    <n v="0"/>
    <n v="0"/>
    <n v="40"/>
    <s v="United-States"/>
    <x v="0"/>
  </r>
  <r>
    <n v="29"/>
    <x v="22"/>
    <s v="Private"/>
    <n v="168107"/>
    <x v="5"/>
    <n v="13"/>
    <x v="3"/>
    <s v="Craft-repair"/>
    <s v="Husband"/>
    <x v="0"/>
    <x v="1"/>
    <n v="0"/>
    <n v="0"/>
    <n v="40"/>
    <s v="United-States"/>
    <x v="0"/>
  </r>
  <r>
    <n v="30"/>
    <x v="23"/>
    <s v="Private"/>
    <n v="294493"/>
    <x v="5"/>
    <n v="13"/>
    <x v="0"/>
    <s v="Craft-repair"/>
    <s v="Other-relative"/>
    <x v="0"/>
    <x v="1"/>
    <n v="0"/>
    <n v="0"/>
    <n v="40"/>
    <s v="United-States"/>
    <x v="0"/>
  </r>
  <r>
    <n v="31"/>
    <x v="24"/>
    <s v="Private"/>
    <n v="171338"/>
    <x v="2"/>
    <n v="10"/>
    <x v="3"/>
    <s v="Exec-managerial"/>
    <s v="Husband"/>
    <x v="0"/>
    <x v="1"/>
    <n v="99999"/>
    <n v="0"/>
    <n v="50"/>
    <s v="United-States"/>
    <x v="1"/>
  </r>
  <r>
    <n v="32"/>
    <x v="25"/>
    <s v="Private"/>
    <n v="183606"/>
    <x v="0"/>
    <n v="7"/>
    <x v="3"/>
    <s v="Machine-op-inspct"/>
    <s v="Husband"/>
    <x v="0"/>
    <x v="1"/>
    <n v="0"/>
    <n v="0"/>
    <n v="40"/>
    <s v="United-States"/>
    <x v="0"/>
  </r>
  <r>
    <n v="33"/>
    <x v="16"/>
    <s v="Local-gov"/>
    <n v="118909"/>
    <x v="6"/>
    <n v="9"/>
    <x v="1"/>
    <s v="Adm-clerical"/>
    <s v="Unmarried"/>
    <x v="2"/>
    <x v="0"/>
    <n v="0"/>
    <n v="0"/>
    <n v="35"/>
    <s v="United-States"/>
    <x v="0"/>
  </r>
  <r>
    <n v="34"/>
    <x v="0"/>
    <s v="Private"/>
    <n v="152545"/>
    <x v="6"/>
    <n v="9"/>
    <x v="0"/>
    <s v="Other-service"/>
    <s v="Own-child"/>
    <x v="0"/>
    <x v="0"/>
    <n v="0"/>
    <n v="0"/>
    <n v="8"/>
    <s v="United-States"/>
    <x v="0"/>
  </r>
  <r>
    <n v="35"/>
    <x v="9"/>
    <s v="Private"/>
    <n v="165475"/>
    <x v="6"/>
    <n v="9"/>
    <x v="3"/>
    <s v="Machine-op-inspct"/>
    <s v="Husband"/>
    <x v="0"/>
    <x v="1"/>
    <n v="0"/>
    <n v="0"/>
    <n v="40"/>
    <s v="United-States"/>
    <x v="0"/>
  </r>
  <r>
    <n v="36"/>
    <x v="26"/>
    <s v="Private"/>
    <n v="170483"/>
    <x v="6"/>
    <n v="9"/>
    <x v="4"/>
    <s v="Other-service"/>
    <s v="Not-in-family"/>
    <x v="0"/>
    <x v="0"/>
    <n v="0"/>
    <n v="0"/>
    <n v="38"/>
    <s v="United-States"/>
    <x v="0"/>
  </r>
  <r>
    <n v="37"/>
    <x v="24"/>
    <s v="Private"/>
    <n v="112351"/>
    <x v="6"/>
    <n v="9"/>
    <x v="1"/>
    <s v="Exec-managerial"/>
    <s v="Unmarried"/>
    <x v="0"/>
    <x v="1"/>
    <n v="0"/>
    <n v="0"/>
    <n v="38"/>
    <s v="United-States"/>
    <x v="0"/>
  </r>
  <r>
    <n v="38"/>
    <x v="27"/>
    <s v="Private"/>
    <n v="354104"/>
    <x v="6"/>
    <n v="9"/>
    <x v="0"/>
    <s v="Handlers-cleaners"/>
    <s v="Own-child"/>
    <x v="0"/>
    <x v="1"/>
    <n v="0"/>
    <n v="0"/>
    <n v="30"/>
    <s v="United-States"/>
    <x v="0"/>
  </r>
  <r>
    <n v="39"/>
    <x v="1"/>
    <s v="?"/>
    <n v="308493"/>
    <x v="6"/>
    <n v="9"/>
    <x v="3"/>
    <s v="?"/>
    <s v="Wife"/>
    <x v="0"/>
    <x v="0"/>
    <n v="0"/>
    <n v="0"/>
    <n v="17"/>
    <s v="Honduras"/>
    <x v="0"/>
  </r>
  <r>
    <n v="40"/>
    <x v="28"/>
    <s v="Private"/>
    <n v="326857"/>
    <x v="9"/>
    <n v="11"/>
    <x v="3"/>
    <s v="Craft-repair"/>
    <s v="Husband"/>
    <x v="0"/>
    <x v="1"/>
    <n v="5013"/>
    <n v="0"/>
    <n v="40"/>
    <s v="United-States"/>
    <x v="0"/>
  </r>
  <r>
    <n v="41"/>
    <x v="29"/>
    <s v="Local-gov"/>
    <n v="242670"/>
    <x v="2"/>
    <n v="10"/>
    <x v="4"/>
    <s v="Adm-clerical"/>
    <s v="Unmarried"/>
    <x v="0"/>
    <x v="0"/>
    <n v="0"/>
    <n v="0"/>
    <n v="40"/>
    <s v="United-States"/>
    <x v="0"/>
  </r>
  <r>
    <n v="42"/>
    <x v="23"/>
    <s v="Private"/>
    <n v="60726"/>
    <x v="2"/>
    <n v="10"/>
    <x v="3"/>
    <s v="Craft-repair"/>
    <s v="Husband"/>
    <x v="2"/>
    <x v="1"/>
    <n v="0"/>
    <n v="0"/>
    <n v="40"/>
    <s v="United-States"/>
    <x v="0"/>
  </r>
  <r>
    <n v="43"/>
    <x v="30"/>
    <s v="Private"/>
    <n v="204322"/>
    <x v="9"/>
    <n v="11"/>
    <x v="3"/>
    <s v="Handlers-cleaners"/>
    <s v="Husband"/>
    <x v="0"/>
    <x v="1"/>
    <n v="0"/>
    <n v="0"/>
    <n v="40"/>
    <s v="United-States"/>
    <x v="1"/>
  </r>
  <r>
    <n v="44"/>
    <x v="31"/>
    <s v="Private"/>
    <n v="236769"/>
    <x v="2"/>
    <n v="10"/>
    <x v="0"/>
    <s v="Handlers-cleaners"/>
    <s v="Own-child"/>
    <x v="0"/>
    <x v="1"/>
    <n v="0"/>
    <n v="0"/>
    <n v="40"/>
    <s v="United-States"/>
    <x v="0"/>
  </r>
  <r>
    <n v="45"/>
    <x v="32"/>
    <s v="Private"/>
    <n v="73289"/>
    <x v="6"/>
    <n v="9"/>
    <x v="0"/>
    <s v="Transport-moving"/>
    <s v="Own-child"/>
    <x v="0"/>
    <x v="1"/>
    <n v="0"/>
    <n v="0"/>
    <n v="40"/>
    <s v="United-States"/>
    <x v="0"/>
  </r>
  <r>
    <n v="46"/>
    <x v="3"/>
    <s v="Private"/>
    <n v="109089"/>
    <x v="6"/>
    <n v="9"/>
    <x v="1"/>
    <s v="Craft-repair"/>
    <s v="Not-in-family"/>
    <x v="0"/>
    <x v="1"/>
    <n v="0"/>
    <n v="0"/>
    <n v="37"/>
    <s v="United-States"/>
    <x v="0"/>
  </r>
  <r>
    <n v="47"/>
    <x v="33"/>
    <s v="Private"/>
    <n v="230574"/>
    <x v="8"/>
    <n v="6"/>
    <x v="0"/>
    <s v="Transport-moving"/>
    <s v="Own-child"/>
    <x v="0"/>
    <x v="1"/>
    <n v="0"/>
    <n v="0"/>
    <n v="25"/>
    <s v="United-States"/>
    <x v="0"/>
  </r>
  <r>
    <n v="48"/>
    <x v="16"/>
    <s v="Private"/>
    <n v="65390"/>
    <x v="5"/>
    <n v="13"/>
    <x v="3"/>
    <s v="Farming-fishing"/>
    <s v="Husband"/>
    <x v="0"/>
    <x v="1"/>
    <n v="0"/>
    <n v="0"/>
    <n v="50"/>
    <s v="United-States"/>
    <x v="0"/>
  </r>
  <r>
    <n v="49"/>
    <x v="33"/>
    <s v="Private"/>
    <n v="189950"/>
    <x v="5"/>
    <n v="13"/>
    <x v="0"/>
    <s v="Prof-specialty"/>
    <s v="Not-in-family"/>
    <x v="0"/>
    <x v="1"/>
    <n v="0"/>
    <n v="0"/>
    <n v="55"/>
    <s v="United-States"/>
    <x v="0"/>
  </r>
  <r>
    <n v="50"/>
    <x v="22"/>
    <s v="Private"/>
    <n v="387776"/>
    <x v="2"/>
    <n v="10"/>
    <x v="0"/>
    <s v="Other-service"/>
    <s v="Own-child"/>
    <x v="0"/>
    <x v="1"/>
    <n v="0"/>
    <n v="0"/>
    <n v="40"/>
    <s v="United-States"/>
    <x v="0"/>
  </r>
  <r>
    <n v="51"/>
    <x v="12"/>
    <s v="Self-emp-inc"/>
    <n v="124137"/>
    <x v="10"/>
    <n v="15"/>
    <x v="3"/>
    <s v="Prof-specialty"/>
    <s v="Husband"/>
    <x v="0"/>
    <x v="1"/>
    <n v="0"/>
    <n v="2415"/>
    <n v="35"/>
    <s v="Greece"/>
    <x v="1"/>
  </r>
  <r>
    <n v="52"/>
    <x v="34"/>
    <s v="Private"/>
    <n v="172425"/>
    <x v="9"/>
    <n v="11"/>
    <x v="3"/>
    <s v="Adm-clerical"/>
    <s v="Wife"/>
    <x v="0"/>
    <x v="0"/>
    <n v="0"/>
    <n v="0"/>
    <n v="20"/>
    <s v="United-States"/>
    <x v="1"/>
  </r>
  <r>
    <n v="53"/>
    <x v="35"/>
    <s v="?"/>
    <n v="181317"/>
    <x v="6"/>
    <n v="9"/>
    <x v="3"/>
    <s v="?"/>
    <s v="Husband"/>
    <x v="0"/>
    <x v="1"/>
    <n v="0"/>
    <n v="0"/>
    <n v="40"/>
    <s v="United-States"/>
    <x v="0"/>
  </r>
  <r>
    <n v="54"/>
    <x v="36"/>
    <s v="State-gov"/>
    <n v="166851"/>
    <x v="7"/>
    <n v="14"/>
    <x v="0"/>
    <s v="Prof-specialty"/>
    <s v="Not-in-family"/>
    <x v="0"/>
    <x v="1"/>
    <n v="0"/>
    <n v="0"/>
    <n v="13"/>
    <s v="United-States"/>
    <x v="0"/>
  </r>
  <r>
    <n v="55"/>
    <x v="36"/>
    <s v="Private"/>
    <n v="145964"/>
    <x v="5"/>
    <n v="13"/>
    <x v="0"/>
    <s v="Exec-managerial"/>
    <s v="Not-in-family"/>
    <x v="0"/>
    <x v="1"/>
    <n v="0"/>
    <n v="0"/>
    <n v="40"/>
    <s v="United-States"/>
    <x v="0"/>
  </r>
  <r>
    <n v="56"/>
    <x v="9"/>
    <s v="Private"/>
    <n v="34616"/>
    <x v="2"/>
    <n v="10"/>
    <x v="0"/>
    <s v="Other-service"/>
    <s v="Own-child"/>
    <x v="0"/>
    <x v="0"/>
    <n v="0"/>
    <n v="0"/>
    <n v="25"/>
    <s v="United-States"/>
    <x v="0"/>
  </r>
  <r>
    <n v="57"/>
    <x v="7"/>
    <s v="Federal-gov"/>
    <n v="68330"/>
    <x v="5"/>
    <n v="13"/>
    <x v="0"/>
    <s v="Prof-specialty"/>
    <s v="Not-in-family"/>
    <x v="0"/>
    <x v="1"/>
    <n v="0"/>
    <n v="0"/>
    <n v="40"/>
    <s v="United-States"/>
    <x v="1"/>
  </r>
  <r>
    <n v="58"/>
    <x v="37"/>
    <s v="Private"/>
    <n v="205896"/>
    <x v="6"/>
    <n v="9"/>
    <x v="1"/>
    <s v="Sales"/>
    <s v="Other-relative"/>
    <x v="0"/>
    <x v="0"/>
    <n v="0"/>
    <n v="0"/>
    <n v="40"/>
    <s v="United-States"/>
    <x v="0"/>
  </r>
  <r>
    <n v="59"/>
    <x v="38"/>
    <s v="Private"/>
    <n v="194710"/>
    <x v="6"/>
    <n v="9"/>
    <x v="0"/>
    <s v="Exec-managerial"/>
    <s v="Not-in-family"/>
    <x v="0"/>
    <x v="0"/>
    <n v="0"/>
    <n v="0"/>
    <n v="40"/>
    <s v="United-States"/>
    <x v="0"/>
  </r>
  <r>
    <n v="60"/>
    <x v="19"/>
    <s v="Private"/>
    <n v="295488"/>
    <x v="0"/>
    <n v="7"/>
    <x v="0"/>
    <s v="Other-service"/>
    <s v="Own-child"/>
    <x v="2"/>
    <x v="0"/>
    <n v="0"/>
    <n v="0"/>
    <n v="25"/>
    <s v="United-States"/>
    <x v="0"/>
  </r>
  <r>
    <n v="61"/>
    <x v="11"/>
    <s v="Private"/>
    <n v="169240"/>
    <x v="6"/>
    <n v="9"/>
    <x v="0"/>
    <s v="Other-service"/>
    <s v="Not-in-family"/>
    <x v="0"/>
    <x v="0"/>
    <n v="0"/>
    <n v="0"/>
    <n v="40"/>
    <s v="United-States"/>
    <x v="0"/>
  </r>
  <r>
    <n v="62"/>
    <x v="39"/>
    <s v="Private"/>
    <n v="186172"/>
    <x v="5"/>
    <n v="13"/>
    <x v="3"/>
    <s v="Exec-managerial"/>
    <s v="Husband"/>
    <x v="0"/>
    <x v="1"/>
    <n v="0"/>
    <n v="0"/>
    <n v="45"/>
    <s v="United-States"/>
    <x v="1"/>
  </r>
  <r>
    <n v="63"/>
    <x v="8"/>
    <s v="Private"/>
    <n v="200574"/>
    <x v="2"/>
    <n v="10"/>
    <x v="3"/>
    <s v="Sales"/>
    <s v="Husband"/>
    <x v="0"/>
    <x v="1"/>
    <n v="0"/>
    <n v="0"/>
    <n v="40"/>
    <s v="United-States"/>
    <x v="0"/>
  </r>
  <r>
    <n v="64"/>
    <x v="23"/>
    <s v="Private"/>
    <n v="198163"/>
    <x v="7"/>
    <n v="14"/>
    <x v="3"/>
    <s v="Sales"/>
    <s v="Wife"/>
    <x v="0"/>
    <x v="0"/>
    <n v="0"/>
    <n v="0"/>
    <n v="40"/>
    <s v="United-States"/>
    <x v="0"/>
  </r>
  <r>
    <n v="65"/>
    <x v="40"/>
    <s v="Private"/>
    <n v="144064"/>
    <x v="5"/>
    <n v="13"/>
    <x v="3"/>
    <s v="Exec-managerial"/>
    <s v="Husband"/>
    <x v="0"/>
    <x v="1"/>
    <n v="0"/>
    <n v="0"/>
    <n v="50"/>
    <s v="United-States"/>
    <x v="0"/>
  </r>
  <r>
    <n v="66"/>
    <x v="15"/>
    <s v="Private"/>
    <n v="220609"/>
    <x v="2"/>
    <n v="10"/>
    <x v="1"/>
    <s v="Exec-managerial"/>
    <s v="Not-in-family"/>
    <x v="0"/>
    <x v="0"/>
    <n v="0"/>
    <n v="0"/>
    <n v="40"/>
    <s v="United-States"/>
    <x v="0"/>
  </r>
  <r>
    <n v="67"/>
    <x v="30"/>
    <s v="Private"/>
    <n v="24185"/>
    <x v="5"/>
    <n v="13"/>
    <x v="3"/>
    <s v="Craft-repair"/>
    <s v="Husband"/>
    <x v="0"/>
    <x v="1"/>
    <n v="0"/>
    <n v="0"/>
    <n v="40"/>
    <s v="United-States"/>
    <x v="1"/>
  </r>
  <r>
    <n v="68"/>
    <x v="2"/>
    <s v="?"/>
    <n v="169809"/>
    <x v="5"/>
    <n v="13"/>
    <x v="3"/>
    <s v="?"/>
    <s v="Husband"/>
    <x v="0"/>
    <x v="1"/>
    <n v="0"/>
    <n v="0"/>
    <n v="20"/>
    <s v="United-States"/>
    <x v="0"/>
  </r>
  <r>
    <n v="69"/>
    <x v="5"/>
    <s v="Private"/>
    <n v="248973"/>
    <x v="5"/>
    <n v="13"/>
    <x v="1"/>
    <s v="Adm-clerical"/>
    <s v="Not-in-family"/>
    <x v="2"/>
    <x v="1"/>
    <n v="0"/>
    <n v="0"/>
    <n v="65"/>
    <s v="United-States"/>
    <x v="0"/>
  </r>
  <r>
    <n v="70"/>
    <x v="37"/>
    <s v="Local-gov"/>
    <n v="310085"/>
    <x v="8"/>
    <n v="6"/>
    <x v="3"/>
    <s v="Transport-moving"/>
    <s v="Husband"/>
    <x v="0"/>
    <x v="1"/>
    <n v="0"/>
    <n v="0"/>
    <n v="40"/>
    <s v="United-States"/>
    <x v="0"/>
  </r>
  <r>
    <n v="71"/>
    <x v="41"/>
    <s v="Private"/>
    <n v="123160"/>
    <x v="8"/>
    <n v="6"/>
    <x v="4"/>
    <s v="Other-service"/>
    <s v="Not-in-family"/>
    <x v="0"/>
    <x v="0"/>
    <n v="0"/>
    <n v="0"/>
    <n v="10"/>
    <s v="United-States"/>
    <x v="0"/>
  </r>
  <r>
    <n v="72"/>
    <x v="10"/>
    <s v="Private"/>
    <n v="166988"/>
    <x v="5"/>
    <n v="13"/>
    <x v="3"/>
    <s v="Prof-specialty"/>
    <s v="Wife"/>
    <x v="0"/>
    <x v="0"/>
    <n v="0"/>
    <n v="0"/>
    <n v="40"/>
    <s v="United-States"/>
    <x v="1"/>
  </r>
  <r>
    <n v="73"/>
    <x v="14"/>
    <s v="Self-emp-inc"/>
    <n v="214542"/>
    <x v="2"/>
    <n v="10"/>
    <x v="0"/>
    <s v="Prof-specialty"/>
    <s v="Not-in-family"/>
    <x v="0"/>
    <x v="1"/>
    <n v="0"/>
    <n v="0"/>
    <n v="50"/>
    <s v="United-States"/>
    <x v="0"/>
  </r>
  <r>
    <n v="74"/>
    <x v="25"/>
    <s v="Private"/>
    <n v="146391"/>
    <x v="9"/>
    <n v="11"/>
    <x v="3"/>
    <s v="Tech-support"/>
    <s v="Husband"/>
    <x v="0"/>
    <x v="1"/>
    <n v="7298"/>
    <n v="0"/>
    <n v="40"/>
    <s v="United-States"/>
    <x v="1"/>
  </r>
  <r>
    <n v="75"/>
    <x v="36"/>
    <s v="Private"/>
    <n v="102493"/>
    <x v="6"/>
    <n v="9"/>
    <x v="3"/>
    <s v="Handlers-cleaners"/>
    <s v="Husband"/>
    <x v="0"/>
    <x v="1"/>
    <n v="0"/>
    <n v="0"/>
    <n v="40"/>
    <s v="United-States"/>
    <x v="0"/>
  </r>
  <r>
    <n v="76"/>
    <x v="34"/>
    <s v="?"/>
    <n v="362685"/>
    <x v="11"/>
    <n v="1"/>
    <x v="4"/>
    <s v="?"/>
    <s v="Not-in-family"/>
    <x v="0"/>
    <x v="0"/>
    <n v="0"/>
    <n v="0"/>
    <n v="20"/>
    <s v="El-Salvador"/>
    <x v="0"/>
  </r>
  <r>
    <n v="77"/>
    <x v="17"/>
    <s v="Private"/>
    <n v="245842"/>
    <x v="6"/>
    <n v="9"/>
    <x v="3"/>
    <s v="Machine-op-inspct"/>
    <s v="Husband"/>
    <x v="0"/>
    <x v="1"/>
    <n v="0"/>
    <n v="0"/>
    <n v="44"/>
    <s v="Mexico"/>
    <x v="0"/>
  </r>
  <r>
    <n v="78"/>
    <x v="30"/>
    <s v="Private"/>
    <n v="53197"/>
    <x v="6"/>
    <n v="9"/>
    <x v="3"/>
    <s v="Craft-repair"/>
    <s v="Husband"/>
    <x v="0"/>
    <x v="1"/>
    <n v="0"/>
    <n v="0"/>
    <n v="40"/>
    <s v="United-States"/>
    <x v="0"/>
  </r>
  <r>
    <n v="79"/>
    <x v="42"/>
    <s v="Private"/>
    <n v="35494"/>
    <x v="6"/>
    <n v="9"/>
    <x v="3"/>
    <s v="Exec-managerial"/>
    <s v="Husband"/>
    <x v="0"/>
    <x v="1"/>
    <n v="0"/>
    <n v="0"/>
    <n v="30"/>
    <s v="United-States"/>
    <x v="0"/>
  </r>
  <r>
    <n v="80"/>
    <x v="42"/>
    <s v="Private"/>
    <n v="121993"/>
    <x v="6"/>
    <n v="9"/>
    <x v="3"/>
    <s v="Adm-clerical"/>
    <s v="Wife"/>
    <x v="0"/>
    <x v="0"/>
    <n v="0"/>
    <n v="0"/>
    <n v="5"/>
    <s v="United-States"/>
    <x v="0"/>
  </r>
  <r>
    <n v="81"/>
    <x v="1"/>
    <s v="Local-gov"/>
    <n v="154863"/>
    <x v="6"/>
    <n v="9"/>
    <x v="0"/>
    <s v="Protective-serv"/>
    <s v="Other-relative"/>
    <x v="2"/>
    <x v="1"/>
    <n v="0"/>
    <n v="1876"/>
    <n v="40"/>
    <s v="United-States"/>
    <x v="0"/>
  </r>
  <r>
    <n v="82"/>
    <x v="27"/>
    <s v="Private"/>
    <n v="38619"/>
    <x v="2"/>
    <n v="10"/>
    <x v="0"/>
    <s v="Farming-fishing"/>
    <s v="Own-child"/>
    <x v="0"/>
    <x v="1"/>
    <n v="0"/>
    <n v="0"/>
    <n v="66"/>
    <s v="United-States"/>
    <x v="0"/>
  </r>
  <r>
    <n v="83"/>
    <x v="30"/>
    <s v="Private"/>
    <n v="186338"/>
    <x v="6"/>
    <n v="9"/>
    <x v="3"/>
    <s v="Craft-repair"/>
    <s v="Husband"/>
    <x v="0"/>
    <x v="1"/>
    <n v="0"/>
    <n v="0"/>
    <n v="40"/>
    <s v="United-States"/>
    <x v="1"/>
  </r>
  <r>
    <n v="84"/>
    <x v="28"/>
    <s v="Private"/>
    <n v="76612"/>
    <x v="6"/>
    <n v="9"/>
    <x v="3"/>
    <s v="Prof-specialty"/>
    <s v="Husband"/>
    <x v="0"/>
    <x v="1"/>
    <n v="0"/>
    <n v="0"/>
    <n v="50"/>
    <s v="United-States"/>
    <x v="0"/>
  </r>
  <r>
    <n v="85"/>
    <x v="1"/>
    <s v="Private"/>
    <n v="210867"/>
    <x v="0"/>
    <n v="7"/>
    <x v="1"/>
    <s v="Sales"/>
    <s v="Own-child"/>
    <x v="0"/>
    <x v="1"/>
    <n v="0"/>
    <n v="0"/>
    <n v="40"/>
    <s v="United-States"/>
    <x v="0"/>
  </r>
  <r>
    <n v="86"/>
    <x v="38"/>
    <s v="Local-gov"/>
    <n v="52037"/>
    <x v="2"/>
    <n v="10"/>
    <x v="1"/>
    <s v="Adm-clerical"/>
    <s v="Unmarried"/>
    <x v="0"/>
    <x v="0"/>
    <n v="0"/>
    <n v="0"/>
    <n v="40"/>
    <s v="United-States"/>
    <x v="0"/>
  </r>
  <r>
    <n v="87"/>
    <x v="11"/>
    <s v="Private"/>
    <n v="45604"/>
    <x v="6"/>
    <n v="9"/>
    <x v="3"/>
    <s v="Exec-managerial"/>
    <s v="Husband"/>
    <x v="0"/>
    <x v="1"/>
    <n v="0"/>
    <n v="0"/>
    <n v="54"/>
    <s v="United-States"/>
    <x v="0"/>
  </r>
  <r>
    <n v="88"/>
    <x v="43"/>
    <s v="State-gov"/>
    <n v="31352"/>
    <x v="2"/>
    <n v="10"/>
    <x v="1"/>
    <s v="Protective-serv"/>
    <s v="Unmarried"/>
    <x v="1"/>
    <x v="0"/>
    <n v="0"/>
    <n v="0"/>
    <n v="40"/>
    <s v="United-States"/>
    <x v="1"/>
  </r>
  <r>
    <n v="89"/>
    <x v="9"/>
    <s v="Private"/>
    <n v="452640"/>
    <x v="6"/>
    <n v="9"/>
    <x v="0"/>
    <s v="Craft-repair"/>
    <s v="Not-in-family"/>
    <x v="0"/>
    <x v="1"/>
    <n v="0"/>
    <n v="0"/>
    <n v="40"/>
    <s v="United-States"/>
    <x v="0"/>
  </r>
  <r>
    <n v="90"/>
    <x v="5"/>
    <s v="Private"/>
    <n v="111483"/>
    <x v="6"/>
    <n v="9"/>
    <x v="0"/>
    <s v="Adm-clerical"/>
    <s v="Own-child"/>
    <x v="0"/>
    <x v="1"/>
    <n v="0"/>
    <n v="1504"/>
    <n v="50"/>
    <s v="United-States"/>
    <x v="0"/>
  </r>
  <r>
    <n v="91"/>
    <x v="18"/>
    <s v="Private"/>
    <n v="52636"/>
    <x v="6"/>
    <n v="9"/>
    <x v="3"/>
    <s v="Transport-moving"/>
    <s v="Husband"/>
    <x v="0"/>
    <x v="1"/>
    <n v="0"/>
    <n v="0"/>
    <n v="40"/>
    <s v="United-States"/>
    <x v="0"/>
  </r>
  <r>
    <n v="92"/>
    <x v="32"/>
    <s v="Private"/>
    <n v="267012"/>
    <x v="9"/>
    <n v="11"/>
    <x v="0"/>
    <s v="Sales"/>
    <s v="Not-in-family"/>
    <x v="0"/>
    <x v="1"/>
    <n v="0"/>
    <n v="0"/>
    <n v="45"/>
    <s v="United-States"/>
    <x v="0"/>
  </r>
  <r>
    <n v="93"/>
    <x v="31"/>
    <s v="?"/>
    <n v="24395"/>
    <x v="2"/>
    <n v="10"/>
    <x v="0"/>
    <s v="?"/>
    <s v="Unmarried"/>
    <x v="0"/>
    <x v="0"/>
    <n v="0"/>
    <n v="0"/>
    <n v="20"/>
    <s v="United-States"/>
    <x v="0"/>
  </r>
  <r>
    <n v="94"/>
    <x v="17"/>
    <s v="Private"/>
    <n v="191149"/>
    <x v="6"/>
    <n v="9"/>
    <x v="1"/>
    <s v="Exec-managerial"/>
    <s v="Not-in-family"/>
    <x v="0"/>
    <x v="0"/>
    <n v="0"/>
    <n v="0"/>
    <n v="40"/>
    <s v="United-States"/>
    <x v="0"/>
  </r>
  <r>
    <n v="95"/>
    <x v="22"/>
    <s v="Federal-gov"/>
    <n v="285432"/>
    <x v="1"/>
    <n v="12"/>
    <x v="0"/>
    <s v="Transport-moving"/>
    <s v="Not-in-family"/>
    <x v="2"/>
    <x v="1"/>
    <n v="0"/>
    <n v="0"/>
    <n v="40"/>
    <s v="United-States"/>
    <x v="0"/>
  </r>
  <r>
    <n v="96"/>
    <x v="44"/>
    <s v="Federal-gov"/>
    <n v="125856"/>
    <x v="6"/>
    <n v="9"/>
    <x v="1"/>
    <s v="Craft-repair"/>
    <s v="Unmarried"/>
    <x v="0"/>
    <x v="1"/>
    <n v="0"/>
    <n v="0"/>
    <n v="40"/>
    <s v="United-States"/>
    <x v="0"/>
  </r>
  <r>
    <n v="97"/>
    <x v="18"/>
    <s v="Private"/>
    <n v="114224"/>
    <x v="5"/>
    <n v="13"/>
    <x v="3"/>
    <s v="Prof-specialty"/>
    <s v="Husband"/>
    <x v="0"/>
    <x v="1"/>
    <n v="0"/>
    <n v="0"/>
    <n v="40"/>
    <s v="United-States"/>
    <x v="1"/>
  </r>
  <r>
    <n v="98"/>
    <x v="4"/>
    <s v="Self-emp-inc"/>
    <n v="207668"/>
    <x v="6"/>
    <n v="9"/>
    <x v="3"/>
    <s v="Craft-repair"/>
    <s v="Husband"/>
    <x v="0"/>
    <x v="1"/>
    <n v="0"/>
    <n v="0"/>
    <n v="54"/>
    <s v="?"/>
    <x v="1"/>
  </r>
  <r>
    <n v="99"/>
    <x v="8"/>
    <s v="Self-emp-not-inc"/>
    <n v="174216"/>
    <x v="10"/>
    <n v="15"/>
    <x v="3"/>
    <s v="Prof-specialty"/>
    <s v="Husband"/>
    <x v="0"/>
    <x v="1"/>
    <n v="0"/>
    <n v="0"/>
    <n v="38"/>
    <s v="United-States"/>
    <x v="1"/>
  </r>
  <r>
    <n v="100"/>
    <x v="34"/>
    <s v="Private"/>
    <n v="172538"/>
    <x v="6"/>
    <n v="9"/>
    <x v="3"/>
    <s v="Prof-specialty"/>
    <s v="Husband"/>
    <x v="0"/>
    <x v="1"/>
    <n v="0"/>
    <n v="0"/>
    <n v="50"/>
    <s v="United-States"/>
    <x v="1"/>
  </r>
  <r>
    <n v="101"/>
    <x v="8"/>
    <s v="State-gov"/>
    <n v="55764"/>
    <x v="1"/>
    <n v="12"/>
    <x v="1"/>
    <s v="Prof-specialty"/>
    <s v="Not-in-family"/>
    <x v="2"/>
    <x v="1"/>
    <n v="0"/>
    <n v="0"/>
    <n v="40"/>
    <s v="United-States"/>
    <x v="0"/>
  </r>
  <r>
    <n v="102"/>
    <x v="32"/>
    <s v="Private"/>
    <n v="252752"/>
    <x v="2"/>
    <n v="10"/>
    <x v="0"/>
    <s v="Prof-specialty"/>
    <s v="Not-in-family"/>
    <x v="0"/>
    <x v="0"/>
    <n v="0"/>
    <n v="0"/>
    <n v="8"/>
    <s v="United-States"/>
    <x v="0"/>
  </r>
  <r>
    <n v="103"/>
    <x v="45"/>
    <s v="Private"/>
    <n v="270142"/>
    <x v="9"/>
    <n v="11"/>
    <x v="2"/>
    <s v="Exec-managerial"/>
    <s v="Unmarried"/>
    <x v="2"/>
    <x v="0"/>
    <n v="0"/>
    <n v="0"/>
    <n v="60"/>
    <s v="United-States"/>
    <x v="0"/>
  </r>
  <r>
    <n v="104"/>
    <x v="23"/>
    <s v="Private"/>
    <n v="132661"/>
    <x v="6"/>
    <n v="9"/>
    <x v="3"/>
    <s v="Exec-managerial"/>
    <s v="Wife"/>
    <x v="0"/>
    <x v="0"/>
    <n v="5013"/>
    <n v="0"/>
    <n v="40"/>
    <s v="United-States"/>
    <x v="0"/>
  </r>
  <r>
    <n v="105"/>
    <x v="46"/>
    <s v="Local-gov"/>
    <n v="44273"/>
    <x v="6"/>
    <n v="9"/>
    <x v="4"/>
    <s v="Transport-moving"/>
    <s v="Not-in-family"/>
    <x v="0"/>
    <x v="0"/>
    <n v="0"/>
    <n v="0"/>
    <n v="40"/>
    <s v="United-States"/>
    <x v="0"/>
  </r>
  <r>
    <n v="106"/>
    <x v="1"/>
    <s v="Private"/>
    <n v="56179"/>
    <x v="2"/>
    <n v="10"/>
    <x v="0"/>
    <s v="Exec-managerial"/>
    <s v="Not-in-family"/>
    <x v="0"/>
    <x v="1"/>
    <n v="2174"/>
    <n v="0"/>
    <n v="55"/>
    <s v="United-States"/>
    <x v="0"/>
  </r>
  <r>
    <n v="107"/>
    <x v="1"/>
    <s v="Private"/>
    <n v="149734"/>
    <x v="6"/>
    <n v="9"/>
    <x v="0"/>
    <s v="Other-service"/>
    <s v="Unmarried"/>
    <x v="2"/>
    <x v="0"/>
    <n v="0"/>
    <n v="0"/>
    <n v="52"/>
    <s v="United-States"/>
    <x v="0"/>
  </r>
  <r>
    <n v="108"/>
    <x v="25"/>
    <s v="Private"/>
    <n v="194290"/>
    <x v="6"/>
    <n v="9"/>
    <x v="3"/>
    <s v="Farming-fishing"/>
    <s v="Husband"/>
    <x v="0"/>
    <x v="1"/>
    <n v="0"/>
    <n v="0"/>
    <n v="48"/>
    <s v="United-States"/>
    <x v="0"/>
  </r>
  <r>
    <n v="109"/>
    <x v="47"/>
    <s v="?"/>
    <n v="226989"/>
    <x v="2"/>
    <n v="10"/>
    <x v="5"/>
    <s v="?"/>
    <s v="Not-in-family"/>
    <x v="0"/>
    <x v="1"/>
    <n v="0"/>
    <n v="0"/>
    <n v="40"/>
    <s v="United-States"/>
    <x v="0"/>
  </r>
  <r>
    <n v="110"/>
    <x v="9"/>
    <s v="Private"/>
    <n v="146499"/>
    <x v="9"/>
    <n v="11"/>
    <x v="3"/>
    <s v="Adm-clerical"/>
    <s v="Other-relative"/>
    <x v="0"/>
    <x v="0"/>
    <n v="0"/>
    <n v="1579"/>
    <n v="40"/>
    <s v="United-States"/>
    <x v="0"/>
  </r>
  <r>
    <n v="111"/>
    <x v="27"/>
    <s v="Self-emp-not-inc"/>
    <n v="30800"/>
    <x v="8"/>
    <n v="6"/>
    <x v="5"/>
    <s v="Adm-clerical"/>
    <s v="Unmarried"/>
    <x v="1"/>
    <x v="0"/>
    <n v="0"/>
    <n v="0"/>
    <n v="40"/>
    <s v="United-States"/>
    <x v="0"/>
  </r>
  <r>
    <n v="112"/>
    <x v="1"/>
    <s v="Private"/>
    <n v="96337"/>
    <x v="2"/>
    <n v="10"/>
    <x v="0"/>
    <s v="Adm-clerical"/>
    <s v="Not-in-family"/>
    <x v="0"/>
    <x v="0"/>
    <n v="0"/>
    <n v="0"/>
    <n v="40"/>
    <s v="United-States"/>
    <x v="0"/>
  </r>
  <r>
    <n v="113"/>
    <x v="34"/>
    <s v="Local-gov"/>
    <n v="139364"/>
    <x v="5"/>
    <n v="13"/>
    <x v="3"/>
    <s v="Prof-specialty"/>
    <s v="Husband"/>
    <x v="0"/>
    <x v="1"/>
    <n v="0"/>
    <n v="0"/>
    <n v="35"/>
    <s v="United-States"/>
    <x v="1"/>
  </r>
  <r>
    <n v="114"/>
    <x v="26"/>
    <s v="?"/>
    <n v="286732"/>
    <x v="12"/>
    <n v="4"/>
    <x v="4"/>
    <s v="?"/>
    <s v="Not-in-family"/>
    <x v="0"/>
    <x v="0"/>
    <n v="0"/>
    <n v="0"/>
    <n v="40"/>
    <s v="United-States"/>
    <x v="0"/>
  </r>
  <r>
    <n v="115"/>
    <x v="1"/>
    <s v="Private"/>
    <n v="308709"/>
    <x v="5"/>
    <n v="13"/>
    <x v="0"/>
    <s v="Sales"/>
    <s v="Not-in-family"/>
    <x v="0"/>
    <x v="0"/>
    <n v="0"/>
    <n v="0"/>
    <n v="48"/>
    <s v="United-States"/>
    <x v="0"/>
  </r>
  <r>
    <n v="116"/>
    <x v="8"/>
    <s v="Private"/>
    <n v="236110"/>
    <x v="3"/>
    <n v="3"/>
    <x v="5"/>
    <s v="Craft-repair"/>
    <s v="Not-in-family"/>
    <x v="0"/>
    <x v="1"/>
    <n v="0"/>
    <n v="0"/>
    <n v="40"/>
    <s v="Puerto-Rico"/>
    <x v="0"/>
  </r>
  <r>
    <n v="117"/>
    <x v="2"/>
    <s v="Private"/>
    <n v="112271"/>
    <x v="7"/>
    <n v="14"/>
    <x v="3"/>
    <s v="Adm-clerical"/>
    <s v="Husband"/>
    <x v="0"/>
    <x v="1"/>
    <n v="0"/>
    <n v="0"/>
    <n v="40"/>
    <s v="United-States"/>
    <x v="0"/>
  </r>
  <r>
    <n v="118"/>
    <x v="14"/>
    <s v="Private"/>
    <n v="224954"/>
    <x v="2"/>
    <n v="10"/>
    <x v="0"/>
    <s v="Machine-op-inspct"/>
    <s v="Own-child"/>
    <x v="0"/>
    <x v="1"/>
    <n v="0"/>
    <n v="0"/>
    <n v="25"/>
    <s v="United-States"/>
    <x v="0"/>
  </r>
  <r>
    <n v="119"/>
    <x v="48"/>
    <s v="Private"/>
    <n v="68872"/>
    <x v="6"/>
    <n v="9"/>
    <x v="3"/>
    <s v="Transport-moving"/>
    <s v="Wife"/>
    <x v="3"/>
    <x v="0"/>
    <n v="0"/>
    <n v="0"/>
    <n v="20"/>
    <s v="United-States"/>
    <x v="0"/>
  </r>
  <r>
    <n v="120"/>
    <x v="35"/>
    <s v="Private"/>
    <n v="152373"/>
    <x v="2"/>
    <n v="10"/>
    <x v="1"/>
    <s v="Craft-repair"/>
    <s v="Not-in-family"/>
    <x v="0"/>
    <x v="1"/>
    <n v="0"/>
    <n v="0"/>
    <n v="48"/>
    <s v="United-States"/>
    <x v="1"/>
  </r>
  <r>
    <n v="121"/>
    <x v="29"/>
    <s v="Self-emp-not-inc"/>
    <n v="258752"/>
    <x v="5"/>
    <n v="13"/>
    <x v="3"/>
    <s v="Exec-managerial"/>
    <s v="Husband"/>
    <x v="0"/>
    <x v="1"/>
    <n v="0"/>
    <n v="0"/>
    <n v="60"/>
    <s v="United-States"/>
    <x v="0"/>
  </r>
  <r>
    <n v="122"/>
    <x v="49"/>
    <s v="Private"/>
    <n v="115784"/>
    <x v="6"/>
    <n v="9"/>
    <x v="3"/>
    <s v="Machine-op-inspct"/>
    <s v="Husband"/>
    <x v="0"/>
    <x v="1"/>
    <n v="0"/>
    <n v="0"/>
    <n v="40"/>
    <s v="United-States"/>
    <x v="0"/>
  </r>
  <r>
    <n v="123"/>
    <x v="28"/>
    <s v="Private"/>
    <n v="80924"/>
    <x v="2"/>
    <n v="10"/>
    <x v="4"/>
    <s v="Other-service"/>
    <s v="Not-in-family"/>
    <x v="0"/>
    <x v="0"/>
    <n v="0"/>
    <n v="0"/>
    <n v="35"/>
    <s v="United-States"/>
    <x v="0"/>
  </r>
  <r>
    <n v="124"/>
    <x v="33"/>
    <s v="Private"/>
    <n v="203240"/>
    <x v="8"/>
    <n v="6"/>
    <x v="0"/>
    <s v="Adm-clerical"/>
    <s v="Not-in-family"/>
    <x v="0"/>
    <x v="0"/>
    <n v="0"/>
    <n v="0"/>
    <n v="40"/>
    <s v="United-States"/>
    <x v="0"/>
  </r>
  <r>
    <n v="125"/>
    <x v="31"/>
    <s v="Private"/>
    <n v="105312"/>
    <x v="2"/>
    <n v="10"/>
    <x v="0"/>
    <s v="Sales"/>
    <s v="Own-child"/>
    <x v="0"/>
    <x v="0"/>
    <n v="0"/>
    <n v="0"/>
    <n v="18"/>
    <s v="United-States"/>
    <x v="0"/>
  </r>
  <r>
    <n v="126"/>
    <x v="0"/>
    <s v="Private"/>
    <n v="71792"/>
    <x v="6"/>
    <n v="9"/>
    <x v="0"/>
    <s v="Sales"/>
    <s v="Own-child"/>
    <x v="3"/>
    <x v="0"/>
    <n v="0"/>
    <n v="0"/>
    <n v="40"/>
    <s v="United-States"/>
    <x v="0"/>
  </r>
  <r>
    <n v="127"/>
    <x v="11"/>
    <s v="Private"/>
    <n v="114324"/>
    <x v="9"/>
    <n v="11"/>
    <x v="0"/>
    <s v="Other-service"/>
    <s v="Not-in-family"/>
    <x v="2"/>
    <x v="0"/>
    <n v="0"/>
    <n v="0"/>
    <n v="40"/>
    <s v="United-States"/>
    <x v="0"/>
  </r>
  <r>
    <n v="128"/>
    <x v="30"/>
    <s v="Private"/>
    <n v="30008"/>
    <x v="6"/>
    <n v="9"/>
    <x v="3"/>
    <s v="Transport-moving"/>
    <s v="Husband"/>
    <x v="0"/>
    <x v="1"/>
    <n v="0"/>
    <n v="0"/>
    <n v="60"/>
    <s v="United-States"/>
    <x v="0"/>
  </r>
  <r>
    <n v="129"/>
    <x v="50"/>
    <s v="Self-emp-not-inc"/>
    <n v="155981"/>
    <x v="5"/>
    <n v="13"/>
    <x v="3"/>
    <s v="Prof-specialty"/>
    <s v="Husband"/>
    <x v="0"/>
    <x v="1"/>
    <n v="10566"/>
    <n v="0"/>
    <n v="50"/>
    <s v="United-States"/>
    <x v="0"/>
  </r>
  <r>
    <n v="130"/>
    <x v="23"/>
    <s v="Private"/>
    <n v="133373"/>
    <x v="2"/>
    <n v="10"/>
    <x v="0"/>
    <s v="Sales"/>
    <s v="Own-child"/>
    <x v="0"/>
    <x v="1"/>
    <n v="0"/>
    <n v="0"/>
    <n v="42"/>
    <s v="United-States"/>
    <x v="0"/>
  </r>
  <r>
    <n v="131"/>
    <x v="30"/>
    <s v="Self-emp-not-inc"/>
    <n v="256963"/>
    <x v="2"/>
    <n v="10"/>
    <x v="3"/>
    <s v="Sales"/>
    <s v="Husband"/>
    <x v="0"/>
    <x v="1"/>
    <n v="0"/>
    <n v="0"/>
    <n v="60"/>
    <s v="United-States"/>
    <x v="0"/>
  </r>
  <r>
    <n v="132"/>
    <x v="4"/>
    <s v="Local-gov"/>
    <n v="167063"/>
    <x v="6"/>
    <n v="9"/>
    <x v="0"/>
    <s v="Protective-serv"/>
    <s v="Own-child"/>
    <x v="0"/>
    <x v="1"/>
    <n v="0"/>
    <n v="0"/>
    <n v="40"/>
    <s v="United-States"/>
    <x v="0"/>
  </r>
  <r>
    <n v="133"/>
    <x v="39"/>
    <s v="Self-emp-inc"/>
    <n v="155664"/>
    <x v="10"/>
    <n v="15"/>
    <x v="3"/>
    <s v="Prof-specialty"/>
    <s v="Husband"/>
    <x v="0"/>
    <x v="1"/>
    <n v="0"/>
    <n v="0"/>
    <n v="60"/>
    <s v="United-States"/>
    <x v="1"/>
  </r>
  <r>
    <n v="134"/>
    <x v="26"/>
    <s v="Private"/>
    <n v="149044"/>
    <x v="7"/>
    <n v="14"/>
    <x v="3"/>
    <s v="Prof-specialty"/>
    <s v="Husband"/>
    <x v="3"/>
    <x v="1"/>
    <n v="0"/>
    <n v="2057"/>
    <n v="60"/>
    <s v="China"/>
    <x v="0"/>
  </r>
  <r>
    <n v="135"/>
    <x v="40"/>
    <s v="Private"/>
    <n v="67072"/>
    <x v="6"/>
    <n v="9"/>
    <x v="3"/>
    <s v="Sales"/>
    <s v="Husband"/>
    <x v="0"/>
    <x v="1"/>
    <n v="0"/>
    <n v="0"/>
    <n v="50"/>
    <s v="United-States"/>
    <x v="1"/>
  </r>
  <r>
    <n v="136"/>
    <x v="31"/>
    <s v="Private"/>
    <n v="115824"/>
    <x v="0"/>
    <n v="7"/>
    <x v="3"/>
    <s v="Handlers-cleaners"/>
    <s v="Husband"/>
    <x v="0"/>
    <x v="1"/>
    <n v="0"/>
    <n v="1573"/>
    <n v="40"/>
    <s v="United-States"/>
    <x v="0"/>
  </r>
  <r>
    <n v="137"/>
    <x v="16"/>
    <s v="State-gov"/>
    <n v="191779"/>
    <x v="2"/>
    <n v="10"/>
    <x v="3"/>
    <s v="Craft-repair"/>
    <s v="Husband"/>
    <x v="0"/>
    <x v="1"/>
    <n v="0"/>
    <n v="0"/>
    <n v="40"/>
    <s v="United-States"/>
    <x v="0"/>
  </r>
  <r>
    <n v="138"/>
    <x v="14"/>
    <s v="Private"/>
    <n v="33105"/>
    <x v="2"/>
    <n v="10"/>
    <x v="0"/>
    <s v="Handlers-cleaners"/>
    <s v="Own-child"/>
    <x v="1"/>
    <x v="1"/>
    <n v="0"/>
    <n v="0"/>
    <n v="40"/>
    <s v="United-States"/>
    <x v="0"/>
  </r>
  <r>
    <n v="139"/>
    <x v="7"/>
    <s v="?"/>
    <n v="203834"/>
    <x v="5"/>
    <n v="13"/>
    <x v="0"/>
    <s v="?"/>
    <s v="Not-in-family"/>
    <x v="3"/>
    <x v="0"/>
    <n v="0"/>
    <n v="0"/>
    <n v="50"/>
    <s v="Taiwan"/>
    <x v="0"/>
  </r>
  <r>
    <n v="140"/>
    <x v="13"/>
    <s v="Private"/>
    <n v="110171"/>
    <x v="6"/>
    <n v="9"/>
    <x v="0"/>
    <s v="Handlers-cleaners"/>
    <s v="Not-in-family"/>
    <x v="0"/>
    <x v="1"/>
    <n v="0"/>
    <n v="0"/>
    <n v="40"/>
    <s v="United-States"/>
    <x v="0"/>
  </r>
  <r>
    <n v="141"/>
    <x v="38"/>
    <s v="Private"/>
    <n v="166813"/>
    <x v="2"/>
    <n v="10"/>
    <x v="3"/>
    <s v="Sales"/>
    <s v="Husband"/>
    <x v="0"/>
    <x v="1"/>
    <n v="0"/>
    <n v="0"/>
    <n v="55"/>
    <s v="United-States"/>
    <x v="0"/>
  </r>
  <r>
    <n v="142"/>
    <x v="44"/>
    <s v="Private"/>
    <n v="32732"/>
    <x v="6"/>
    <n v="9"/>
    <x v="3"/>
    <s v="Prof-specialty"/>
    <s v="Husband"/>
    <x v="0"/>
    <x v="1"/>
    <n v="0"/>
    <n v="0"/>
    <n v="50"/>
    <s v="United-States"/>
    <x v="0"/>
  </r>
  <r>
    <n v="143"/>
    <x v="34"/>
    <s v="Private"/>
    <n v="269722"/>
    <x v="5"/>
    <n v="13"/>
    <x v="3"/>
    <s v="Exec-managerial"/>
    <s v="Husband"/>
    <x v="0"/>
    <x v="1"/>
    <n v="0"/>
    <n v="0"/>
    <n v="70"/>
    <s v="United-States"/>
    <x v="0"/>
  </r>
  <r>
    <n v="144"/>
    <x v="13"/>
    <s v="Private"/>
    <n v="327886"/>
    <x v="10"/>
    <n v="15"/>
    <x v="0"/>
    <s v="Prof-specialty"/>
    <s v="Not-in-family"/>
    <x v="0"/>
    <x v="1"/>
    <n v="0"/>
    <n v="0"/>
    <n v="40"/>
    <s v="United-States"/>
    <x v="1"/>
  </r>
  <r>
    <n v="145"/>
    <x v="3"/>
    <s v="Private"/>
    <n v="28419"/>
    <x v="9"/>
    <n v="11"/>
    <x v="0"/>
    <s v="Transport-moving"/>
    <s v="Not-in-family"/>
    <x v="0"/>
    <x v="1"/>
    <n v="0"/>
    <n v="0"/>
    <n v="50"/>
    <s v="United-States"/>
    <x v="0"/>
  </r>
  <r>
    <n v="146"/>
    <x v="4"/>
    <s v="Private"/>
    <n v="213722"/>
    <x v="6"/>
    <n v="9"/>
    <x v="0"/>
    <s v="Handlers-cleaners"/>
    <s v="Own-child"/>
    <x v="0"/>
    <x v="1"/>
    <n v="0"/>
    <n v="0"/>
    <n v="40"/>
    <s v="United-States"/>
    <x v="0"/>
  </r>
  <r>
    <n v="147"/>
    <x v="6"/>
    <s v="Private"/>
    <n v="94055"/>
    <x v="5"/>
    <n v="13"/>
    <x v="3"/>
    <s v="Other-service"/>
    <s v="Husband"/>
    <x v="0"/>
    <x v="1"/>
    <n v="0"/>
    <n v="0"/>
    <n v="40"/>
    <s v="United-States"/>
    <x v="0"/>
  </r>
  <r>
    <n v="148"/>
    <x v="26"/>
    <s v="Local-gov"/>
    <n v="202984"/>
    <x v="6"/>
    <n v="9"/>
    <x v="3"/>
    <s v="Craft-repair"/>
    <s v="Husband"/>
    <x v="0"/>
    <x v="1"/>
    <n v="3137"/>
    <n v="0"/>
    <n v="40"/>
    <s v="United-States"/>
    <x v="0"/>
  </r>
  <r>
    <n v="149"/>
    <x v="10"/>
    <s v="Private"/>
    <n v="128382"/>
    <x v="2"/>
    <n v="10"/>
    <x v="0"/>
    <s v="Machine-op-inspct"/>
    <s v="Unmarried"/>
    <x v="0"/>
    <x v="1"/>
    <n v="0"/>
    <n v="0"/>
    <n v="45"/>
    <s v="United-States"/>
    <x v="0"/>
  </r>
  <r>
    <n v="150"/>
    <x v="43"/>
    <s v="Private"/>
    <n v="193026"/>
    <x v="6"/>
    <n v="9"/>
    <x v="0"/>
    <s v="Other-service"/>
    <s v="Unmarried"/>
    <x v="0"/>
    <x v="1"/>
    <n v="0"/>
    <n v="1408"/>
    <n v="40"/>
    <s v="?"/>
    <x v="0"/>
  </r>
  <r>
    <n v="151"/>
    <x v="51"/>
    <s v="?"/>
    <n v="225657"/>
    <x v="6"/>
    <n v="9"/>
    <x v="3"/>
    <s v="?"/>
    <s v="Husband"/>
    <x v="0"/>
    <x v="1"/>
    <n v="0"/>
    <n v="0"/>
    <n v="24"/>
    <s v="United-States"/>
    <x v="0"/>
  </r>
  <r>
    <n v="152"/>
    <x v="29"/>
    <s v="Private"/>
    <n v="85018"/>
    <x v="6"/>
    <n v="9"/>
    <x v="0"/>
    <s v="Adm-clerical"/>
    <s v="Not-in-family"/>
    <x v="0"/>
    <x v="0"/>
    <n v="0"/>
    <n v="0"/>
    <n v="40"/>
    <s v="United-States"/>
    <x v="0"/>
  </r>
  <r>
    <n v="153"/>
    <x v="23"/>
    <s v="Private"/>
    <n v="224361"/>
    <x v="6"/>
    <n v="9"/>
    <x v="0"/>
    <s v="Exec-managerial"/>
    <s v="Not-in-family"/>
    <x v="0"/>
    <x v="1"/>
    <n v="0"/>
    <n v="0"/>
    <n v="40"/>
    <s v="United-States"/>
    <x v="0"/>
  </r>
  <r>
    <n v="154"/>
    <x v="48"/>
    <s v="Private"/>
    <n v="118798"/>
    <x v="6"/>
    <n v="9"/>
    <x v="3"/>
    <s v="Craft-repair"/>
    <s v="Husband"/>
    <x v="0"/>
    <x v="1"/>
    <n v="99999"/>
    <n v="0"/>
    <n v="40"/>
    <s v="United-States"/>
    <x v="1"/>
  </r>
  <r>
    <n v="155"/>
    <x v="43"/>
    <s v="Federal-gov"/>
    <n v="122493"/>
    <x v="5"/>
    <n v="13"/>
    <x v="3"/>
    <s v="Prof-specialty"/>
    <s v="Husband"/>
    <x v="0"/>
    <x v="1"/>
    <n v="4064"/>
    <n v="0"/>
    <n v="40"/>
    <s v="United-States"/>
    <x v="0"/>
  </r>
  <r>
    <n v="156"/>
    <x v="17"/>
    <s v="Private"/>
    <n v="59107"/>
    <x v="6"/>
    <n v="9"/>
    <x v="2"/>
    <s v="Other-service"/>
    <s v="Not-in-family"/>
    <x v="0"/>
    <x v="0"/>
    <n v="4101"/>
    <n v="0"/>
    <n v="40"/>
    <s v="United-States"/>
    <x v="0"/>
  </r>
  <r>
    <n v="157"/>
    <x v="7"/>
    <s v="?"/>
    <n v="186420"/>
    <x v="5"/>
    <n v="13"/>
    <x v="0"/>
    <s v="?"/>
    <s v="Not-in-family"/>
    <x v="0"/>
    <x v="0"/>
    <n v="0"/>
    <n v="0"/>
    <n v="40"/>
    <s v="United-States"/>
    <x v="0"/>
  </r>
  <r>
    <n v="158"/>
    <x v="23"/>
    <s v="Private"/>
    <n v="89648"/>
    <x v="5"/>
    <n v="13"/>
    <x v="0"/>
    <s v="Exec-managerial"/>
    <s v="Not-in-family"/>
    <x v="0"/>
    <x v="0"/>
    <n v="0"/>
    <n v="0"/>
    <n v="50"/>
    <s v="United-States"/>
    <x v="0"/>
  </r>
  <r>
    <n v="159"/>
    <x v="8"/>
    <s v="Private"/>
    <n v="57600"/>
    <x v="6"/>
    <n v="9"/>
    <x v="1"/>
    <s v="Prof-specialty"/>
    <s v="Not-in-family"/>
    <x v="0"/>
    <x v="0"/>
    <n v="0"/>
    <n v="0"/>
    <n v="45"/>
    <s v="United-States"/>
    <x v="0"/>
  </r>
  <r>
    <n v="160"/>
    <x v="17"/>
    <s v="Private"/>
    <n v="35910"/>
    <x v="2"/>
    <n v="10"/>
    <x v="3"/>
    <s v="Sales"/>
    <s v="Husband"/>
    <x v="0"/>
    <x v="1"/>
    <n v="0"/>
    <n v="0"/>
    <n v="43"/>
    <s v="United-States"/>
    <x v="1"/>
  </r>
  <r>
    <n v="161"/>
    <x v="18"/>
    <s v="Private"/>
    <n v="161444"/>
    <x v="6"/>
    <n v="9"/>
    <x v="3"/>
    <s v="Exec-managerial"/>
    <s v="Husband"/>
    <x v="0"/>
    <x v="1"/>
    <n v="0"/>
    <n v="0"/>
    <n v="40"/>
    <s v="Columbia"/>
    <x v="0"/>
  </r>
  <r>
    <n v="162"/>
    <x v="14"/>
    <s v="Private"/>
    <n v="176486"/>
    <x v="9"/>
    <n v="11"/>
    <x v="0"/>
    <s v="Adm-clerical"/>
    <s v="Own-child"/>
    <x v="0"/>
    <x v="0"/>
    <n v="0"/>
    <n v="0"/>
    <n v="36"/>
    <s v="United-States"/>
    <x v="0"/>
  </r>
  <r>
    <n v="163"/>
    <x v="11"/>
    <s v="Private"/>
    <n v="31600"/>
    <x v="5"/>
    <n v="13"/>
    <x v="0"/>
    <s v="Prof-specialty"/>
    <s v="Not-in-family"/>
    <x v="0"/>
    <x v="0"/>
    <n v="0"/>
    <n v="0"/>
    <n v="40"/>
    <s v="United-States"/>
    <x v="0"/>
  </r>
  <r>
    <n v="164"/>
    <x v="15"/>
    <s v="Private"/>
    <n v="173858"/>
    <x v="12"/>
    <n v="4"/>
    <x v="3"/>
    <s v="Other-service"/>
    <s v="Husband"/>
    <x v="3"/>
    <x v="1"/>
    <n v="0"/>
    <n v="0"/>
    <n v="42"/>
    <s v="Cambodia"/>
    <x v="0"/>
  </r>
  <r>
    <n v="165"/>
    <x v="24"/>
    <s v="Private"/>
    <n v="210217"/>
    <x v="5"/>
    <n v="13"/>
    <x v="1"/>
    <s v="Sales"/>
    <s v="Unmarried"/>
    <x v="2"/>
    <x v="1"/>
    <n v="0"/>
    <n v="0"/>
    <n v="40"/>
    <s v="United-States"/>
    <x v="0"/>
  </r>
  <r>
    <n v="166"/>
    <x v="44"/>
    <s v="Self-emp-inc"/>
    <n v="113543"/>
    <x v="10"/>
    <n v="15"/>
    <x v="3"/>
    <s v="Prof-specialty"/>
    <s v="Husband"/>
    <x v="0"/>
    <x v="1"/>
    <n v="0"/>
    <n v="0"/>
    <n v="40"/>
    <s v="United-States"/>
    <x v="1"/>
  </r>
  <r>
    <n v="167"/>
    <x v="19"/>
    <s v="Private"/>
    <n v="111332"/>
    <x v="0"/>
    <n v="7"/>
    <x v="0"/>
    <s v="Sales"/>
    <s v="Own-child"/>
    <x v="0"/>
    <x v="0"/>
    <n v="0"/>
    <n v="0"/>
    <n v="20"/>
    <s v="United-States"/>
    <x v="0"/>
  </r>
  <r>
    <n v="168"/>
    <x v="14"/>
    <s v="Private"/>
    <n v="222925"/>
    <x v="6"/>
    <n v="9"/>
    <x v="3"/>
    <s v="Machine-op-inspct"/>
    <s v="Own-child"/>
    <x v="0"/>
    <x v="0"/>
    <n v="2105"/>
    <n v="0"/>
    <n v="40"/>
    <s v="United-States"/>
    <x v="0"/>
  </r>
  <r>
    <n v="169"/>
    <x v="4"/>
    <s v="?"/>
    <n v="353881"/>
    <x v="9"/>
    <n v="11"/>
    <x v="3"/>
    <s v="?"/>
    <s v="Husband"/>
    <x v="0"/>
    <x v="1"/>
    <n v="3103"/>
    <n v="0"/>
    <n v="60"/>
    <s v="United-States"/>
    <x v="1"/>
  </r>
  <r>
    <n v="170"/>
    <x v="39"/>
    <s v="Private"/>
    <n v="248164"/>
    <x v="5"/>
    <n v="13"/>
    <x v="3"/>
    <s v="Sales"/>
    <s v="Husband"/>
    <x v="0"/>
    <x v="1"/>
    <n v="4386"/>
    <n v="0"/>
    <n v="50"/>
    <s v="United-States"/>
    <x v="1"/>
  </r>
  <r>
    <n v="171"/>
    <x v="15"/>
    <s v="Self-emp-not-inc"/>
    <n v="33068"/>
    <x v="6"/>
    <n v="9"/>
    <x v="3"/>
    <s v="Farming-fishing"/>
    <s v="Husband"/>
    <x v="0"/>
    <x v="1"/>
    <n v="0"/>
    <n v="0"/>
    <n v="50"/>
    <s v="United-States"/>
    <x v="0"/>
  </r>
  <r>
    <n v="172"/>
    <x v="9"/>
    <s v="Private"/>
    <n v="222490"/>
    <x v="2"/>
    <n v="10"/>
    <x v="0"/>
    <s v="Handlers-cleaners"/>
    <s v="Own-child"/>
    <x v="0"/>
    <x v="0"/>
    <n v="0"/>
    <n v="0"/>
    <n v="40"/>
    <s v="United-States"/>
    <x v="0"/>
  </r>
  <r>
    <n v="173"/>
    <x v="17"/>
    <s v="Private"/>
    <n v="115323"/>
    <x v="5"/>
    <n v="13"/>
    <x v="3"/>
    <s v="Exec-managerial"/>
    <s v="Husband"/>
    <x v="0"/>
    <x v="1"/>
    <n v="3103"/>
    <n v="0"/>
    <n v="40"/>
    <s v="United-States"/>
    <x v="1"/>
  </r>
  <r>
    <n v="174"/>
    <x v="34"/>
    <s v="State-gov"/>
    <n v="114055"/>
    <x v="5"/>
    <n v="13"/>
    <x v="0"/>
    <s v="Exec-managerial"/>
    <s v="Not-in-family"/>
    <x v="0"/>
    <x v="0"/>
    <n v="0"/>
    <n v="0"/>
    <n v="40"/>
    <s v="United-States"/>
    <x v="0"/>
  </r>
  <r>
    <n v="175"/>
    <x v="22"/>
    <s v="Private"/>
    <n v="302406"/>
    <x v="2"/>
    <n v="10"/>
    <x v="3"/>
    <s v="Sales"/>
    <s v="Husband"/>
    <x v="0"/>
    <x v="1"/>
    <n v="0"/>
    <n v="0"/>
    <n v="40"/>
    <s v="United-States"/>
    <x v="1"/>
  </r>
  <r>
    <n v="176"/>
    <x v="19"/>
    <s v="Private"/>
    <n v="294485"/>
    <x v="8"/>
    <n v="6"/>
    <x v="0"/>
    <s v="Other-service"/>
    <s v="Own-child"/>
    <x v="0"/>
    <x v="1"/>
    <n v="0"/>
    <n v="0"/>
    <n v="30"/>
    <s v="United-States"/>
    <x v="0"/>
  </r>
  <r>
    <n v="177"/>
    <x v="32"/>
    <s v="Private"/>
    <n v="177499"/>
    <x v="5"/>
    <n v="13"/>
    <x v="0"/>
    <s v="Craft-repair"/>
    <s v="Own-child"/>
    <x v="0"/>
    <x v="1"/>
    <n v="0"/>
    <n v="1590"/>
    <n v="35"/>
    <s v="United-States"/>
    <x v="0"/>
  </r>
  <r>
    <n v="178"/>
    <x v="40"/>
    <s v="Private"/>
    <n v="323069"/>
    <x v="9"/>
    <n v="11"/>
    <x v="1"/>
    <s v="Other-service"/>
    <s v="Unmarried"/>
    <x v="0"/>
    <x v="0"/>
    <n v="0"/>
    <n v="0"/>
    <n v="40"/>
    <s v="United-States"/>
    <x v="0"/>
  </r>
  <r>
    <n v="179"/>
    <x v="30"/>
    <s v="Federal-gov"/>
    <n v="45487"/>
    <x v="6"/>
    <n v="9"/>
    <x v="3"/>
    <s v="Transport-moving"/>
    <s v="Husband"/>
    <x v="0"/>
    <x v="1"/>
    <n v="0"/>
    <n v="0"/>
    <n v="80"/>
    <s v="United-States"/>
    <x v="0"/>
  </r>
  <r>
    <n v="180"/>
    <x v="22"/>
    <s v="Self-emp-not-inc"/>
    <n v="442612"/>
    <x v="6"/>
    <n v="9"/>
    <x v="3"/>
    <s v="Sales"/>
    <s v="Husband"/>
    <x v="0"/>
    <x v="1"/>
    <n v="0"/>
    <n v="0"/>
    <n v="65"/>
    <s v="United-States"/>
    <x v="1"/>
  </r>
  <r>
    <n v="181"/>
    <x v="10"/>
    <s v="Private"/>
    <n v="308945"/>
    <x v="6"/>
    <n v="9"/>
    <x v="3"/>
    <s v="Machine-op-inspct"/>
    <s v="Husband"/>
    <x v="0"/>
    <x v="1"/>
    <n v="0"/>
    <n v="0"/>
    <n v="40"/>
    <s v="United-States"/>
    <x v="0"/>
  </r>
  <r>
    <n v="182"/>
    <x v="45"/>
    <s v="Private"/>
    <n v="245275"/>
    <x v="8"/>
    <n v="6"/>
    <x v="3"/>
    <s v="Other-service"/>
    <s v="Wife"/>
    <x v="0"/>
    <x v="0"/>
    <n v="0"/>
    <n v="0"/>
    <n v="35"/>
    <s v="United-States"/>
    <x v="0"/>
  </r>
  <r>
    <n v="183"/>
    <x v="17"/>
    <s v="Private"/>
    <n v="177905"/>
    <x v="6"/>
    <n v="9"/>
    <x v="3"/>
    <s v="Handlers-cleaners"/>
    <s v="Husband"/>
    <x v="0"/>
    <x v="1"/>
    <n v="3908"/>
    <n v="0"/>
    <n v="40"/>
    <s v="United-States"/>
    <x v="0"/>
  </r>
  <r>
    <n v="184"/>
    <x v="29"/>
    <s v="Private"/>
    <n v="132026"/>
    <x v="5"/>
    <n v="13"/>
    <x v="3"/>
    <s v="Sales"/>
    <s v="Husband"/>
    <x v="2"/>
    <x v="1"/>
    <n v="7688"/>
    <n v="0"/>
    <n v="45"/>
    <s v="United-States"/>
    <x v="1"/>
  </r>
  <r>
    <n v="185"/>
    <x v="32"/>
    <s v="Private"/>
    <n v="75759"/>
    <x v="6"/>
    <n v="9"/>
    <x v="3"/>
    <s v="Transport-moving"/>
    <s v="Husband"/>
    <x v="0"/>
    <x v="1"/>
    <n v="0"/>
    <n v="0"/>
    <n v="44"/>
    <s v="United-States"/>
    <x v="1"/>
  </r>
  <r>
    <n v="186"/>
    <x v="12"/>
    <s v="Private"/>
    <n v="201112"/>
    <x v="6"/>
    <n v="9"/>
    <x v="1"/>
    <s v="Prof-specialty"/>
    <s v="Unmarried"/>
    <x v="2"/>
    <x v="0"/>
    <n v="0"/>
    <n v="0"/>
    <n v="40"/>
    <s v="United-States"/>
    <x v="0"/>
  </r>
  <r>
    <n v="187"/>
    <x v="16"/>
    <s v="Private"/>
    <n v="108913"/>
    <x v="6"/>
    <n v="9"/>
    <x v="0"/>
    <s v="Other-service"/>
    <s v="Not-in-family"/>
    <x v="0"/>
    <x v="1"/>
    <n v="0"/>
    <n v="0"/>
    <n v="40"/>
    <s v="United-States"/>
    <x v="0"/>
  </r>
  <r>
    <n v="188"/>
    <x v="4"/>
    <s v="Private"/>
    <n v="207668"/>
    <x v="2"/>
    <n v="10"/>
    <x v="3"/>
    <s v="Handlers-cleaners"/>
    <s v="Husband"/>
    <x v="0"/>
    <x v="1"/>
    <n v="0"/>
    <n v="1887"/>
    <n v="40"/>
    <s v="United-States"/>
    <x v="1"/>
  </r>
  <r>
    <n v="189"/>
    <x v="22"/>
    <s v="Private"/>
    <n v="119170"/>
    <x v="0"/>
    <n v="7"/>
    <x v="0"/>
    <s v="Exec-managerial"/>
    <s v="Unmarried"/>
    <x v="0"/>
    <x v="0"/>
    <n v="0"/>
    <n v="0"/>
    <n v="45"/>
    <s v="United-States"/>
    <x v="0"/>
  </r>
  <r>
    <n v="190"/>
    <x v="24"/>
    <s v="Private"/>
    <n v="258819"/>
    <x v="6"/>
    <n v="9"/>
    <x v="1"/>
    <s v="Craft-repair"/>
    <s v="Not-in-family"/>
    <x v="0"/>
    <x v="1"/>
    <n v="0"/>
    <n v="0"/>
    <n v="40"/>
    <s v="United-States"/>
    <x v="1"/>
  </r>
  <r>
    <n v="191"/>
    <x v="4"/>
    <s v="Self-emp-not-inc"/>
    <n v="123429"/>
    <x v="6"/>
    <n v="9"/>
    <x v="3"/>
    <s v="Sales"/>
    <s v="Husband"/>
    <x v="0"/>
    <x v="1"/>
    <n v="0"/>
    <n v="0"/>
    <n v="60"/>
    <s v="United-States"/>
    <x v="0"/>
  </r>
  <r>
    <n v="192"/>
    <x v="31"/>
    <s v="Private"/>
    <n v="120572"/>
    <x v="2"/>
    <n v="10"/>
    <x v="0"/>
    <s v="Other-service"/>
    <s v="Not-in-family"/>
    <x v="0"/>
    <x v="0"/>
    <n v="0"/>
    <n v="0"/>
    <n v="12"/>
    <s v="United-States"/>
    <x v="0"/>
  </r>
  <r>
    <n v="193"/>
    <x v="38"/>
    <s v="State-gov"/>
    <n v="116520"/>
    <x v="13"/>
    <n v="16"/>
    <x v="3"/>
    <s v="Prof-specialty"/>
    <s v="Husband"/>
    <x v="0"/>
    <x v="1"/>
    <n v="0"/>
    <n v="0"/>
    <n v="40"/>
    <s v="United-States"/>
    <x v="1"/>
  </r>
  <r>
    <n v="194"/>
    <x v="43"/>
    <s v="Self-emp-not-inc"/>
    <n v="201328"/>
    <x v="12"/>
    <n v="4"/>
    <x v="3"/>
    <s v="Farming-fishing"/>
    <s v="Husband"/>
    <x v="0"/>
    <x v="1"/>
    <n v="0"/>
    <n v="0"/>
    <n v="56"/>
    <s v="United-States"/>
    <x v="0"/>
  </r>
  <r>
    <n v="195"/>
    <x v="34"/>
    <s v="Private"/>
    <n v="188069"/>
    <x v="14"/>
    <n v="5"/>
    <x v="3"/>
    <s v="Transport-moving"/>
    <s v="Husband"/>
    <x v="0"/>
    <x v="1"/>
    <n v="0"/>
    <n v="0"/>
    <n v="25"/>
    <s v="United-States"/>
    <x v="0"/>
  </r>
  <r>
    <n v="196"/>
    <x v="10"/>
    <s v="Private"/>
    <n v="272944"/>
    <x v="6"/>
    <n v="9"/>
    <x v="0"/>
    <s v="Transport-moving"/>
    <s v="Not-in-family"/>
    <x v="0"/>
    <x v="1"/>
    <n v="0"/>
    <n v="0"/>
    <n v="45"/>
    <s v="United-States"/>
    <x v="0"/>
  </r>
  <r>
    <n v="197"/>
    <x v="26"/>
    <s v="Local-gov"/>
    <n v="202738"/>
    <x v="6"/>
    <n v="9"/>
    <x v="3"/>
    <s v="Adm-clerical"/>
    <s v="Wife"/>
    <x v="0"/>
    <x v="0"/>
    <n v="0"/>
    <n v="0"/>
    <n v="35"/>
    <s v="United-States"/>
    <x v="0"/>
  </r>
  <r>
    <n v="198"/>
    <x v="0"/>
    <s v="Private"/>
    <n v="374969"/>
    <x v="8"/>
    <n v="6"/>
    <x v="0"/>
    <s v="Transport-moving"/>
    <s v="Not-in-family"/>
    <x v="0"/>
    <x v="1"/>
    <n v="0"/>
    <n v="0"/>
    <n v="56"/>
    <s v="United-States"/>
    <x v="0"/>
  </r>
  <r>
    <n v="199"/>
    <x v="3"/>
    <s v="Private"/>
    <n v="179869"/>
    <x v="6"/>
    <n v="9"/>
    <x v="3"/>
    <s v="Craft-repair"/>
    <s v="Husband"/>
    <x v="0"/>
    <x v="1"/>
    <n v="0"/>
    <n v="0"/>
    <n v="40"/>
    <s v="United-States"/>
    <x v="0"/>
  </r>
  <r>
    <n v="200"/>
    <x v="0"/>
    <s v="Private"/>
    <n v="120691"/>
    <x v="2"/>
    <n v="10"/>
    <x v="0"/>
    <s v="Other-service"/>
    <s v="Own-child"/>
    <x v="2"/>
    <x v="1"/>
    <n v="0"/>
    <n v="0"/>
    <n v="35"/>
    <s v="?"/>
    <x v="0"/>
  </r>
  <r>
    <n v="201"/>
    <x v="48"/>
    <s v="Private"/>
    <n v="100099"/>
    <x v="6"/>
    <n v="9"/>
    <x v="5"/>
    <s v="Craft-repair"/>
    <s v="Not-in-family"/>
    <x v="0"/>
    <x v="1"/>
    <n v="0"/>
    <n v="0"/>
    <n v="40"/>
    <s v="United-States"/>
    <x v="0"/>
  </r>
  <r>
    <n v="202"/>
    <x v="29"/>
    <s v="State-gov"/>
    <n v="143931"/>
    <x v="5"/>
    <n v="13"/>
    <x v="4"/>
    <s v="Prof-specialty"/>
    <s v="Not-in-family"/>
    <x v="0"/>
    <x v="0"/>
    <n v="0"/>
    <n v="0"/>
    <n v="40"/>
    <s v="United-States"/>
    <x v="0"/>
  </r>
  <r>
    <n v="203"/>
    <x v="25"/>
    <s v="Private"/>
    <n v="271571"/>
    <x v="2"/>
    <n v="10"/>
    <x v="3"/>
    <s v="Craft-repair"/>
    <s v="Husband"/>
    <x v="0"/>
    <x v="1"/>
    <n v="15024"/>
    <n v="0"/>
    <n v="50"/>
    <s v="United-States"/>
    <x v="1"/>
  </r>
  <r>
    <n v="204"/>
    <x v="16"/>
    <s v="Private"/>
    <n v="126743"/>
    <x v="15"/>
    <n v="2"/>
    <x v="3"/>
    <s v="Other-service"/>
    <s v="Husband"/>
    <x v="0"/>
    <x v="1"/>
    <n v="0"/>
    <n v="0"/>
    <n v="53"/>
    <s v="Mexico"/>
    <x v="0"/>
  </r>
  <r>
    <n v="205"/>
    <x v="9"/>
    <s v="Private"/>
    <n v="232569"/>
    <x v="6"/>
    <n v="9"/>
    <x v="0"/>
    <s v="Handlers-cleaners"/>
    <s v="Not-in-family"/>
    <x v="0"/>
    <x v="1"/>
    <n v="0"/>
    <n v="0"/>
    <n v="40"/>
    <s v="United-States"/>
    <x v="0"/>
  </r>
  <r>
    <n v="206"/>
    <x v="14"/>
    <s v="?"/>
    <n v="164574"/>
    <x v="1"/>
    <n v="12"/>
    <x v="0"/>
    <s v="?"/>
    <s v="Own-child"/>
    <x v="0"/>
    <x v="1"/>
    <n v="0"/>
    <n v="0"/>
    <n v="40"/>
    <s v="United-States"/>
    <x v="0"/>
  </r>
  <r>
    <n v="207"/>
    <x v="7"/>
    <s v="Private"/>
    <n v="349148"/>
    <x v="5"/>
    <n v="13"/>
    <x v="0"/>
    <s v="Prof-specialty"/>
    <s v="Not-in-family"/>
    <x v="0"/>
    <x v="1"/>
    <n v="0"/>
    <n v="0"/>
    <n v="70"/>
    <s v="United-States"/>
    <x v="0"/>
  </r>
  <r>
    <n v="208"/>
    <x v="8"/>
    <s v="Private"/>
    <n v="156580"/>
    <x v="5"/>
    <n v="13"/>
    <x v="3"/>
    <s v="Sales"/>
    <s v="Wife"/>
    <x v="0"/>
    <x v="0"/>
    <n v="0"/>
    <n v="0"/>
    <n v="40"/>
    <s v="Puerto-Rico"/>
    <x v="0"/>
  </r>
  <r>
    <n v="209"/>
    <x v="39"/>
    <s v="Self-emp-not-inc"/>
    <n v="164582"/>
    <x v="2"/>
    <n v="10"/>
    <x v="3"/>
    <s v="Farming-fishing"/>
    <s v="Husband"/>
    <x v="0"/>
    <x v="1"/>
    <n v="7298"/>
    <n v="0"/>
    <n v="60"/>
    <s v="United-States"/>
    <x v="1"/>
  </r>
  <r>
    <n v="210"/>
    <x v="29"/>
    <s v="Self-emp-inc"/>
    <n v="184598"/>
    <x v="14"/>
    <n v="5"/>
    <x v="3"/>
    <s v="Transport-moving"/>
    <s v="Husband"/>
    <x v="0"/>
    <x v="1"/>
    <n v="0"/>
    <n v="0"/>
    <n v="99"/>
    <s v="United-States"/>
    <x v="0"/>
  </r>
  <r>
    <n v="211"/>
    <x v="32"/>
    <s v="Private"/>
    <n v="182866"/>
    <x v="6"/>
    <n v="9"/>
    <x v="0"/>
    <s v="Handlers-cleaners"/>
    <s v="Own-child"/>
    <x v="0"/>
    <x v="1"/>
    <n v="0"/>
    <n v="0"/>
    <n v="40"/>
    <s v="United-States"/>
    <x v="0"/>
  </r>
  <r>
    <n v="212"/>
    <x v="3"/>
    <s v="Local-gov"/>
    <n v="344172"/>
    <x v="1"/>
    <n v="12"/>
    <x v="3"/>
    <s v="Protective-serv"/>
    <s v="Husband"/>
    <x v="0"/>
    <x v="1"/>
    <n v="0"/>
    <n v="0"/>
    <n v="49"/>
    <s v="United-States"/>
    <x v="1"/>
  </r>
  <r>
    <n v="213"/>
    <x v="0"/>
    <s v="Private"/>
    <n v="243900"/>
    <x v="6"/>
    <n v="9"/>
    <x v="0"/>
    <s v="Adm-clerical"/>
    <s v="Own-child"/>
    <x v="0"/>
    <x v="0"/>
    <n v="0"/>
    <n v="0"/>
    <n v="15"/>
    <s v="United-States"/>
    <x v="0"/>
  </r>
  <r>
    <n v="214"/>
    <x v="52"/>
    <s v="Self-emp-not-inc"/>
    <n v="119129"/>
    <x v="6"/>
    <n v="9"/>
    <x v="3"/>
    <s v="Sales"/>
    <s v="Husband"/>
    <x v="0"/>
    <x v="1"/>
    <n v="0"/>
    <n v="2149"/>
    <n v="20"/>
    <s v="United-States"/>
    <x v="0"/>
  </r>
  <r>
    <n v="215"/>
    <x v="44"/>
    <s v="Private"/>
    <n v="188048"/>
    <x v="5"/>
    <n v="13"/>
    <x v="0"/>
    <s v="Adm-clerical"/>
    <s v="Own-child"/>
    <x v="0"/>
    <x v="0"/>
    <n v="0"/>
    <n v="0"/>
    <n v="40"/>
    <s v="United-States"/>
    <x v="0"/>
  </r>
  <r>
    <n v="216"/>
    <x v="31"/>
    <s v="Private"/>
    <n v="366929"/>
    <x v="2"/>
    <n v="10"/>
    <x v="0"/>
    <s v="Adm-clerical"/>
    <s v="Own-child"/>
    <x v="0"/>
    <x v="0"/>
    <n v="0"/>
    <n v="0"/>
    <n v="35"/>
    <s v="United-States"/>
    <x v="0"/>
  </r>
  <r>
    <n v="217"/>
    <x v="14"/>
    <s v="Private"/>
    <n v="107801"/>
    <x v="2"/>
    <n v="10"/>
    <x v="0"/>
    <s v="Adm-clerical"/>
    <s v="Own-child"/>
    <x v="0"/>
    <x v="0"/>
    <n v="0"/>
    <n v="1617"/>
    <n v="25"/>
    <s v="United-States"/>
    <x v="0"/>
  </r>
  <r>
    <n v="218"/>
    <x v="46"/>
    <s v="Federal-gov"/>
    <n v="199114"/>
    <x v="5"/>
    <n v="13"/>
    <x v="0"/>
    <s v="Adm-clerical"/>
    <s v="Not-in-family"/>
    <x v="0"/>
    <x v="1"/>
    <n v="0"/>
    <n v="2258"/>
    <n v="40"/>
    <s v="United-States"/>
    <x v="0"/>
  </r>
  <r>
    <n v="219"/>
    <x v="28"/>
    <s v="Private"/>
    <n v="216999"/>
    <x v="6"/>
    <n v="9"/>
    <x v="3"/>
    <s v="Sales"/>
    <s v="Husband"/>
    <x v="0"/>
    <x v="1"/>
    <n v="0"/>
    <n v="0"/>
    <n v="45"/>
    <s v="United-States"/>
    <x v="0"/>
  </r>
  <r>
    <n v="220"/>
    <x v="12"/>
    <s v="Private"/>
    <n v="208311"/>
    <x v="7"/>
    <n v="14"/>
    <x v="3"/>
    <s v="Tech-support"/>
    <s v="Husband"/>
    <x v="0"/>
    <x v="1"/>
    <n v="0"/>
    <n v="1977"/>
    <n v="20"/>
    <s v="United-States"/>
    <x v="1"/>
  </r>
  <r>
    <n v="221"/>
    <x v="23"/>
    <s v="Private"/>
    <n v="227489"/>
    <x v="6"/>
    <n v="9"/>
    <x v="0"/>
    <s v="Tech-support"/>
    <s v="Other-relative"/>
    <x v="2"/>
    <x v="1"/>
    <n v="0"/>
    <n v="0"/>
    <n v="40"/>
    <s v="?"/>
    <x v="0"/>
  </r>
  <r>
    <n v="222"/>
    <x v="28"/>
    <s v="Private"/>
    <n v="152073"/>
    <x v="6"/>
    <n v="9"/>
    <x v="1"/>
    <s v="Machine-op-inspct"/>
    <s v="Unmarried"/>
    <x v="0"/>
    <x v="0"/>
    <n v="0"/>
    <n v="0"/>
    <n v="40"/>
    <s v="United-States"/>
    <x v="0"/>
  </r>
  <r>
    <n v="223"/>
    <x v="36"/>
    <s v="Private"/>
    <n v="441700"/>
    <x v="5"/>
    <n v="13"/>
    <x v="0"/>
    <s v="Tech-support"/>
    <s v="Own-child"/>
    <x v="0"/>
    <x v="1"/>
    <n v="0"/>
    <n v="0"/>
    <n v="40"/>
    <s v="United-States"/>
    <x v="0"/>
  </r>
  <r>
    <n v="224"/>
    <x v="1"/>
    <s v="?"/>
    <n v="147471"/>
    <x v="6"/>
    <n v="9"/>
    <x v="1"/>
    <s v="?"/>
    <s v="Own-child"/>
    <x v="0"/>
    <x v="0"/>
    <n v="0"/>
    <n v="0"/>
    <n v="10"/>
    <s v="United-States"/>
    <x v="0"/>
  </r>
  <r>
    <n v="225"/>
    <x v="14"/>
    <s v="Private"/>
    <n v="289982"/>
    <x v="6"/>
    <n v="9"/>
    <x v="0"/>
    <s v="Sales"/>
    <s v="Not-in-family"/>
    <x v="0"/>
    <x v="0"/>
    <n v="0"/>
    <n v="0"/>
    <n v="40"/>
    <s v="United-States"/>
    <x v="0"/>
  </r>
  <r>
    <n v="226"/>
    <x v="15"/>
    <s v="Private"/>
    <n v="191544"/>
    <x v="6"/>
    <n v="9"/>
    <x v="0"/>
    <s v="Other-service"/>
    <s v="Not-in-family"/>
    <x v="0"/>
    <x v="0"/>
    <n v="0"/>
    <n v="0"/>
    <n v="35"/>
    <s v="United-States"/>
    <x v="0"/>
  </r>
  <r>
    <n v="227"/>
    <x v="53"/>
    <s v="Federal-gov"/>
    <n v="165630"/>
    <x v="6"/>
    <n v="9"/>
    <x v="3"/>
    <s v="Tech-support"/>
    <s v="Husband"/>
    <x v="0"/>
    <x v="1"/>
    <n v="0"/>
    <n v="1977"/>
    <n v="40"/>
    <s v="United-States"/>
    <x v="1"/>
  </r>
  <r>
    <n v="228"/>
    <x v="1"/>
    <s v="Private"/>
    <n v="263614"/>
    <x v="5"/>
    <n v="13"/>
    <x v="3"/>
    <s v="Exec-managerial"/>
    <s v="Husband"/>
    <x v="0"/>
    <x v="1"/>
    <n v="0"/>
    <n v="0"/>
    <n v="40"/>
    <s v="United-States"/>
    <x v="1"/>
  </r>
  <r>
    <n v="229"/>
    <x v="17"/>
    <s v="Private"/>
    <n v="184099"/>
    <x v="1"/>
    <n v="12"/>
    <x v="3"/>
    <s v="Transport-moving"/>
    <s v="Husband"/>
    <x v="0"/>
    <x v="1"/>
    <n v="0"/>
    <n v="0"/>
    <n v="40"/>
    <s v="United-States"/>
    <x v="0"/>
  </r>
  <r>
    <n v="230"/>
    <x v="8"/>
    <s v="Private"/>
    <n v="135056"/>
    <x v="2"/>
    <n v="10"/>
    <x v="3"/>
    <s v="Adm-clerical"/>
    <s v="Wife"/>
    <x v="0"/>
    <x v="0"/>
    <n v="0"/>
    <n v="0"/>
    <n v="40"/>
    <s v="United-States"/>
    <x v="0"/>
  </r>
  <r>
    <n v="231"/>
    <x v="54"/>
    <s v="Private"/>
    <n v="174603"/>
    <x v="6"/>
    <n v="9"/>
    <x v="0"/>
    <s v="Exec-managerial"/>
    <s v="Not-in-family"/>
    <x v="0"/>
    <x v="0"/>
    <n v="0"/>
    <n v="0"/>
    <n v="35"/>
    <s v="United-States"/>
    <x v="0"/>
  </r>
  <r>
    <n v="232"/>
    <x v="32"/>
    <s v="Private"/>
    <n v="247006"/>
    <x v="1"/>
    <n v="12"/>
    <x v="3"/>
    <s v="Exec-managerial"/>
    <s v="Husband"/>
    <x v="0"/>
    <x v="1"/>
    <n v="0"/>
    <n v="0"/>
    <n v="45"/>
    <s v="United-States"/>
    <x v="0"/>
  </r>
  <r>
    <n v="233"/>
    <x v="7"/>
    <s v="Private"/>
    <n v="148524"/>
    <x v="6"/>
    <n v="9"/>
    <x v="3"/>
    <s v="Transport-moving"/>
    <s v="Husband"/>
    <x v="0"/>
    <x v="1"/>
    <n v="0"/>
    <n v="2057"/>
    <n v="40"/>
    <s v="United-States"/>
    <x v="0"/>
  </r>
  <r>
    <n v="234"/>
    <x v="16"/>
    <s v="Local-gov"/>
    <n v="102936"/>
    <x v="5"/>
    <n v="13"/>
    <x v="1"/>
    <s v="Prof-specialty"/>
    <s v="Unmarried"/>
    <x v="0"/>
    <x v="0"/>
    <n v="0"/>
    <n v="0"/>
    <n v="55"/>
    <s v="United-States"/>
    <x v="0"/>
  </r>
  <r>
    <n v="235"/>
    <x v="51"/>
    <s v="Private"/>
    <n v="208711"/>
    <x v="5"/>
    <n v="13"/>
    <x v="3"/>
    <s v="Craft-repair"/>
    <s v="Husband"/>
    <x v="0"/>
    <x v="1"/>
    <n v="7688"/>
    <n v="0"/>
    <n v="50"/>
    <s v="United-States"/>
    <x v="1"/>
  </r>
  <r>
    <n v="236"/>
    <x v="38"/>
    <s v="?"/>
    <n v="27187"/>
    <x v="9"/>
    <n v="11"/>
    <x v="3"/>
    <s v="?"/>
    <s v="Husband"/>
    <x v="0"/>
    <x v="1"/>
    <n v="0"/>
    <n v="2415"/>
    <n v="12"/>
    <s v="United-States"/>
    <x v="1"/>
  </r>
  <r>
    <n v="237"/>
    <x v="15"/>
    <s v="Private"/>
    <n v="119101"/>
    <x v="2"/>
    <n v="10"/>
    <x v="3"/>
    <s v="Craft-repair"/>
    <s v="Husband"/>
    <x v="0"/>
    <x v="1"/>
    <n v="5178"/>
    <n v="0"/>
    <n v="40"/>
    <s v="United-States"/>
    <x v="1"/>
  </r>
  <r>
    <n v="238"/>
    <x v="37"/>
    <s v="?"/>
    <n v="347692"/>
    <x v="0"/>
    <n v="7"/>
    <x v="1"/>
    <s v="?"/>
    <s v="Not-in-family"/>
    <x v="2"/>
    <x v="1"/>
    <n v="0"/>
    <n v="0"/>
    <n v="15"/>
    <s v="United-States"/>
    <x v="0"/>
  </r>
  <r>
    <n v="239"/>
    <x v="2"/>
    <s v="Private"/>
    <n v="31023"/>
    <x v="5"/>
    <n v="13"/>
    <x v="3"/>
    <s v="Sales"/>
    <s v="Husband"/>
    <x v="0"/>
    <x v="1"/>
    <n v="0"/>
    <n v="0"/>
    <n v="45"/>
    <s v="United-States"/>
    <x v="0"/>
  </r>
  <r>
    <n v="240"/>
    <x v="49"/>
    <s v="Private"/>
    <n v="30219"/>
    <x v="6"/>
    <n v="9"/>
    <x v="1"/>
    <s v="Craft-repair"/>
    <s v="Not-in-family"/>
    <x v="0"/>
    <x v="1"/>
    <n v="0"/>
    <n v="1669"/>
    <n v="40"/>
    <s v="United-States"/>
    <x v="0"/>
  </r>
  <r>
    <n v="241"/>
    <x v="50"/>
    <s v="?"/>
    <n v="39824"/>
    <x v="6"/>
    <n v="9"/>
    <x v="4"/>
    <s v="?"/>
    <s v="Not-in-family"/>
    <x v="0"/>
    <x v="1"/>
    <n v="401"/>
    <n v="0"/>
    <n v="4"/>
    <s v="United-States"/>
    <x v="0"/>
  </r>
  <r>
    <n v="242"/>
    <x v="6"/>
    <s v="Private"/>
    <n v="326156"/>
    <x v="2"/>
    <n v="10"/>
    <x v="3"/>
    <s v="Craft-repair"/>
    <s v="Husband"/>
    <x v="0"/>
    <x v="1"/>
    <n v="0"/>
    <n v="0"/>
    <n v="40"/>
    <s v="United-States"/>
    <x v="1"/>
  </r>
  <r>
    <n v="243"/>
    <x v="0"/>
    <s v="Private"/>
    <n v="36251"/>
    <x v="8"/>
    <n v="6"/>
    <x v="0"/>
    <s v="Other-service"/>
    <s v="Own-child"/>
    <x v="0"/>
    <x v="0"/>
    <n v="0"/>
    <n v="0"/>
    <n v="15"/>
    <s v="United-States"/>
    <x v="0"/>
  </r>
  <r>
    <n v="244"/>
    <x v="32"/>
    <s v="Private"/>
    <n v="361307"/>
    <x v="5"/>
    <n v="13"/>
    <x v="0"/>
    <s v="Sales"/>
    <s v="Own-child"/>
    <x v="0"/>
    <x v="0"/>
    <n v="0"/>
    <n v="0"/>
    <n v="40"/>
    <s v="United-States"/>
    <x v="0"/>
  </r>
  <r>
    <n v="245"/>
    <x v="11"/>
    <s v="Private"/>
    <n v="142038"/>
    <x v="6"/>
    <n v="9"/>
    <x v="3"/>
    <s v="Craft-repair"/>
    <s v="Wife"/>
    <x v="0"/>
    <x v="0"/>
    <n v="0"/>
    <n v="0"/>
    <n v="45"/>
    <s v="United-States"/>
    <x v="0"/>
  </r>
  <r>
    <n v="246"/>
    <x v="33"/>
    <s v="Private"/>
    <n v="188274"/>
    <x v="6"/>
    <n v="9"/>
    <x v="0"/>
    <s v="Transport-moving"/>
    <s v="Own-child"/>
    <x v="0"/>
    <x v="1"/>
    <n v="0"/>
    <n v="0"/>
    <n v="40"/>
    <s v="United-States"/>
    <x v="0"/>
  </r>
  <r>
    <n v="247"/>
    <x v="32"/>
    <s v="Private"/>
    <n v="211497"/>
    <x v="2"/>
    <n v="10"/>
    <x v="3"/>
    <s v="Exec-managerial"/>
    <s v="Husband"/>
    <x v="0"/>
    <x v="1"/>
    <n v="0"/>
    <n v="0"/>
    <n v="40"/>
    <s v="United-States"/>
    <x v="0"/>
  </r>
  <r>
    <n v="248"/>
    <x v="10"/>
    <s v="Private"/>
    <n v="592930"/>
    <x v="6"/>
    <n v="9"/>
    <x v="3"/>
    <s v="Transport-moving"/>
    <s v="Husband"/>
    <x v="2"/>
    <x v="1"/>
    <n v="0"/>
    <n v="0"/>
    <n v="50"/>
    <s v="United-States"/>
    <x v="1"/>
  </r>
  <r>
    <n v="249"/>
    <x v="23"/>
    <s v="Private"/>
    <n v="179772"/>
    <x v="5"/>
    <n v="13"/>
    <x v="0"/>
    <s v="Exec-managerial"/>
    <s v="Not-in-family"/>
    <x v="0"/>
    <x v="0"/>
    <n v="0"/>
    <n v="0"/>
    <n v="45"/>
    <s v="United-States"/>
    <x v="0"/>
  </r>
  <r>
    <n v="250"/>
    <x v="16"/>
    <s v="Private"/>
    <n v="179731"/>
    <x v="6"/>
    <n v="9"/>
    <x v="0"/>
    <s v="Other-service"/>
    <s v="Unmarried"/>
    <x v="0"/>
    <x v="0"/>
    <n v="0"/>
    <n v="0"/>
    <n v="35"/>
    <s v="United-States"/>
    <x v="0"/>
  </r>
  <r>
    <n v="251"/>
    <x v="22"/>
    <s v="Private"/>
    <n v="104457"/>
    <x v="5"/>
    <n v="13"/>
    <x v="0"/>
    <s v="Machine-op-inspct"/>
    <s v="Not-in-family"/>
    <x v="3"/>
    <x v="1"/>
    <n v="0"/>
    <n v="0"/>
    <n v="40"/>
    <s v="?"/>
    <x v="0"/>
  </r>
  <r>
    <n v="252"/>
    <x v="0"/>
    <s v="?"/>
    <n v="343161"/>
    <x v="0"/>
    <n v="7"/>
    <x v="0"/>
    <s v="?"/>
    <s v="Own-child"/>
    <x v="0"/>
    <x v="1"/>
    <n v="0"/>
    <n v="0"/>
    <n v="16"/>
    <s v="United-States"/>
    <x v="0"/>
  </r>
  <r>
    <n v="253"/>
    <x v="36"/>
    <s v="Private"/>
    <n v="122234"/>
    <x v="2"/>
    <n v="10"/>
    <x v="0"/>
    <s v="Adm-clerical"/>
    <s v="Not-in-family"/>
    <x v="2"/>
    <x v="0"/>
    <n v="0"/>
    <n v="0"/>
    <n v="20"/>
    <s v="?"/>
    <x v="0"/>
  </r>
  <r>
    <n v="254"/>
    <x v="28"/>
    <s v="Self-emp-not-inc"/>
    <n v="160045"/>
    <x v="2"/>
    <n v="10"/>
    <x v="4"/>
    <s v="Other-service"/>
    <s v="Unmarried"/>
    <x v="0"/>
    <x v="0"/>
    <n v="0"/>
    <n v="0"/>
    <n v="35"/>
    <s v="United-States"/>
    <x v="0"/>
  </r>
  <r>
    <n v="255"/>
    <x v="39"/>
    <s v="Private"/>
    <n v="248059"/>
    <x v="5"/>
    <n v="13"/>
    <x v="3"/>
    <s v="Exec-managerial"/>
    <s v="Husband"/>
    <x v="0"/>
    <x v="1"/>
    <n v="5013"/>
    <n v="0"/>
    <n v="45"/>
    <s v="United-States"/>
    <x v="0"/>
  </r>
  <r>
    <n v="256"/>
    <x v="34"/>
    <s v="Federal-gov"/>
    <n v="193583"/>
    <x v="5"/>
    <n v="13"/>
    <x v="1"/>
    <s v="Prof-specialty"/>
    <s v="Unmarried"/>
    <x v="0"/>
    <x v="0"/>
    <n v="5455"/>
    <n v="0"/>
    <n v="60"/>
    <s v="United-States"/>
    <x v="0"/>
  </r>
  <r>
    <n v="257"/>
    <x v="23"/>
    <s v="Private"/>
    <n v="120268"/>
    <x v="5"/>
    <n v="13"/>
    <x v="0"/>
    <s v="Adm-clerical"/>
    <s v="Own-child"/>
    <x v="0"/>
    <x v="1"/>
    <n v="0"/>
    <n v="0"/>
    <n v="24"/>
    <s v="United-States"/>
    <x v="0"/>
  </r>
  <r>
    <n v="258"/>
    <x v="30"/>
    <s v="Private"/>
    <n v="133336"/>
    <x v="6"/>
    <n v="9"/>
    <x v="3"/>
    <s v="Tech-support"/>
    <s v="Husband"/>
    <x v="0"/>
    <x v="1"/>
    <n v="0"/>
    <n v="0"/>
    <n v="40"/>
    <s v="United-States"/>
    <x v="1"/>
  </r>
  <r>
    <n v="259"/>
    <x v="44"/>
    <s v="Private"/>
    <n v="207685"/>
    <x v="6"/>
    <n v="9"/>
    <x v="3"/>
    <s v="Handlers-cleaners"/>
    <s v="Wife"/>
    <x v="2"/>
    <x v="0"/>
    <n v="3908"/>
    <n v="0"/>
    <n v="40"/>
    <s v="United-States"/>
    <x v="0"/>
  </r>
  <r>
    <n v="260"/>
    <x v="43"/>
    <s v="Private"/>
    <n v="170861"/>
    <x v="2"/>
    <n v="10"/>
    <x v="0"/>
    <s v="Adm-clerical"/>
    <s v="Own-child"/>
    <x v="0"/>
    <x v="0"/>
    <n v="0"/>
    <n v="0"/>
    <n v="40"/>
    <s v="United-States"/>
    <x v="0"/>
  </r>
  <r>
    <n v="261"/>
    <x v="38"/>
    <s v="Self-emp-not-inc"/>
    <n v="223763"/>
    <x v="7"/>
    <n v="14"/>
    <x v="3"/>
    <s v="Craft-repair"/>
    <s v="Husband"/>
    <x v="0"/>
    <x v="1"/>
    <n v="0"/>
    <n v="0"/>
    <n v="65"/>
    <s v="United-States"/>
    <x v="0"/>
  </r>
  <r>
    <n v="262"/>
    <x v="22"/>
    <s v="Private"/>
    <n v="108431"/>
    <x v="2"/>
    <n v="10"/>
    <x v="0"/>
    <s v="Craft-repair"/>
    <s v="Not-in-family"/>
    <x v="2"/>
    <x v="1"/>
    <n v="0"/>
    <n v="0"/>
    <n v="40"/>
    <s v="United-States"/>
    <x v="0"/>
  </r>
  <r>
    <n v="263"/>
    <x v="45"/>
    <s v="Self-emp-not-inc"/>
    <n v="123011"/>
    <x v="10"/>
    <n v="15"/>
    <x v="3"/>
    <s v="Prof-specialty"/>
    <s v="Husband"/>
    <x v="0"/>
    <x v="1"/>
    <n v="0"/>
    <n v="0"/>
    <n v="50"/>
    <s v="United-States"/>
    <x v="1"/>
  </r>
  <r>
    <n v="264"/>
    <x v="1"/>
    <s v="Private"/>
    <n v="243660"/>
    <x v="6"/>
    <n v="9"/>
    <x v="3"/>
    <s v="Transport-moving"/>
    <s v="Husband"/>
    <x v="0"/>
    <x v="1"/>
    <n v="0"/>
    <n v="0"/>
    <n v="40"/>
    <s v="United-States"/>
    <x v="0"/>
  </r>
  <r>
    <n v="265"/>
    <x v="6"/>
    <s v="Self-emp-not-inc"/>
    <n v="71344"/>
    <x v="7"/>
    <n v="14"/>
    <x v="1"/>
    <s v="Prof-specialty"/>
    <s v="Not-in-family"/>
    <x v="0"/>
    <x v="1"/>
    <n v="0"/>
    <n v="0"/>
    <n v="50"/>
    <s v="United-States"/>
    <x v="1"/>
  </r>
  <r>
    <n v="266"/>
    <x v="55"/>
    <s v="?"/>
    <n v="125101"/>
    <x v="9"/>
    <n v="11"/>
    <x v="4"/>
    <s v="?"/>
    <s v="Not-in-family"/>
    <x v="0"/>
    <x v="0"/>
    <n v="0"/>
    <n v="0"/>
    <n v="40"/>
    <s v="United-States"/>
    <x v="0"/>
  </r>
  <r>
    <n v="267"/>
    <x v="46"/>
    <s v="Private"/>
    <n v="169329"/>
    <x v="6"/>
    <n v="9"/>
    <x v="3"/>
    <s v="Tech-support"/>
    <s v="Husband"/>
    <x v="2"/>
    <x v="1"/>
    <n v="0"/>
    <n v="1887"/>
    <n v="40"/>
    <s v="Trinadad&amp;Tobago"/>
    <x v="1"/>
  </r>
  <r>
    <n v="268"/>
    <x v="40"/>
    <s v="Private"/>
    <n v="355856"/>
    <x v="1"/>
    <n v="12"/>
    <x v="3"/>
    <s v="Sales"/>
    <s v="Husband"/>
    <x v="3"/>
    <x v="1"/>
    <n v="0"/>
    <n v="0"/>
    <n v="60"/>
    <s v="United-States"/>
    <x v="0"/>
  </r>
  <r>
    <n v="269"/>
    <x v="24"/>
    <s v="Private"/>
    <n v="108926"/>
    <x v="2"/>
    <n v="10"/>
    <x v="1"/>
    <s v="Machine-op-inspct"/>
    <s v="Not-in-family"/>
    <x v="2"/>
    <x v="0"/>
    <n v="0"/>
    <n v="0"/>
    <n v="40"/>
    <s v="United-States"/>
    <x v="0"/>
  </r>
  <r>
    <n v="270"/>
    <x v="20"/>
    <s v="Self-emp-inc"/>
    <n v="220543"/>
    <x v="6"/>
    <n v="9"/>
    <x v="3"/>
    <s v="Adm-clerical"/>
    <s v="Wife"/>
    <x v="0"/>
    <x v="0"/>
    <n v="0"/>
    <n v="0"/>
    <n v="40"/>
    <s v="United-States"/>
    <x v="1"/>
  </r>
  <r>
    <n v="271"/>
    <x v="38"/>
    <s v="Private"/>
    <n v="198425"/>
    <x v="2"/>
    <n v="10"/>
    <x v="3"/>
    <s v="Craft-repair"/>
    <s v="Husband"/>
    <x v="0"/>
    <x v="1"/>
    <n v="0"/>
    <n v="0"/>
    <n v="45"/>
    <s v="United-States"/>
    <x v="0"/>
  </r>
  <r>
    <n v="272"/>
    <x v="32"/>
    <s v="Private"/>
    <n v="193701"/>
    <x v="5"/>
    <n v="13"/>
    <x v="0"/>
    <s v="Other-service"/>
    <s v="Not-in-family"/>
    <x v="0"/>
    <x v="0"/>
    <n v="0"/>
    <n v="0"/>
    <n v="38"/>
    <s v="United-States"/>
    <x v="0"/>
  </r>
  <r>
    <n v="273"/>
    <x v="11"/>
    <s v="State-gov"/>
    <n v="157673"/>
    <x v="6"/>
    <n v="9"/>
    <x v="3"/>
    <s v="Farming-fishing"/>
    <s v="Husband"/>
    <x v="0"/>
    <x v="1"/>
    <n v="0"/>
    <n v="0"/>
    <n v="40"/>
    <s v="United-States"/>
    <x v="0"/>
  </r>
  <r>
    <n v="274"/>
    <x v="28"/>
    <s v="Private"/>
    <n v="191957"/>
    <x v="5"/>
    <n v="13"/>
    <x v="3"/>
    <s v="Sales"/>
    <s v="Husband"/>
    <x v="2"/>
    <x v="1"/>
    <n v="0"/>
    <n v="0"/>
    <n v="40"/>
    <s v="United-States"/>
    <x v="1"/>
  </r>
  <r>
    <n v="275"/>
    <x v="9"/>
    <s v="Private"/>
    <n v="162228"/>
    <x v="2"/>
    <n v="10"/>
    <x v="0"/>
    <s v="Adm-clerical"/>
    <s v="Own-child"/>
    <x v="0"/>
    <x v="1"/>
    <n v="0"/>
    <n v="0"/>
    <n v="40"/>
    <s v="United-States"/>
    <x v="0"/>
  </r>
  <r>
    <n v="276"/>
    <x v="26"/>
    <s v="Local-gov"/>
    <n v="182866"/>
    <x v="6"/>
    <n v="9"/>
    <x v="4"/>
    <s v="Other-service"/>
    <s v="Unmarried"/>
    <x v="0"/>
    <x v="0"/>
    <n v="0"/>
    <n v="0"/>
    <n v="40"/>
    <s v="United-States"/>
    <x v="0"/>
  </r>
  <r>
    <n v="277"/>
    <x v="34"/>
    <s v="Federal-gov"/>
    <n v="432555"/>
    <x v="6"/>
    <n v="9"/>
    <x v="3"/>
    <s v="Adm-clerical"/>
    <s v="Husband"/>
    <x v="2"/>
    <x v="1"/>
    <n v="0"/>
    <n v="1628"/>
    <n v="40"/>
    <s v="United-States"/>
    <x v="0"/>
  </r>
  <r>
    <n v="278"/>
    <x v="23"/>
    <s v="Private"/>
    <n v="56929"/>
    <x v="5"/>
    <n v="13"/>
    <x v="0"/>
    <s v="Exec-managerial"/>
    <s v="Not-in-family"/>
    <x v="2"/>
    <x v="1"/>
    <n v="0"/>
    <n v="0"/>
    <n v="50"/>
    <s v="?"/>
    <x v="0"/>
  </r>
  <r>
    <n v="279"/>
    <x v="33"/>
    <s v="Private"/>
    <n v="190968"/>
    <x v="6"/>
    <n v="9"/>
    <x v="3"/>
    <s v="Other-service"/>
    <s v="Husband"/>
    <x v="0"/>
    <x v="1"/>
    <n v="0"/>
    <n v="0"/>
    <n v="40"/>
    <s v="United-States"/>
    <x v="0"/>
  </r>
  <r>
    <n v="280"/>
    <x v="7"/>
    <s v="Private"/>
    <n v="206051"/>
    <x v="6"/>
    <n v="9"/>
    <x v="3"/>
    <s v="Transport-moving"/>
    <s v="Husband"/>
    <x v="0"/>
    <x v="1"/>
    <n v="0"/>
    <n v="0"/>
    <n v="40"/>
    <s v="United-States"/>
    <x v="0"/>
  </r>
  <r>
    <n v="281"/>
    <x v="7"/>
    <s v="Private"/>
    <n v="188398"/>
    <x v="6"/>
    <n v="9"/>
    <x v="5"/>
    <s v="Adm-clerical"/>
    <s v="Not-in-family"/>
    <x v="0"/>
    <x v="0"/>
    <n v="0"/>
    <n v="0"/>
    <n v="30"/>
    <s v="United-States"/>
    <x v="0"/>
  </r>
  <r>
    <n v="282"/>
    <x v="49"/>
    <s v="Private"/>
    <n v="147002"/>
    <x v="6"/>
    <n v="9"/>
    <x v="0"/>
    <s v="Craft-repair"/>
    <s v="Unmarried"/>
    <x v="0"/>
    <x v="0"/>
    <n v="0"/>
    <n v="0"/>
    <n v="40"/>
    <s v="Puerto-Rico"/>
    <x v="0"/>
  </r>
  <r>
    <n v="283"/>
    <x v="33"/>
    <s v="Private"/>
    <n v="72310"/>
    <x v="0"/>
    <n v="7"/>
    <x v="0"/>
    <s v="Transport-moving"/>
    <s v="Not-in-family"/>
    <x v="0"/>
    <x v="1"/>
    <n v="0"/>
    <n v="0"/>
    <n v="65"/>
    <s v="United-States"/>
    <x v="0"/>
  </r>
  <r>
    <n v="284"/>
    <x v="3"/>
    <s v="Local-gov"/>
    <n v="226871"/>
    <x v="5"/>
    <n v="13"/>
    <x v="1"/>
    <s v="Protective-serv"/>
    <s v="Not-in-family"/>
    <x v="2"/>
    <x v="1"/>
    <n v="0"/>
    <n v="0"/>
    <n v="50"/>
    <s v="United-States"/>
    <x v="1"/>
  </r>
  <r>
    <n v="285"/>
    <x v="12"/>
    <s v="Private"/>
    <n v="23789"/>
    <x v="6"/>
    <n v="9"/>
    <x v="1"/>
    <s v="Exec-managerial"/>
    <s v="Not-in-family"/>
    <x v="0"/>
    <x v="0"/>
    <n v="0"/>
    <n v="0"/>
    <n v="40"/>
    <s v="United-States"/>
    <x v="0"/>
  </r>
  <r>
    <n v="286"/>
    <x v="38"/>
    <s v="Private"/>
    <n v="219591"/>
    <x v="6"/>
    <n v="9"/>
    <x v="0"/>
    <s v="Adm-clerical"/>
    <s v="Own-child"/>
    <x v="0"/>
    <x v="1"/>
    <n v="0"/>
    <n v="0"/>
    <n v="40"/>
    <s v="United-States"/>
    <x v="0"/>
  </r>
  <r>
    <n v="287"/>
    <x v="56"/>
    <s v="Private"/>
    <n v="150095"/>
    <x v="5"/>
    <n v="13"/>
    <x v="3"/>
    <s v="Exec-managerial"/>
    <s v="Husband"/>
    <x v="0"/>
    <x v="1"/>
    <n v="0"/>
    <n v="0"/>
    <n v="40"/>
    <s v="United-States"/>
    <x v="1"/>
  </r>
  <r>
    <n v="288"/>
    <x v="43"/>
    <s v="Private"/>
    <n v="146178"/>
    <x v="6"/>
    <n v="9"/>
    <x v="0"/>
    <s v="Craft-repair"/>
    <s v="Unmarried"/>
    <x v="2"/>
    <x v="0"/>
    <n v="0"/>
    <n v="0"/>
    <n v="40"/>
    <s v="United-States"/>
    <x v="0"/>
  </r>
  <r>
    <n v="289"/>
    <x v="57"/>
    <s v="Self-emp-inc"/>
    <n v="125197"/>
    <x v="6"/>
    <n v="9"/>
    <x v="3"/>
    <s v="Adm-clerical"/>
    <s v="Husband"/>
    <x v="0"/>
    <x v="1"/>
    <n v="0"/>
    <n v="0"/>
    <n v="26"/>
    <s v="United-States"/>
    <x v="0"/>
  </r>
  <r>
    <n v="290"/>
    <x v="58"/>
    <s v="Private"/>
    <n v="165017"/>
    <x v="6"/>
    <n v="9"/>
    <x v="3"/>
    <s v="Prof-specialty"/>
    <s v="Husband"/>
    <x v="0"/>
    <x v="1"/>
    <n v="0"/>
    <n v="0"/>
    <n v="40"/>
    <s v="Italy"/>
    <x v="1"/>
  </r>
  <r>
    <n v="291"/>
    <x v="17"/>
    <s v="Private"/>
    <n v="373403"/>
    <x v="9"/>
    <n v="11"/>
    <x v="3"/>
    <s v="Craft-repair"/>
    <s v="Husband"/>
    <x v="0"/>
    <x v="1"/>
    <n v="0"/>
    <n v="0"/>
    <n v="40"/>
    <s v="United-States"/>
    <x v="0"/>
  </r>
  <r>
    <n v="292"/>
    <x v="31"/>
    <s v="Private"/>
    <n v="38620"/>
    <x v="2"/>
    <n v="10"/>
    <x v="0"/>
    <s v="Other-service"/>
    <s v="Own-child"/>
    <x v="0"/>
    <x v="1"/>
    <n v="0"/>
    <n v="0"/>
    <n v="20"/>
    <s v="United-States"/>
    <x v="0"/>
  </r>
  <r>
    <n v="293"/>
    <x v="44"/>
    <s v="Private"/>
    <n v="192039"/>
    <x v="9"/>
    <n v="11"/>
    <x v="3"/>
    <s v="Prof-specialty"/>
    <s v="Wife"/>
    <x v="0"/>
    <x v="0"/>
    <n v="0"/>
    <n v="0"/>
    <n v="40"/>
    <s v="United-States"/>
    <x v="1"/>
  </r>
  <r>
    <n v="294"/>
    <x v="11"/>
    <s v="Private"/>
    <n v="200117"/>
    <x v="6"/>
    <n v="9"/>
    <x v="1"/>
    <s v="Adm-clerical"/>
    <s v="Not-in-family"/>
    <x v="0"/>
    <x v="1"/>
    <n v="0"/>
    <n v="0"/>
    <n v="40"/>
    <s v="United-States"/>
    <x v="0"/>
  </r>
  <r>
    <n v="295"/>
    <x v="13"/>
    <s v="Private"/>
    <n v="200471"/>
    <x v="6"/>
    <n v="9"/>
    <x v="3"/>
    <s v="Adm-clerical"/>
    <s v="Husband"/>
    <x v="0"/>
    <x v="1"/>
    <n v="0"/>
    <n v="0"/>
    <n v="35"/>
    <s v="United-States"/>
    <x v="0"/>
  </r>
  <r>
    <n v="296"/>
    <x v="14"/>
    <s v="Private"/>
    <n v="112683"/>
    <x v="2"/>
    <n v="10"/>
    <x v="0"/>
    <s v="Sales"/>
    <s v="Own-child"/>
    <x v="0"/>
    <x v="0"/>
    <n v="0"/>
    <n v="0"/>
    <n v="12"/>
    <s v="United-States"/>
    <x v="0"/>
  </r>
  <r>
    <n v="297"/>
    <x v="4"/>
    <s v="Private"/>
    <n v="345705"/>
    <x v="6"/>
    <n v="9"/>
    <x v="1"/>
    <s v="Craft-repair"/>
    <s v="Not-in-family"/>
    <x v="0"/>
    <x v="1"/>
    <n v="0"/>
    <n v="1408"/>
    <n v="38"/>
    <s v="United-States"/>
    <x v="0"/>
  </r>
  <r>
    <n v="298"/>
    <x v="10"/>
    <s v="Private"/>
    <n v="201769"/>
    <x v="0"/>
    <n v="7"/>
    <x v="0"/>
    <s v="Protective-serv"/>
    <s v="Not-in-family"/>
    <x v="2"/>
    <x v="1"/>
    <n v="13550"/>
    <n v="0"/>
    <n v="40"/>
    <s v="United-States"/>
    <x v="1"/>
  </r>
  <r>
    <n v="299"/>
    <x v="8"/>
    <s v="Private"/>
    <n v="99679"/>
    <x v="6"/>
    <n v="9"/>
    <x v="3"/>
    <s v="Transport-moving"/>
    <s v="Husband"/>
    <x v="0"/>
    <x v="1"/>
    <n v="0"/>
    <n v="0"/>
    <n v="60"/>
    <s v="United-States"/>
    <x v="1"/>
  </r>
  <r>
    <n v="300"/>
    <x v="48"/>
    <s v="Self-emp-not-inc"/>
    <n v="420629"/>
    <x v="9"/>
    <n v="11"/>
    <x v="3"/>
    <s v="Other-service"/>
    <s v="Husband"/>
    <x v="0"/>
    <x v="1"/>
    <n v="0"/>
    <n v="0"/>
    <n v="45"/>
    <s v="United-States"/>
    <x v="0"/>
  </r>
  <r>
    <n v="301"/>
    <x v="5"/>
    <s v="Federal-gov"/>
    <n v="102238"/>
    <x v="6"/>
    <n v="9"/>
    <x v="1"/>
    <s v="Craft-repair"/>
    <s v="Unmarried"/>
    <x v="0"/>
    <x v="1"/>
    <n v="0"/>
    <n v="0"/>
    <n v="40"/>
    <s v="United-States"/>
    <x v="0"/>
  </r>
  <r>
    <n v="302"/>
    <x v="2"/>
    <s v="Private"/>
    <n v="178322"/>
    <x v="5"/>
    <n v="13"/>
    <x v="3"/>
    <s v="Sales"/>
    <s v="Husband"/>
    <x v="0"/>
    <x v="1"/>
    <n v="0"/>
    <n v="0"/>
    <n v="40"/>
    <s v="United-States"/>
    <x v="1"/>
  </r>
  <r>
    <n v="303"/>
    <x v="7"/>
    <s v="Private"/>
    <n v="149427"/>
    <x v="14"/>
    <n v="5"/>
    <x v="0"/>
    <s v="Craft-repair"/>
    <s v="Own-child"/>
    <x v="0"/>
    <x v="1"/>
    <n v="0"/>
    <n v="0"/>
    <n v="45"/>
    <s v="United-States"/>
    <x v="0"/>
  </r>
  <r>
    <n v="304"/>
    <x v="28"/>
    <s v="?"/>
    <n v="178013"/>
    <x v="8"/>
    <n v="6"/>
    <x v="3"/>
    <s v="?"/>
    <s v="Wife"/>
    <x v="0"/>
    <x v="0"/>
    <n v="0"/>
    <n v="0"/>
    <n v="20"/>
    <s v="Cuba"/>
    <x v="0"/>
  </r>
  <r>
    <n v="305"/>
    <x v="4"/>
    <s v="Private"/>
    <n v="318886"/>
    <x v="6"/>
    <n v="9"/>
    <x v="3"/>
    <s v="Farming-fishing"/>
    <s v="Husband"/>
    <x v="2"/>
    <x v="1"/>
    <n v="0"/>
    <n v="0"/>
    <n v="40"/>
    <s v="United-States"/>
    <x v="0"/>
  </r>
  <r>
    <n v="306"/>
    <x v="43"/>
    <s v="Private"/>
    <n v="110402"/>
    <x v="9"/>
    <n v="11"/>
    <x v="3"/>
    <s v="Machine-op-inspct"/>
    <s v="Husband"/>
    <x v="0"/>
    <x v="1"/>
    <n v="0"/>
    <n v="0"/>
    <n v="40"/>
    <s v="United-States"/>
    <x v="0"/>
  </r>
  <r>
    <n v="307"/>
    <x v="11"/>
    <s v="Private"/>
    <n v="323069"/>
    <x v="1"/>
    <n v="12"/>
    <x v="1"/>
    <s v="Sales"/>
    <s v="Unmarried"/>
    <x v="0"/>
    <x v="0"/>
    <n v="0"/>
    <n v="880"/>
    <n v="45"/>
    <s v="United-States"/>
    <x v="0"/>
  </r>
  <r>
    <n v="308"/>
    <x v="53"/>
    <s v="Private"/>
    <n v="114263"/>
    <x v="5"/>
    <n v="13"/>
    <x v="1"/>
    <s v="Exec-managerial"/>
    <s v="Not-in-family"/>
    <x v="0"/>
    <x v="0"/>
    <n v="0"/>
    <n v="0"/>
    <n v="40"/>
    <s v="Hungary"/>
    <x v="1"/>
  </r>
  <r>
    <n v="309"/>
    <x v="33"/>
    <s v="Private"/>
    <n v="103277"/>
    <x v="1"/>
    <n v="12"/>
    <x v="0"/>
    <s v="Adm-clerical"/>
    <s v="Own-child"/>
    <x v="0"/>
    <x v="0"/>
    <n v="0"/>
    <n v="0"/>
    <n v="20"/>
    <s v="United-States"/>
    <x v="0"/>
  </r>
  <r>
    <n v="310"/>
    <x v="35"/>
    <s v="Private"/>
    <n v="82646"/>
    <x v="13"/>
    <n v="16"/>
    <x v="1"/>
    <s v="Exec-managerial"/>
    <s v="Not-in-family"/>
    <x v="0"/>
    <x v="0"/>
    <n v="0"/>
    <n v="0"/>
    <n v="55"/>
    <s v="United-States"/>
    <x v="1"/>
  </r>
  <r>
    <n v="311"/>
    <x v="50"/>
    <s v="Private"/>
    <n v="90523"/>
    <x v="6"/>
    <n v="9"/>
    <x v="4"/>
    <s v="Transport-moving"/>
    <s v="Unmarried"/>
    <x v="0"/>
    <x v="1"/>
    <n v="0"/>
    <n v="0"/>
    <n v="99"/>
    <s v="United-States"/>
    <x v="0"/>
  </r>
  <r>
    <n v="312"/>
    <x v="34"/>
    <s v="Private"/>
    <n v="147548"/>
    <x v="6"/>
    <n v="9"/>
    <x v="3"/>
    <s v="Craft-repair"/>
    <s v="Husband"/>
    <x v="0"/>
    <x v="1"/>
    <n v="0"/>
    <n v="0"/>
    <n v="40"/>
    <s v="United-States"/>
    <x v="0"/>
  </r>
  <r>
    <n v="313"/>
    <x v="30"/>
    <s v="Private"/>
    <n v="108435"/>
    <x v="7"/>
    <n v="14"/>
    <x v="3"/>
    <s v="Prof-specialty"/>
    <s v="Husband"/>
    <x v="0"/>
    <x v="1"/>
    <n v="0"/>
    <n v="0"/>
    <n v="47"/>
    <s v="United-States"/>
    <x v="1"/>
  </r>
  <r>
    <n v="314"/>
    <x v="30"/>
    <s v="Self-emp-not-inc"/>
    <n v="136836"/>
    <x v="1"/>
    <n v="12"/>
    <x v="1"/>
    <s v="Transport-moving"/>
    <s v="Unmarried"/>
    <x v="2"/>
    <x v="0"/>
    <n v="0"/>
    <n v="0"/>
    <n v="30"/>
    <s v="United-States"/>
    <x v="0"/>
  </r>
  <r>
    <n v="315"/>
    <x v="8"/>
    <s v="Private"/>
    <n v="350387"/>
    <x v="6"/>
    <n v="9"/>
    <x v="2"/>
    <s v="Machine-op-inspct"/>
    <s v="Not-in-family"/>
    <x v="0"/>
    <x v="1"/>
    <n v="0"/>
    <n v="0"/>
    <n v="15"/>
    <s v="United-States"/>
    <x v="0"/>
  </r>
  <r>
    <n v="316"/>
    <x v="10"/>
    <s v="Private"/>
    <n v="149833"/>
    <x v="6"/>
    <n v="9"/>
    <x v="3"/>
    <s v="Exec-managerial"/>
    <s v="Wife"/>
    <x v="0"/>
    <x v="0"/>
    <n v="0"/>
    <n v="0"/>
    <n v="40"/>
    <s v="United-States"/>
    <x v="0"/>
  </r>
  <r>
    <n v="317"/>
    <x v="46"/>
    <s v="Local-gov"/>
    <n v="130532"/>
    <x v="5"/>
    <n v="13"/>
    <x v="4"/>
    <s v="Prof-specialty"/>
    <s v="Not-in-family"/>
    <x v="0"/>
    <x v="0"/>
    <n v="0"/>
    <n v="0"/>
    <n v="35"/>
    <s v="United-States"/>
    <x v="0"/>
  </r>
  <r>
    <n v="318"/>
    <x v="55"/>
    <s v="Local-gov"/>
    <n v="229110"/>
    <x v="6"/>
    <n v="9"/>
    <x v="4"/>
    <s v="Exec-managerial"/>
    <s v="Other-relative"/>
    <x v="0"/>
    <x v="0"/>
    <n v="0"/>
    <n v="0"/>
    <n v="33"/>
    <s v="United-States"/>
    <x v="0"/>
  </r>
  <r>
    <n v="319"/>
    <x v="35"/>
    <s v="Private"/>
    <n v="260106"/>
    <x v="6"/>
    <n v="9"/>
    <x v="4"/>
    <s v="Sales"/>
    <s v="Not-in-family"/>
    <x v="0"/>
    <x v="0"/>
    <n v="0"/>
    <n v="0"/>
    <n v="30"/>
    <s v="United-States"/>
    <x v="0"/>
  </r>
  <r>
    <n v="320"/>
    <x v="14"/>
    <s v="Private"/>
    <n v="51985"/>
    <x v="6"/>
    <n v="9"/>
    <x v="0"/>
    <s v="Transport-moving"/>
    <s v="Not-in-family"/>
    <x v="0"/>
    <x v="1"/>
    <n v="0"/>
    <n v="0"/>
    <n v="38"/>
    <s v="United-States"/>
    <x v="0"/>
  </r>
  <r>
    <n v="321"/>
    <x v="13"/>
    <s v="Local-gov"/>
    <n v="166181"/>
    <x v="6"/>
    <n v="9"/>
    <x v="1"/>
    <s v="Other-service"/>
    <s v="Own-child"/>
    <x v="2"/>
    <x v="0"/>
    <n v="0"/>
    <n v="0"/>
    <n v="40"/>
    <s v="United-States"/>
    <x v="0"/>
  </r>
  <r>
    <n v="322"/>
    <x v="27"/>
    <s v="?"/>
    <n v="131982"/>
    <x v="2"/>
    <n v="10"/>
    <x v="0"/>
    <s v="?"/>
    <s v="Own-child"/>
    <x v="0"/>
    <x v="1"/>
    <n v="0"/>
    <n v="0"/>
    <n v="40"/>
    <s v="United-States"/>
    <x v="0"/>
  </r>
  <r>
    <n v="323"/>
    <x v="49"/>
    <s v="Federal-gov"/>
    <n v="128990"/>
    <x v="5"/>
    <n v="13"/>
    <x v="3"/>
    <s v="Prof-specialty"/>
    <s v="Husband"/>
    <x v="0"/>
    <x v="1"/>
    <n v="0"/>
    <n v="0"/>
    <n v="40"/>
    <s v="United-States"/>
    <x v="1"/>
  </r>
  <r>
    <n v="324"/>
    <x v="10"/>
    <s v="Local-gov"/>
    <n v="130620"/>
    <x v="6"/>
    <n v="9"/>
    <x v="3"/>
    <s v="Adm-clerical"/>
    <s v="Wife"/>
    <x v="3"/>
    <x v="0"/>
    <n v="0"/>
    <n v="0"/>
    <n v="40"/>
    <s v="China"/>
    <x v="1"/>
  </r>
  <r>
    <n v="325"/>
    <x v="44"/>
    <s v="Private"/>
    <n v="123291"/>
    <x v="4"/>
    <n v="8"/>
    <x v="3"/>
    <s v="Machine-op-inspct"/>
    <s v="Husband"/>
    <x v="0"/>
    <x v="1"/>
    <n v="0"/>
    <n v="0"/>
    <n v="40"/>
    <s v="United-States"/>
    <x v="0"/>
  </r>
  <r>
    <n v="326"/>
    <x v="17"/>
    <s v="Private"/>
    <n v="427382"/>
    <x v="7"/>
    <n v="14"/>
    <x v="0"/>
    <s v="Prof-specialty"/>
    <s v="Not-in-family"/>
    <x v="0"/>
    <x v="1"/>
    <n v="0"/>
    <n v="0"/>
    <n v="50"/>
    <s v="United-States"/>
    <x v="1"/>
  </r>
  <r>
    <n v="327"/>
    <x v="14"/>
    <s v="Private"/>
    <n v="198996"/>
    <x v="6"/>
    <n v="9"/>
    <x v="0"/>
    <s v="Adm-clerical"/>
    <s v="Not-in-family"/>
    <x v="0"/>
    <x v="0"/>
    <n v="0"/>
    <n v="0"/>
    <n v="40"/>
    <s v="United-States"/>
    <x v="0"/>
  </r>
  <r>
    <n v="328"/>
    <x v="44"/>
    <s v="Private"/>
    <n v="207668"/>
    <x v="6"/>
    <n v="9"/>
    <x v="3"/>
    <s v="Craft-repair"/>
    <s v="Husband"/>
    <x v="0"/>
    <x v="1"/>
    <n v="0"/>
    <n v="0"/>
    <n v="50"/>
    <s v="United-States"/>
    <x v="0"/>
  </r>
  <r>
    <n v="329"/>
    <x v="2"/>
    <s v="Private"/>
    <n v="170092"/>
    <x v="6"/>
    <n v="9"/>
    <x v="5"/>
    <s v="Other-service"/>
    <s v="Unmarried"/>
    <x v="2"/>
    <x v="0"/>
    <n v="0"/>
    <n v="0"/>
    <n v="20"/>
    <s v="United-States"/>
    <x v="0"/>
  </r>
  <r>
    <n v="330"/>
    <x v="7"/>
    <s v="Private"/>
    <n v="114691"/>
    <x v="6"/>
    <n v="9"/>
    <x v="0"/>
    <s v="Farming-fishing"/>
    <s v="Own-child"/>
    <x v="0"/>
    <x v="1"/>
    <n v="0"/>
    <n v="0"/>
    <n v="40"/>
    <s v="United-States"/>
    <x v="0"/>
  </r>
  <r>
    <n v="331"/>
    <x v="25"/>
    <s v="Private"/>
    <n v="307423"/>
    <x v="14"/>
    <n v="5"/>
    <x v="0"/>
    <s v="Other-service"/>
    <s v="Not-in-family"/>
    <x v="2"/>
    <x v="1"/>
    <n v="0"/>
    <n v="0"/>
    <n v="50"/>
    <s v="United-States"/>
    <x v="0"/>
  </r>
  <r>
    <n v="332"/>
    <x v="16"/>
    <s v="Private"/>
    <n v="103323"/>
    <x v="1"/>
    <n v="12"/>
    <x v="3"/>
    <s v="Sales"/>
    <s v="Husband"/>
    <x v="0"/>
    <x v="1"/>
    <n v="0"/>
    <n v="0"/>
    <n v="40"/>
    <s v="United-States"/>
    <x v="0"/>
  </r>
  <r>
    <n v="333"/>
    <x v="10"/>
    <s v="Private"/>
    <n v="162651"/>
    <x v="6"/>
    <n v="9"/>
    <x v="2"/>
    <s v="Adm-clerical"/>
    <s v="Not-in-family"/>
    <x v="0"/>
    <x v="1"/>
    <n v="0"/>
    <n v="0"/>
    <n v="40"/>
    <s v="Columbia"/>
    <x v="0"/>
  </r>
  <r>
    <n v="334"/>
    <x v="4"/>
    <s v="?"/>
    <n v="205256"/>
    <x v="6"/>
    <n v="9"/>
    <x v="3"/>
    <s v="?"/>
    <s v="Husband"/>
    <x v="0"/>
    <x v="1"/>
    <n v="2885"/>
    <n v="0"/>
    <n v="80"/>
    <s v="United-States"/>
    <x v="0"/>
  </r>
  <r>
    <n v="335"/>
    <x v="32"/>
    <s v="Private"/>
    <n v="148300"/>
    <x v="5"/>
    <n v="13"/>
    <x v="0"/>
    <s v="Prof-specialty"/>
    <s v="Own-child"/>
    <x v="0"/>
    <x v="0"/>
    <n v="0"/>
    <n v="0"/>
    <n v="15"/>
    <s v="United-States"/>
    <x v="0"/>
  </r>
  <r>
    <n v="336"/>
    <x v="44"/>
    <s v="Private"/>
    <n v="169589"/>
    <x v="9"/>
    <n v="11"/>
    <x v="3"/>
    <s v="Handlers-cleaners"/>
    <s v="Husband"/>
    <x v="0"/>
    <x v="1"/>
    <n v="0"/>
    <n v="0"/>
    <n v="40"/>
    <s v="United-States"/>
    <x v="1"/>
  </r>
  <r>
    <n v="337"/>
    <x v="17"/>
    <s v="Private"/>
    <n v="145441"/>
    <x v="5"/>
    <n v="13"/>
    <x v="3"/>
    <s v="Exec-managerial"/>
    <s v="Husband"/>
    <x v="0"/>
    <x v="1"/>
    <n v="0"/>
    <n v="0"/>
    <n v="38"/>
    <s v="United-States"/>
    <x v="1"/>
  </r>
  <r>
    <n v="338"/>
    <x v="37"/>
    <s v="Private"/>
    <n v="238438"/>
    <x v="2"/>
    <n v="10"/>
    <x v="3"/>
    <s v="Prof-specialty"/>
    <s v="Husband"/>
    <x v="0"/>
    <x v="1"/>
    <n v="0"/>
    <n v="0"/>
    <n v="42"/>
    <s v="United-States"/>
    <x v="0"/>
  </r>
  <r>
    <n v="339"/>
    <x v="14"/>
    <s v="Private"/>
    <n v="170070"/>
    <x v="4"/>
    <n v="8"/>
    <x v="0"/>
    <s v="Other-service"/>
    <s v="Not-in-family"/>
    <x v="0"/>
    <x v="0"/>
    <n v="0"/>
    <n v="0"/>
    <n v="38"/>
    <s v="United-States"/>
    <x v="0"/>
  </r>
  <r>
    <n v="340"/>
    <x v="32"/>
    <s v="Private"/>
    <n v="207875"/>
    <x v="12"/>
    <n v="4"/>
    <x v="3"/>
    <s v="Handlers-cleaners"/>
    <s v="Husband"/>
    <x v="0"/>
    <x v="1"/>
    <n v="0"/>
    <n v="0"/>
    <n v="40"/>
    <s v="Mexico"/>
    <x v="0"/>
  </r>
  <r>
    <n v="341"/>
    <x v="1"/>
    <s v="Private"/>
    <n v="137296"/>
    <x v="1"/>
    <n v="12"/>
    <x v="0"/>
    <s v="Other-service"/>
    <s v="Not-in-family"/>
    <x v="2"/>
    <x v="0"/>
    <n v="0"/>
    <n v="0"/>
    <n v="40"/>
    <s v="United-States"/>
    <x v="0"/>
  </r>
  <r>
    <n v="342"/>
    <x v="4"/>
    <s v="Self-emp-not-inc"/>
    <n v="319165"/>
    <x v="13"/>
    <n v="16"/>
    <x v="3"/>
    <s v="Prof-specialty"/>
    <s v="Husband"/>
    <x v="0"/>
    <x v="1"/>
    <n v="0"/>
    <n v="0"/>
    <n v="50"/>
    <s v="United-States"/>
    <x v="1"/>
  </r>
  <r>
    <n v="343"/>
    <x v="5"/>
    <s v="Private"/>
    <n v="128485"/>
    <x v="9"/>
    <n v="11"/>
    <x v="3"/>
    <s v="Craft-repair"/>
    <s v="Husband"/>
    <x v="2"/>
    <x v="1"/>
    <n v="0"/>
    <n v="0"/>
    <n v="40"/>
    <s v="United-States"/>
    <x v="0"/>
  </r>
  <r>
    <n v="344"/>
    <x v="33"/>
    <s v="Private"/>
    <n v="204935"/>
    <x v="6"/>
    <n v="9"/>
    <x v="0"/>
    <s v="Machine-op-inspct"/>
    <s v="Own-child"/>
    <x v="0"/>
    <x v="1"/>
    <n v="0"/>
    <n v="0"/>
    <n v="40"/>
    <s v="United-States"/>
    <x v="0"/>
  </r>
  <r>
    <n v="345"/>
    <x v="32"/>
    <s v="Private"/>
    <n v="441210"/>
    <x v="6"/>
    <n v="9"/>
    <x v="0"/>
    <s v="Prof-specialty"/>
    <s v="Own-child"/>
    <x v="0"/>
    <x v="1"/>
    <n v="0"/>
    <n v="0"/>
    <n v="40"/>
    <s v="United-States"/>
    <x v="0"/>
  </r>
  <r>
    <n v="346"/>
    <x v="45"/>
    <s v="Private"/>
    <n v="137428"/>
    <x v="6"/>
    <n v="9"/>
    <x v="1"/>
    <s v="Transport-moving"/>
    <s v="Not-in-family"/>
    <x v="0"/>
    <x v="1"/>
    <n v="0"/>
    <n v="0"/>
    <n v="45"/>
    <s v="United-States"/>
    <x v="0"/>
  </r>
  <r>
    <n v="347"/>
    <x v="44"/>
    <s v="Private"/>
    <n v="286689"/>
    <x v="1"/>
    <n v="12"/>
    <x v="3"/>
    <s v="Tech-support"/>
    <s v="Husband"/>
    <x v="0"/>
    <x v="1"/>
    <n v="0"/>
    <n v="0"/>
    <n v="42"/>
    <s v="United-States"/>
    <x v="1"/>
  </r>
  <r>
    <n v="348"/>
    <x v="38"/>
    <s v="Private"/>
    <n v="244945"/>
    <x v="2"/>
    <n v="10"/>
    <x v="3"/>
    <s v="Exec-managerial"/>
    <s v="Husband"/>
    <x v="0"/>
    <x v="1"/>
    <n v="0"/>
    <n v="0"/>
    <n v="40"/>
    <s v="United-States"/>
    <x v="0"/>
  </r>
  <r>
    <n v="349"/>
    <x v="0"/>
    <s v="Private"/>
    <n v="92008"/>
    <x v="6"/>
    <n v="9"/>
    <x v="0"/>
    <s v="Handlers-cleaners"/>
    <s v="Other-relative"/>
    <x v="0"/>
    <x v="0"/>
    <n v="0"/>
    <n v="0"/>
    <n v="28"/>
    <s v="United-States"/>
    <x v="0"/>
  </r>
  <r>
    <n v="350"/>
    <x v="16"/>
    <s v="Private"/>
    <n v="334291"/>
    <x v="5"/>
    <n v="13"/>
    <x v="0"/>
    <s v="Exec-managerial"/>
    <s v="Not-in-family"/>
    <x v="0"/>
    <x v="1"/>
    <n v="0"/>
    <n v="0"/>
    <n v="50"/>
    <s v="United-States"/>
    <x v="0"/>
  </r>
  <r>
    <n v="351"/>
    <x v="38"/>
    <s v="Private"/>
    <n v="279914"/>
    <x v="2"/>
    <n v="10"/>
    <x v="3"/>
    <s v="Adm-clerical"/>
    <s v="Husband"/>
    <x v="0"/>
    <x v="1"/>
    <n v="0"/>
    <n v="0"/>
    <n v="45"/>
    <s v="United-States"/>
    <x v="1"/>
  </r>
  <r>
    <n v="352"/>
    <x v="1"/>
    <s v="Private"/>
    <n v="201954"/>
    <x v="1"/>
    <n v="12"/>
    <x v="0"/>
    <s v="Exec-managerial"/>
    <s v="Not-in-family"/>
    <x v="0"/>
    <x v="1"/>
    <n v="0"/>
    <n v="0"/>
    <n v="65"/>
    <s v="United-States"/>
    <x v="1"/>
  </r>
  <r>
    <n v="353"/>
    <x v="15"/>
    <s v="Private"/>
    <n v="374367"/>
    <x v="9"/>
    <n v="11"/>
    <x v="2"/>
    <s v="Sales"/>
    <s v="Not-in-family"/>
    <x v="2"/>
    <x v="1"/>
    <n v="0"/>
    <n v="0"/>
    <n v="44"/>
    <s v="United-States"/>
    <x v="0"/>
  </r>
  <r>
    <n v="354"/>
    <x v="5"/>
    <s v="Private"/>
    <n v="175669"/>
    <x v="0"/>
    <n v="7"/>
    <x v="3"/>
    <s v="Prof-specialty"/>
    <s v="Wife"/>
    <x v="0"/>
    <x v="0"/>
    <n v="5178"/>
    <n v="0"/>
    <n v="36"/>
    <s v="United-States"/>
    <x v="1"/>
  </r>
  <r>
    <n v="355"/>
    <x v="39"/>
    <s v="?"/>
    <n v="167381"/>
    <x v="6"/>
    <n v="9"/>
    <x v="4"/>
    <s v="?"/>
    <s v="Unmarried"/>
    <x v="0"/>
    <x v="0"/>
    <n v="0"/>
    <n v="0"/>
    <n v="25"/>
    <s v="United-States"/>
    <x v="0"/>
  </r>
  <r>
    <n v="356"/>
    <x v="43"/>
    <s v="Private"/>
    <n v="497788"/>
    <x v="6"/>
    <n v="9"/>
    <x v="3"/>
    <s v="Craft-repair"/>
    <s v="Husband"/>
    <x v="0"/>
    <x v="1"/>
    <n v="0"/>
    <n v="0"/>
    <n v="50"/>
    <s v="United-States"/>
    <x v="0"/>
  </r>
  <r>
    <n v="357"/>
    <x v="2"/>
    <s v="Private"/>
    <n v="82622"/>
    <x v="6"/>
    <n v="9"/>
    <x v="1"/>
    <s v="Exec-managerial"/>
    <s v="Not-in-family"/>
    <x v="0"/>
    <x v="1"/>
    <n v="0"/>
    <n v="0"/>
    <n v="50"/>
    <s v="United-States"/>
    <x v="0"/>
  </r>
  <r>
    <n v="358"/>
    <x v="33"/>
    <s v="Private"/>
    <n v="311376"/>
    <x v="5"/>
    <n v="13"/>
    <x v="0"/>
    <s v="Adm-clerical"/>
    <s v="Own-child"/>
    <x v="0"/>
    <x v="0"/>
    <n v="0"/>
    <n v="0"/>
    <n v="40"/>
    <s v="United-States"/>
    <x v="0"/>
  </r>
  <r>
    <n v="359"/>
    <x v="2"/>
    <s v="Private"/>
    <n v="224889"/>
    <x v="5"/>
    <n v="13"/>
    <x v="3"/>
    <s v="Sales"/>
    <s v="Husband"/>
    <x v="0"/>
    <x v="1"/>
    <n v="0"/>
    <n v="0"/>
    <n v="40"/>
    <s v="United-States"/>
    <x v="0"/>
  </r>
  <r>
    <n v="360"/>
    <x v="1"/>
    <s v="Federal-gov"/>
    <n v="281860"/>
    <x v="5"/>
    <n v="13"/>
    <x v="0"/>
    <s v="Prof-specialty"/>
    <s v="Not-in-family"/>
    <x v="0"/>
    <x v="0"/>
    <n v="0"/>
    <n v="0"/>
    <n v="40"/>
    <s v="United-States"/>
    <x v="0"/>
  </r>
  <r>
    <n v="361"/>
    <x v="47"/>
    <s v="?"/>
    <n v="139391"/>
    <x v="2"/>
    <n v="10"/>
    <x v="3"/>
    <s v="?"/>
    <s v="Husband"/>
    <x v="0"/>
    <x v="1"/>
    <n v="99999"/>
    <n v="0"/>
    <n v="30"/>
    <s v="United-States"/>
    <x v="1"/>
  </r>
  <r>
    <n v="362"/>
    <x v="34"/>
    <s v="Private"/>
    <n v="216129"/>
    <x v="1"/>
    <n v="12"/>
    <x v="1"/>
    <s v="Exec-managerial"/>
    <s v="Unmarried"/>
    <x v="2"/>
    <x v="0"/>
    <n v="0"/>
    <n v="0"/>
    <n v="35"/>
    <s v="Jamaica"/>
    <x v="0"/>
  </r>
  <r>
    <n v="363"/>
    <x v="0"/>
    <s v="Private"/>
    <n v="118938"/>
    <x v="0"/>
    <n v="7"/>
    <x v="0"/>
    <s v="Sales"/>
    <s v="Own-child"/>
    <x v="0"/>
    <x v="1"/>
    <n v="0"/>
    <n v="0"/>
    <n v="18"/>
    <s v="United-States"/>
    <x v="0"/>
  </r>
  <r>
    <n v="364"/>
    <x v="46"/>
    <s v="Self-emp-inc"/>
    <n v="368797"/>
    <x v="6"/>
    <n v="9"/>
    <x v="3"/>
    <s v="Exec-managerial"/>
    <s v="Husband"/>
    <x v="0"/>
    <x v="1"/>
    <n v="0"/>
    <n v="0"/>
    <n v="40"/>
    <s v="United-States"/>
    <x v="0"/>
  </r>
  <r>
    <n v="365"/>
    <x v="16"/>
    <s v="Private"/>
    <n v="215476"/>
    <x v="6"/>
    <n v="9"/>
    <x v="0"/>
    <s v="Handlers-cleaners"/>
    <s v="Unmarried"/>
    <x v="2"/>
    <x v="0"/>
    <n v="0"/>
    <n v="0"/>
    <n v="30"/>
    <s v="United-States"/>
    <x v="0"/>
  </r>
  <r>
    <n v="366"/>
    <x v="40"/>
    <s v="Private"/>
    <n v="181091"/>
    <x v="8"/>
    <n v="6"/>
    <x v="1"/>
    <s v="Craft-repair"/>
    <s v="Not-in-family"/>
    <x v="0"/>
    <x v="1"/>
    <n v="0"/>
    <n v="0"/>
    <n v="35"/>
    <s v="England"/>
    <x v="0"/>
  </r>
  <r>
    <n v="367"/>
    <x v="19"/>
    <s v="?"/>
    <n v="104025"/>
    <x v="0"/>
    <n v="7"/>
    <x v="0"/>
    <s v="?"/>
    <s v="Own-child"/>
    <x v="0"/>
    <x v="1"/>
    <n v="0"/>
    <n v="0"/>
    <n v="18"/>
    <s v="United-States"/>
    <x v="0"/>
  </r>
  <r>
    <n v="368"/>
    <x v="26"/>
    <s v="Private"/>
    <n v="143110"/>
    <x v="5"/>
    <n v="13"/>
    <x v="4"/>
    <s v="Prof-specialty"/>
    <s v="Not-in-family"/>
    <x v="0"/>
    <x v="0"/>
    <n v="0"/>
    <n v="0"/>
    <n v="30"/>
    <s v="United-States"/>
    <x v="0"/>
  </r>
  <r>
    <n v="369"/>
    <x v="40"/>
    <s v="Private"/>
    <n v="277455"/>
    <x v="7"/>
    <n v="14"/>
    <x v="0"/>
    <s v="Prof-specialty"/>
    <s v="Not-in-family"/>
    <x v="0"/>
    <x v="1"/>
    <n v="0"/>
    <n v="0"/>
    <n v="40"/>
    <s v="United-States"/>
    <x v="0"/>
  </r>
  <r>
    <n v="370"/>
    <x v="31"/>
    <s v="Private"/>
    <n v="219122"/>
    <x v="2"/>
    <n v="10"/>
    <x v="0"/>
    <s v="Other-service"/>
    <s v="Not-in-family"/>
    <x v="0"/>
    <x v="1"/>
    <n v="0"/>
    <n v="0"/>
    <n v="40"/>
    <s v="United-States"/>
    <x v="0"/>
  </r>
  <r>
    <n v="371"/>
    <x v="5"/>
    <s v="Private"/>
    <n v="121781"/>
    <x v="2"/>
    <n v="10"/>
    <x v="1"/>
    <s v="Adm-clerical"/>
    <s v="Not-in-family"/>
    <x v="3"/>
    <x v="0"/>
    <n v="0"/>
    <n v="0"/>
    <n v="37"/>
    <s v="United-States"/>
    <x v="0"/>
  </r>
  <r>
    <n v="372"/>
    <x v="8"/>
    <s v="Self-emp-not-inc"/>
    <n v="79036"/>
    <x v="5"/>
    <n v="13"/>
    <x v="3"/>
    <s v="Farming-fishing"/>
    <s v="Husband"/>
    <x v="0"/>
    <x v="1"/>
    <n v="0"/>
    <n v="0"/>
    <n v="65"/>
    <s v="United-States"/>
    <x v="0"/>
  </r>
  <r>
    <n v="373"/>
    <x v="1"/>
    <s v="Private"/>
    <n v="168901"/>
    <x v="5"/>
    <n v="13"/>
    <x v="3"/>
    <s v="Prof-specialty"/>
    <s v="Husband"/>
    <x v="3"/>
    <x v="1"/>
    <n v="0"/>
    <n v="0"/>
    <n v="40"/>
    <s v="Taiwan"/>
    <x v="0"/>
  </r>
  <r>
    <n v="374"/>
    <x v="34"/>
    <s v="State-gov"/>
    <n v="55568"/>
    <x v="6"/>
    <n v="9"/>
    <x v="3"/>
    <s v="Adm-clerical"/>
    <s v="Wife"/>
    <x v="0"/>
    <x v="0"/>
    <n v="0"/>
    <n v="0"/>
    <n v="40"/>
    <s v="United-States"/>
    <x v="0"/>
  </r>
  <r>
    <n v="375"/>
    <x v="44"/>
    <s v="Private"/>
    <n v="316470"/>
    <x v="3"/>
    <n v="3"/>
    <x v="3"/>
    <s v="Craft-repair"/>
    <s v="Husband"/>
    <x v="0"/>
    <x v="1"/>
    <n v="0"/>
    <n v="0"/>
    <n v="60"/>
    <s v="Mexico"/>
    <x v="0"/>
  </r>
  <r>
    <n v="376"/>
    <x v="33"/>
    <s v="Federal-gov"/>
    <n v="32950"/>
    <x v="2"/>
    <n v="10"/>
    <x v="3"/>
    <s v="Sales"/>
    <s v="Husband"/>
    <x v="0"/>
    <x v="1"/>
    <n v="0"/>
    <n v="1902"/>
    <n v="37"/>
    <s v="United-States"/>
    <x v="0"/>
  </r>
  <r>
    <n v="377"/>
    <x v="6"/>
    <s v="Private"/>
    <n v="378747"/>
    <x v="8"/>
    <n v="6"/>
    <x v="2"/>
    <s v="Transport-moving"/>
    <s v="Unmarried"/>
    <x v="2"/>
    <x v="1"/>
    <n v="0"/>
    <n v="0"/>
    <n v="45"/>
    <s v="United-States"/>
    <x v="1"/>
  </r>
  <r>
    <n v="378"/>
    <x v="5"/>
    <s v="Private"/>
    <n v="322391"/>
    <x v="0"/>
    <n v="7"/>
    <x v="2"/>
    <s v="Other-service"/>
    <s v="Unmarried"/>
    <x v="2"/>
    <x v="0"/>
    <n v="0"/>
    <n v="0"/>
    <n v="30"/>
    <s v="United-States"/>
    <x v="0"/>
  </r>
  <r>
    <n v="379"/>
    <x v="51"/>
    <s v="Private"/>
    <n v="174201"/>
    <x v="14"/>
    <n v="5"/>
    <x v="4"/>
    <s v="Other-service"/>
    <s v="Unmarried"/>
    <x v="2"/>
    <x v="0"/>
    <n v="0"/>
    <n v="0"/>
    <n v="25"/>
    <s v="United-States"/>
    <x v="0"/>
  </r>
  <r>
    <n v="380"/>
    <x v="18"/>
    <s v="Private"/>
    <n v="255949"/>
    <x v="5"/>
    <n v="13"/>
    <x v="0"/>
    <s v="Sales"/>
    <s v="Unmarried"/>
    <x v="2"/>
    <x v="1"/>
    <n v="0"/>
    <n v="0"/>
    <n v="40"/>
    <s v="United-States"/>
    <x v="0"/>
  </r>
  <r>
    <n v="381"/>
    <x v="11"/>
    <s v="Private"/>
    <n v="145935"/>
    <x v="6"/>
    <n v="9"/>
    <x v="0"/>
    <s v="Exec-managerial"/>
    <s v="Own-child"/>
    <x v="2"/>
    <x v="1"/>
    <n v="0"/>
    <n v="0"/>
    <n v="40"/>
    <s v="United-States"/>
    <x v="0"/>
  </r>
  <r>
    <n v="382"/>
    <x v="40"/>
    <s v="Self-emp-not-inc"/>
    <n v="67482"/>
    <x v="9"/>
    <n v="11"/>
    <x v="1"/>
    <s v="Other-service"/>
    <s v="Unmarried"/>
    <x v="0"/>
    <x v="0"/>
    <n v="0"/>
    <n v="0"/>
    <n v="99"/>
    <s v="United-States"/>
    <x v="0"/>
  </r>
  <r>
    <n v="383"/>
    <x v="40"/>
    <s v="Private"/>
    <n v="213308"/>
    <x v="9"/>
    <n v="11"/>
    <x v="2"/>
    <s v="Adm-clerical"/>
    <s v="Own-child"/>
    <x v="2"/>
    <x v="0"/>
    <n v="0"/>
    <n v="0"/>
    <n v="50"/>
    <s v="United-States"/>
    <x v="0"/>
  </r>
  <r>
    <n v="384"/>
    <x v="9"/>
    <s v="?"/>
    <n v="170070"/>
    <x v="2"/>
    <n v="10"/>
    <x v="0"/>
    <s v="?"/>
    <s v="Not-in-family"/>
    <x v="0"/>
    <x v="0"/>
    <n v="0"/>
    <n v="0"/>
    <n v="10"/>
    <s v="United-States"/>
    <x v="0"/>
  </r>
  <r>
    <n v="385"/>
    <x v="5"/>
    <s v="Federal-gov"/>
    <n v="161240"/>
    <x v="6"/>
    <n v="9"/>
    <x v="1"/>
    <s v="Machine-op-inspct"/>
    <s v="Not-in-family"/>
    <x v="0"/>
    <x v="1"/>
    <n v="0"/>
    <n v="0"/>
    <n v="40"/>
    <s v="United-States"/>
    <x v="0"/>
  </r>
  <r>
    <n v="386"/>
    <x v="16"/>
    <s v="Private"/>
    <n v="94334"/>
    <x v="12"/>
    <n v="4"/>
    <x v="0"/>
    <s v="Machine-op-inspct"/>
    <s v="Own-child"/>
    <x v="0"/>
    <x v="0"/>
    <n v="0"/>
    <n v="0"/>
    <n v="25"/>
    <s v="United-States"/>
    <x v="0"/>
  </r>
  <r>
    <n v="387"/>
    <x v="27"/>
    <s v="Private"/>
    <n v="144911"/>
    <x v="2"/>
    <n v="10"/>
    <x v="0"/>
    <s v="Other-service"/>
    <s v="Own-child"/>
    <x v="0"/>
    <x v="1"/>
    <n v="0"/>
    <n v="0"/>
    <n v="20"/>
    <s v="United-States"/>
    <x v="0"/>
  </r>
  <r>
    <n v="388"/>
    <x v="44"/>
    <s v="Local-gov"/>
    <n v="100135"/>
    <x v="6"/>
    <n v="9"/>
    <x v="1"/>
    <s v="Adm-clerical"/>
    <s v="Unmarried"/>
    <x v="0"/>
    <x v="0"/>
    <n v="0"/>
    <n v="0"/>
    <n v="40"/>
    <s v="United-States"/>
    <x v="0"/>
  </r>
  <r>
    <n v="389"/>
    <x v="37"/>
    <s v="Local-gov"/>
    <n v="34878"/>
    <x v="5"/>
    <n v="13"/>
    <x v="1"/>
    <s v="Prof-specialty"/>
    <s v="Not-in-family"/>
    <x v="0"/>
    <x v="0"/>
    <n v="0"/>
    <n v="0"/>
    <n v="50"/>
    <s v="United-States"/>
    <x v="0"/>
  </r>
  <r>
    <n v="390"/>
    <x v="5"/>
    <s v="Self-emp-inc"/>
    <n v="37997"/>
    <x v="6"/>
    <n v="9"/>
    <x v="3"/>
    <s v="Farming-fishing"/>
    <s v="Husband"/>
    <x v="0"/>
    <x v="1"/>
    <n v="0"/>
    <n v="0"/>
    <n v="60"/>
    <s v="United-States"/>
    <x v="0"/>
  </r>
  <r>
    <n v="391"/>
    <x v="32"/>
    <s v="Local-gov"/>
    <n v="176616"/>
    <x v="6"/>
    <n v="9"/>
    <x v="0"/>
    <s v="Other-service"/>
    <s v="Own-child"/>
    <x v="0"/>
    <x v="1"/>
    <n v="0"/>
    <n v="0"/>
    <n v="40"/>
    <s v="United-States"/>
    <x v="0"/>
  </r>
  <r>
    <n v="392"/>
    <x v="13"/>
    <s v="State-gov"/>
    <n v="103406"/>
    <x v="5"/>
    <n v="13"/>
    <x v="3"/>
    <s v="Exec-managerial"/>
    <s v="Husband"/>
    <x v="0"/>
    <x v="1"/>
    <n v="0"/>
    <n v="1977"/>
    <n v="60"/>
    <s v="United-States"/>
    <x v="1"/>
  </r>
  <r>
    <n v="393"/>
    <x v="3"/>
    <s v="Self-emp-inc"/>
    <n v="110457"/>
    <x v="7"/>
    <n v="14"/>
    <x v="3"/>
    <s v="Exec-managerial"/>
    <s v="Husband"/>
    <x v="0"/>
    <x v="1"/>
    <n v="0"/>
    <n v="0"/>
    <n v="55"/>
    <s v="United-States"/>
    <x v="1"/>
  </r>
  <r>
    <n v="394"/>
    <x v="43"/>
    <s v="Private"/>
    <n v="161141"/>
    <x v="2"/>
    <n v="10"/>
    <x v="3"/>
    <s v="Tech-support"/>
    <s v="Husband"/>
    <x v="0"/>
    <x v="1"/>
    <n v="0"/>
    <n v="0"/>
    <n v="45"/>
    <s v="United-States"/>
    <x v="0"/>
  </r>
  <r>
    <n v="395"/>
    <x v="28"/>
    <s v="Private"/>
    <n v="128796"/>
    <x v="6"/>
    <n v="9"/>
    <x v="3"/>
    <s v="Craft-repair"/>
    <s v="Husband"/>
    <x v="0"/>
    <x v="1"/>
    <n v="0"/>
    <n v="0"/>
    <n v="40"/>
    <s v="United-States"/>
    <x v="1"/>
  </r>
  <r>
    <n v="396"/>
    <x v="34"/>
    <s v="Private"/>
    <n v="24106"/>
    <x v="2"/>
    <n v="10"/>
    <x v="3"/>
    <s v="Sales"/>
    <s v="Husband"/>
    <x v="0"/>
    <x v="1"/>
    <n v="0"/>
    <n v="0"/>
    <n v="40"/>
    <s v="Philippines"/>
    <x v="1"/>
  </r>
  <r>
    <n v="397"/>
    <x v="1"/>
    <s v="Private"/>
    <n v="173611"/>
    <x v="6"/>
    <n v="9"/>
    <x v="0"/>
    <s v="Exec-managerial"/>
    <s v="Own-child"/>
    <x v="0"/>
    <x v="0"/>
    <n v="0"/>
    <n v="0"/>
    <n v="40"/>
    <s v="United-States"/>
    <x v="0"/>
  </r>
  <r>
    <n v="398"/>
    <x v="38"/>
    <s v="Private"/>
    <n v="121055"/>
    <x v="6"/>
    <n v="9"/>
    <x v="1"/>
    <s v="Transport-moving"/>
    <s v="Not-in-family"/>
    <x v="0"/>
    <x v="1"/>
    <n v="0"/>
    <n v="0"/>
    <n v="40"/>
    <s v="United-States"/>
    <x v="0"/>
  </r>
  <r>
    <n v="399"/>
    <x v="14"/>
    <s v="Federal-gov"/>
    <n v="41356"/>
    <x v="1"/>
    <n v="12"/>
    <x v="0"/>
    <s v="Exec-managerial"/>
    <s v="Unmarried"/>
    <x v="0"/>
    <x v="0"/>
    <n v="0"/>
    <n v="0"/>
    <n v="32"/>
    <s v="United-States"/>
    <x v="0"/>
  </r>
  <r>
    <n v="400"/>
    <x v="16"/>
    <s v="Private"/>
    <n v="220314"/>
    <x v="6"/>
    <n v="9"/>
    <x v="1"/>
    <s v="Adm-clerical"/>
    <s v="Unmarried"/>
    <x v="0"/>
    <x v="0"/>
    <n v="0"/>
    <n v="0"/>
    <n v="40"/>
    <s v="Mexico"/>
    <x v="0"/>
  </r>
  <r>
    <n v="401"/>
    <x v="4"/>
    <s v="Private"/>
    <n v="118551"/>
    <x v="5"/>
    <n v="13"/>
    <x v="0"/>
    <s v="Tech-support"/>
    <s v="Not-in-family"/>
    <x v="0"/>
    <x v="0"/>
    <n v="0"/>
    <n v="0"/>
    <n v="40"/>
    <s v="United-States"/>
    <x v="0"/>
  </r>
  <r>
    <n v="402"/>
    <x v="3"/>
    <s v="Private"/>
    <n v="251786"/>
    <x v="15"/>
    <n v="2"/>
    <x v="2"/>
    <s v="Other-service"/>
    <s v="Not-in-family"/>
    <x v="0"/>
    <x v="0"/>
    <n v="0"/>
    <n v="0"/>
    <n v="40"/>
    <s v="Mexico"/>
    <x v="0"/>
  </r>
  <r>
    <n v="403"/>
    <x v="7"/>
    <s v="Federal-gov"/>
    <n v="321990"/>
    <x v="2"/>
    <n v="10"/>
    <x v="3"/>
    <s v="Adm-clerical"/>
    <s v="Husband"/>
    <x v="0"/>
    <x v="1"/>
    <n v="7298"/>
    <n v="0"/>
    <n v="48"/>
    <s v="Cuba"/>
    <x v="1"/>
  </r>
  <r>
    <n v="404"/>
    <x v="7"/>
    <s v="Private"/>
    <n v="187279"/>
    <x v="6"/>
    <n v="9"/>
    <x v="3"/>
    <s v="Handlers-cleaners"/>
    <s v="Husband"/>
    <x v="0"/>
    <x v="1"/>
    <n v="0"/>
    <n v="0"/>
    <n v="44"/>
    <s v="United-States"/>
    <x v="0"/>
  </r>
  <r>
    <n v="405"/>
    <x v="22"/>
    <s v="Private"/>
    <n v="246440"/>
    <x v="0"/>
    <n v="7"/>
    <x v="1"/>
    <s v="Machine-op-inspct"/>
    <s v="Unmarried"/>
    <x v="0"/>
    <x v="0"/>
    <n v="0"/>
    <n v="0"/>
    <n v="40"/>
    <s v="United-States"/>
    <x v="0"/>
  </r>
  <r>
    <n v="406"/>
    <x v="18"/>
    <s v="Private"/>
    <n v="197932"/>
    <x v="2"/>
    <n v="10"/>
    <x v="2"/>
    <s v="Priv-house-serv"/>
    <s v="Not-in-family"/>
    <x v="0"/>
    <x v="0"/>
    <n v="0"/>
    <n v="0"/>
    <n v="30"/>
    <s v="Guatemala"/>
    <x v="0"/>
  </r>
  <r>
    <n v="407"/>
    <x v="32"/>
    <s v="Private"/>
    <n v="206600"/>
    <x v="8"/>
    <n v="6"/>
    <x v="0"/>
    <s v="Other-service"/>
    <s v="Not-in-family"/>
    <x v="0"/>
    <x v="1"/>
    <n v="0"/>
    <n v="0"/>
    <n v="24"/>
    <s v="Nicaragua"/>
    <x v="0"/>
  </r>
  <r>
    <n v="408"/>
    <x v="14"/>
    <s v="Self-emp-not-inc"/>
    <n v="174714"/>
    <x v="8"/>
    <n v="6"/>
    <x v="0"/>
    <s v="Craft-repair"/>
    <s v="Not-in-family"/>
    <x v="0"/>
    <x v="1"/>
    <n v="0"/>
    <n v="0"/>
    <n v="60"/>
    <s v="United-States"/>
    <x v="0"/>
  </r>
  <r>
    <n v="409"/>
    <x v="22"/>
    <s v="Private"/>
    <n v="180262"/>
    <x v="2"/>
    <n v="10"/>
    <x v="0"/>
    <s v="Exec-managerial"/>
    <s v="Not-in-family"/>
    <x v="0"/>
    <x v="0"/>
    <n v="0"/>
    <n v="0"/>
    <n v="40"/>
    <s v="United-States"/>
    <x v="0"/>
  </r>
  <r>
    <n v="410"/>
    <x v="15"/>
    <s v="Federal-gov"/>
    <n v="199303"/>
    <x v="1"/>
    <n v="12"/>
    <x v="3"/>
    <s v="Prof-specialty"/>
    <s v="Husband"/>
    <x v="0"/>
    <x v="1"/>
    <n v="0"/>
    <n v="0"/>
    <n v="40"/>
    <s v="United-States"/>
    <x v="1"/>
  </r>
  <r>
    <n v="411"/>
    <x v="38"/>
    <s v="Private"/>
    <n v="140886"/>
    <x v="6"/>
    <n v="9"/>
    <x v="3"/>
    <s v="Farming-fishing"/>
    <s v="Husband"/>
    <x v="0"/>
    <x v="1"/>
    <n v="0"/>
    <n v="0"/>
    <n v="40"/>
    <s v="United-States"/>
    <x v="0"/>
  </r>
  <r>
    <n v="412"/>
    <x v="29"/>
    <s v="Self-emp-not-inc"/>
    <n v="39380"/>
    <x v="2"/>
    <n v="10"/>
    <x v="5"/>
    <s v="Farming-fishing"/>
    <s v="Not-in-family"/>
    <x v="0"/>
    <x v="0"/>
    <n v="27828"/>
    <n v="0"/>
    <n v="20"/>
    <s v="United-States"/>
    <x v="1"/>
  </r>
  <r>
    <n v="413"/>
    <x v="4"/>
    <s v="Private"/>
    <n v="269723"/>
    <x v="6"/>
    <n v="9"/>
    <x v="1"/>
    <s v="Exec-managerial"/>
    <s v="Unmarried"/>
    <x v="0"/>
    <x v="0"/>
    <n v="2977"/>
    <n v="0"/>
    <n v="50"/>
    <s v="United-States"/>
    <x v="0"/>
  </r>
  <r>
    <n v="414"/>
    <x v="14"/>
    <s v="Private"/>
    <n v="133061"/>
    <x v="6"/>
    <n v="9"/>
    <x v="3"/>
    <s v="Sales"/>
    <s v="Husband"/>
    <x v="0"/>
    <x v="1"/>
    <n v="0"/>
    <n v="0"/>
    <n v="80"/>
    <s v="United-States"/>
    <x v="0"/>
  </r>
  <r>
    <n v="415"/>
    <x v="40"/>
    <s v="Private"/>
    <n v="377283"/>
    <x v="5"/>
    <n v="13"/>
    <x v="2"/>
    <s v="Sales"/>
    <s v="Not-in-family"/>
    <x v="0"/>
    <x v="0"/>
    <n v="0"/>
    <n v="0"/>
    <n v="50"/>
    <s v="United-States"/>
    <x v="1"/>
  </r>
  <r>
    <n v="416"/>
    <x v="26"/>
    <s v="Self-emp-not-inc"/>
    <n v="149698"/>
    <x v="10"/>
    <n v="15"/>
    <x v="3"/>
    <s v="Prof-specialty"/>
    <s v="Husband"/>
    <x v="0"/>
    <x v="1"/>
    <n v="0"/>
    <n v="0"/>
    <n v="40"/>
    <s v="United-States"/>
    <x v="1"/>
  </r>
  <r>
    <n v="417"/>
    <x v="9"/>
    <s v="Private"/>
    <n v="206681"/>
    <x v="2"/>
    <n v="10"/>
    <x v="0"/>
    <s v="Sales"/>
    <s v="Own-child"/>
    <x v="0"/>
    <x v="0"/>
    <n v="0"/>
    <n v="0"/>
    <n v="15"/>
    <s v="United-States"/>
    <x v="0"/>
  </r>
  <r>
    <n v="418"/>
    <x v="25"/>
    <s v="State-gov"/>
    <n v="132717"/>
    <x v="8"/>
    <n v="6"/>
    <x v="3"/>
    <s v="Farming-fishing"/>
    <s v="Husband"/>
    <x v="0"/>
    <x v="1"/>
    <n v="0"/>
    <n v="0"/>
    <n v="40"/>
    <s v="United-States"/>
    <x v="0"/>
  </r>
  <r>
    <n v="419"/>
    <x v="22"/>
    <s v="Private"/>
    <n v="178709"/>
    <x v="7"/>
    <n v="14"/>
    <x v="0"/>
    <s v="Machine-op-inspct"/>
    <s v="Not-in-family"/>
    <x v="0"/>
    <x v="0"/>
    <n v="0"/>
    <n v="0"/>
    <n v="40"/>
    <s v="United-States"/>
    <x v="0"/>
  </r>
  <r>
    <n v="420"/>
    <x v="15"/>
    <s v="Private"/>
    <n v="198873"/>
    <x v="10"/>
    <n v="15"/>
    <x v="3"/>
    <s v="Prof-specialty"/>
    <s v="Wife"/>
    <x v="0"/>
    <x v="0"/>
    <n v="15024"/>
    <n v="0"/>
    <n v="30"/>
    <s v="United-States"/>
    <x v="1"/>
  </r>
  <r>
    <n v="421"/>
    <x v="10"/>
    <s v="Local-gov"/>
    <n v="251091"/>
    <x v="2"/>
    <n v="10"/>
    <x v="3"/>
    <s v="Protective-serv"/>
    <s v="Husband"/>
    <x v="0"/>
    <x v="1"/>
    <n v="0"/>
    <n v="0"/>
    <n v="40"/>
    <s v="United-States"/>
    <x v="1"/>
  </r>
  <r>
    <n v="422"/>
    <x v="49"/>
    <s v="Federal-gov"/>
    <n v="118701"/>
    <x v="6"/>
    <n v="9"/>
    <x v="1"/>
    <s v="Adm-clerical"/>
    <s v="Unmarried"/>
    <x v="2"/>
    <x v="0"/>
    <n v="0"/>
    <n v="0"/>
    <n v="40"/>
    <s v="United-States"/>
    <x v="0"/>
  </r>
  <r>
    <n v="423"/>
    <x v="46"/>
    <s v="Private"/>
    <n v="195876"/>
    <x v="6"/>
    <n v="9"/>
    <x v="3"/>
    <s v="Craft-repair"/>
    <s v="Husband"/>
    <x v="0"/>
    <x v="1"/>
    <n v="0"/>
    <n v="0"/>
    <n v="40"/>
    <s v="United-States"/>
    <x v="0"/>
  </r>
  <r>
    <n v="424"/>
    <x v="12"/>
    <s v="?"/>
    <n v="316027"/>
    <x v="12"/>
    <n v="4"/>
    <x v="3"/>
    <s v="?"/>
    <s v="Husband"/>
    <x v="0"/>
    <x v="1"/>
    <n v="0"/>
    <n v="0"/>
    <n v="40"/>
    <s v="?"/>
    <x v="0"/>
  </r>
  <r>
    <n v="425"/>
    <x v="25"/>
    <s v="Private"/>
    <n v="31782"/>
    <x v="8"/>
    <n v="6"/>
    <x v="3"/>
    <s v="Transport-moving"/>
    <s v="Husband"/>
    <x v="0"/>
    <x v="1"/>
    <n v="0"/>
    <n v="0"/>
    <n v="45"/>
    <s v="United-States"/>
    <x v="1"/>
  </r>
  <r>
    <n v="426"/>
    <x v="2"/>
    <s v="Self-emp-not-inc"/>
    <n v="176101"/>
    <x v="6"/>
    <n v="9"/>
    <x v="3"/>
    <s v="Farming-fishing"/>
    <s v="Husband"/>
    <x v="0"/>
    <x v="1"/>
    <n v="0"/>
    <n v="0"/>
    <n v="80"/>
    <s v="United-States"/>
    <x v="1"/>
  </r>
  <r>
    <n v="427"/>
    <x v="8"/>
    <s v="Private"/>
    <n v="227397"/>
    <x v="5"/>
    <n v="13"/>
    <x v="3"/>
    <s v="Adm-clerical"/>
    <s v="Wife"/>
    <x v="0"/>
    <x v="0"/>
    <n v="0"/>
    <n v="0"/>
    <n v="40"/>
    <s v="United-States"/>
    <x v="1"/>
  </r>
  <r>
    <n v="428"/>
    <x v="8"/>
    <s v="?"/>
    <n v="32533"/>
    <x v="2"/>
    <n v="10"/>
    <x v="0"/>
    <s v="?"/>
    <s v="Not-in-family"/>
    <x v="0"/>
    <x v="1"/>
    <n v="0"/>
    <n v="0"/>
    <n v="45"/>
    <s v="United-States"/>
    <x v="0"/>
  </r>
  <r>
    <n v="429"/>
    <x v="38"/>
    <s v="Private"/>
    <n v="187802"/>
    <x v="2"/>
    <n v="10"/>
    <x v="1"/>
    <s v="Tech-support"/>
    <s v="Not-in-family"/>
    <x v="0"/>
    <x v="1"/>
    <n v="0"/>
    <n v="0"/>
    <n v="50"/>
    <s v="United-States"/>
    <x v="0"/>
  </r>
  <r>
    <n v="430"/>
    <x v="17"/>
    <s v="Private"/>
    <n v="248094"/>
    <x v="6"/>
    <n v="9"/>
    <x v="1"/>
    <s v="Craft-repair"/>
    <s v="Unmarried"/>
    <x v="0"/>
    <x v="1"/>
    <n v="0"/>
    <n v="0"/>
    <n v="40"/>
    <s v="United-States"/>
    <x v="0"/>
  </r>
  <r>
    <n v="431"/>
    <x v="23"/>
    <s v="Private"/>
    <n v="35917"/>
    <x v="2"/>
    <n v="10"/>
    <x v="0"/>
    <s v="Transport-moving"/>
    <s v="Not-in-family"/>
    <x v="0"/>
    <x v="1"/>
    <n v="0"/>
    <n v="0"/>
    <n v="50"/>
    <s v="United-States"/>
    <x v="0"/>
  </r>
  <r>
    <n v="432"/>
    <x v="22"/>
    <s v="Private"/>
    <n v="213152"/>
    <x v="2"/>
    <n v="10"/>
    <x v="0"/>
    <s v="Sales"/>
    <s v="Not-in-family"/>
    <x v="0"/>
    <x v="1"/>
    <n v="0"/>
    <n v="0"/>
    <n v="40"/>
    <s v="United-States"/>
    <x v="0"/>
  </r>
  <r>
    <n v="433"/>
    <x v="30"/>
    <s v="Local-gov"/>
    <n v="349431"/>
    <x v="6"/>
    <n v="9"/>
    <x v="3"/>
    <s v="Craft-repair"/>
    <s v="Husband"/>
    <x v="0"/>
    <x v="1"/>
    <n v="4386"/>
    <n v="0"/>
    <n v="40"/>
    <s v="United-States"/>
    <x v="1"/>
  </r>
  <r>
    <n v="434"/>
    <x v="27"/>
    <s v="Private"/>
    <n v="183041"/>
    <x v="0"/>
    <n v="7"/>
    <x v="0"/>
    <s v="Handlers-cleaners"/>
    <s v="Own-child"/>
    <x v="0"/>
    <x v="1"/>
    <n v="0"/>
    <n v="0"/>
    <n v="24"/>
    <s v="United-States"/>
    <x v="0"/>
  </r>
  <r>
    <n v="435"/>
    <x v="17"/>
    <s v="Private"/>
    <n v="178976"/>
    <x v="6"/>
    <n v="9"/>
    <x v="0"/>
    <s v="Adm-clerical"/>
    <s v="Unmarried"/>
    <x v="0"/>
    <x v="0"/>
    <n v="0"/>
    <n v="0"/>
    <n v="40"/>
    <s v="United-States"/>
    <x v="0"/>
  </r>
  <r>
    <n v="436"/>
    <x v="40"/>
    <s v="Private"/>
    <n v="176185"/>
    <x v="4"/>
    <n v="8"/>
    <x v="1"/>
    <s v="Craft-repair"/>
    <s v="Not-in-family"/>
    <x v="0"/>
    <x v="1"/>
    <n v="0"/>
    <n v="2258"/>
    <n v="42"/>
    <s v="United-States"/>
    <x v="0"/>
  </r>
  <r>
    <n v="437"/>
    <x v="0"/>
    <s v="Private"/>
    <n v="452452"/>
    <x v="8"/>
    <n v="6"/>
    <x v="0"/>
    <s v="Priv-house-serv"/>
    <s v="Own-child"/>
    <x v="2"/>
    <x v="0"/>
    <n v="0"/>
    <n v="0"/>
    <n v="20"/>
    <s v="United-States"/>
    <x v="0"/>
  </r>
  <r>
    <n v="438"/>
    <x v="13"/>
    <s v="Private"/>
    <n v="207540"/>
    <x v="13"/>
    <n v="16"/>
    <x v="2"/>
    <s v="Exec-managerial"/>
    <s v="Unmarried"/>
    <x v="0"/>
    <x v="1"/>
    <n v="0"/>
    <n v="0"/>
    <n v="40"/>
    <s v="United-States"/>
    <x v="1"/>
  </r>
  <r>
    <n v="439"/>
    <x v="37"/>
    <s v="Private"/>
    <n v="147707"/>
    <x v="6"/>
    <n v="9"/>
    <x v="3"/>
    <s v="Exec-managerial"/>
    <s v="Husband"/>
    <x v="0"/>
    <x v="1"/>
    <n v="15024"/>
    <n v="0"/>
    <n v="60"/>
    <s v="United-States"/>
    <x v="1"/>
  </r>
  <r>
    <n v="440"/>
    <x v="28"/>
    <s v="Private"/>
    <n v="270079"/>
    <x v="12"/>
    <n v="4"/>
    <x v="3"/>
    <s v="Craft-repair"/>
    <s v="Husband"/>
    <x v="0"/>
    <x v="1"/>
    <n v="0"/>
    <n v="0"/>
    <n v="40"/>
    <s v="United-States"/>
    <x v="0"/>
  </r>
  <r>
    <n v="441"/>
    <x v="4"/>
    <s v="Private"/>
    <n v="118605"/>
    <x v="1"/>
    <n v="12"/>
    <x v="3"/>
    <s v="Prof-specialty"/>
    <s v="Husband"/>
    <x v="0"/>
    <x v="1"/>
    <n v="0"/>
    <n v="0"/>
    <n v="55"/>
    <s v="United-States"/>
    <x v="0"/>
  </r>
  <r>
    <n v="442"/>
    <x v="4"/>
    <s v="?"/>
    <n v="170276"/>
    <x v="5"/>
    <n v="13"/>
    <x v="3"/>
    <s v="?"/>
    <s v="Wife"/>
    <x v="0"/>
    <x v="0"/>
    <n v="0"/>
    <n v="0"/>
    <n v="10"/>
    <s v="United-States"/>
    <x v="1"/>
  </r>
  <r>
    <n v="443"/>
    <x v="14"/>
    <s v="Federal-gov"/>
    <n v="41031"/>
    <x v="2"/>
    <n v="10"/>
    <x v="0"/>
    <s v="Sales"/>
    <s v="Not-in-family"/>
    <x v="0"/>
    <x v="0"/>
    <n v="0"/>
    <n v="0"/>
    <n v="35"/>
    <s v="United-States"/>
    <x v="0"/>
  </r>
  <r>
    <n v="444"/>
    <x v="32"/>
    <s v="Private"/>
    <n v="93223"/>
    <x v="2"/>
    <n v="10"/>
    <x v="1"/>
    <s v="Prof-specialty"/>
    <s v="Unmarried"/>
    <x v="0"/>
    <x v="0"/>
    <n v="0"/>
    <n v="0"/>
    <n v="35"/>
    <s v="United-States"/>
    <x v="0"/>
  </r>
  <r>
    <n v="445"/>
    <x v="10"/>
    <s v="Private"/>
    <n v="215503"/>
    <x v="6"/>
    <n v="9"/>
    <x v="0"/>
    <s v="Craft-repair"/>
    <s v="Not-in-family"/>
    <x v="0"/>
    <x v="1"/>
    <n v="0"/>
    <n v="0"/>
    <n v="65"/>
    <s v="United-States"/>
    <x v="0"/>
  </r>
  <r>
    <n v="446"/>
    <x v="32"/>
    <s v="Self-emp-not-inc"/>
    <n v="37741"/>
    <x v="5"/>
    <n v="13"/>
    <x v="3"/>
    <s v="Exec-managerial"/>
    <s v="Wife"/>
    <x v="0"/>
    <x v="0"/>
    <n v="0"/>
    <n v="0"/>
    <n v="40"/>
    <s v="United-States"/>
    <x v="0"/>
  </r>
  <r>
    <n v="447"/>
    <x v="32"/>
    <s v="Private"/>
    <n v="281627"/>
    <x v="7"/>
    <n v="14"/>
    <x v="0"/>
    <s v="Prof-specialty"/>
    <s v="Not-in-family"/>
    <x v="0"/>
    <x v="0"/>
    <n v="0"/>
    <n v="0"/>
    <n v="40"/>
    <s v="United-States"/>
    <x v="0"/>
  </r>
  <r>
    <n v="448"/>
    <x v="43"/>
    <s v="Private"/>
    <n v="187870"/>
    <x v="5"/>
    <n v="13"/>
    <x v="3"/>
    <s v="Prof-specialty"/>
    <s v="Husband"/>
    <x v="0"/>
    <x v="1"/>
    <n v="7298"/>
    <n v="0"/>
    <n v="50"/>
    <s v="United-States"/>
    <x v="1"/>
  </r>
  <r>
    <n v="449"/>
    <x v="16"/>
    <s v="Private"/>
    <n v="99374"/>
    <x v="8"/>
    <n v="6"/>
    <x v="3"/>
    <s v="Transport-moving"/>
    <s v="Husband"/>
    <x v="0"/>
    <x v="1"/>
    <n v="0"/>
    <n v="0"/>
    <n v="55"/>
    <s v="United-States"/>
    <x v="0"/>
  </r>
  <r>
    <n v="450"/>
    <x v="6"/>
    <s v="Private"/>
    <n v="227832"/>
    <x v="4"/>
    <n v="8"/>
    <x v="3"/>
    <s v="Craft-repair"/>
    <s v="Husband"/>
    <x v="0"/>
    <x v="1"/>
    <n v="0"/>
    <n v="0"/>
    <n v="40"/>
    <s v="United-States"/>
    <x v="0"/>
  </r>
  <r>
    <n v="451"/>
    <x v="15"/>
    <s v="Private"/>
    <n v="109762"/>
    <x v="2"/>
    <n v="10"/>
    <x v="1"/>
    <s v="Craft-repair"/>
    <s v="Unmarried"/>
    <x v="0"/>
    <x v="1"/>
    <n v="0"/>
    <n v="0"/>
    <n v="40"/>
    <s v="United-States"/>
    <x v="0"/>
  </r>
  <r>
    <n v="452"/>
    <x v="9"/>
    <s v="Self-emp-not-inc"/>
    <n v="103277"/>
    <x v="4"/>
    <n v="8"/>
    <x v="3"/>
    <s v="Adm-clerical"/>
    <s v="Wife"/>
    <x v="0"/>
    <x v="0"/>
    <n v="4508"/>
    <n v="0"/>
    <n v="30"/>
    <s v="Portugal"/>
    <x v="0"/>
  </r>
  <r>
    <n v="453"/>
    <x v="59"/>
    <s v="?"/>
    <n v="42209"/>
    <x v="14"/>
    <n v="5"/>
    <x v="4"/>
    <s v="?"/>
    <s v="Not-in-family"/>
    <x v="0"/>
    <x v="1"/>
    <n v="0"/>
    <n v="0"/>
    <n v="25"/>
    <s v="United-States"/>
    <x v="0"/>
  </r>
  <r>
    <n v="454"/>
    <x v="1"/>
    <s v="Private"/>
    <n v="239130"/>
    <x v="2"/>
    <n v="10"/>
    <x v="0"/>
    <s v="Exec-managerial"/>
    <s v="Not-in-family"/>
    <x v="0"/>
    <x v="1"/>
    <n v="0"/>
    <n v="0"/>
    <n v="50"/>
    <s v="United-States"/>
    <x v="0"/>
  </r>
  <r>
    <n v="455"/>
    <x v="28"/>
    <s v="Self-emp-not-inc"/>
    <n v="122307"/>
    <x v="5"/>
    <n v="13"/>
    <x v="3"/>
    <s v="Sales"/>
    <s v="Husband"/>
    <x v="0"/>
    <x v="1"/>
    <n v="0"/>
    <n v="1887"/>
    <n v="40"/>
    <s v="United-States"/>
    <x v="1"/>
  </r>
  <r>
    <n v="456"/>
    <x v="37"/>
    <s v="Self-emp-inc"/>
    <n v="174864"/>
    <x v="6"/>
    <n v="9"/>
    <x v="3"/>
    <s v="Sales"/>
    <s v="Husband"/>
    <x v="0"/>
    <x v="1"/>
    <n v="0"/>
    <n v="0"/>
    <n v="55"/>
    <s v="United-States"/>
    <x v="1"/>
  </r>
  <r>
    <n v="457"/>
    <x v="27"/>
    <s v="?"/>
    <n v="225775"/>
    <x v="2"/>
    <n v="10"/>
    <x v="0"/>
    <s v="?"/>
    <s v="Own-child"/>
    <x v="0"/>
    <x v="1"/>
    <n v="0"/>
    <n v="0"/>
    <n v="40"/>
    <s v="United-States"/>
    <x v="0"/>
  </r>
  <r>
    <n v="458"/>
    <x v="8"/>
    <s v="Private"/>
    <n v="165599"/>
    <x v="6"/>
    <n v="9"/>
    <x v="3"/>
    <s v="Handlers-cleaners"/>
    <s v="Husband"/>
    <x v="0"/>
    <x v="1"/>
    <n v="0"/>
    <n v="0"/>
    <n v="40"/>
    <s v="United-States"/>
    <x v="1"/>
  </r>
  <r>
    <n v="459"/>
    <x v="39"/>
    <s v="Private"/>
    <n v="344415"/>
    <x v="5"/>
    <n v="13"/>
    <x v="5"/>
    <s v="Prof-specialty"/>
    <s v="Not-in-family"/>
    <x v="0"/>
    <x v="1"/>
    <n v="0"/>
    <n v="0"/>
    <n v="37"/>
    <s v="United-States"/>
    <x v="1"/>
  </r>
  <r>
    <n v="460"/>
    <x v="40"/>
    <s v="Private"/>
    <n v="100154"/>
    <x v="8"/>
    <n v="6"/>
    <x v="2"/>
    <s v="Handlers-cleaners"/>
    <s v="Not-in-family"/>
    <x v="0"/>
    <x v="1"/>
    <n v="0"/>
    <n v="0"/>
    <n v="40"/>
    <s v="United-States"/>
    <x v="0"/>
  </r>
  <r>
    <n v="461"/>
    <x v="13"/>
    <s v="Private"/>
    <n v="172960"/>
    <x v="2"/>
    <n v="10"/>
    <x v="1"/>
    <s v="Protective-serv"/>
    <s v="Not-in-family"/>
    <x v="0"/>
    <x v="1"/>
    <n v="0"/>
    <n v="0"/>
    <n v="70"/>
    <s v="United-States"/>
    <x v="0"/>
  </r>
  <r>
    <n v="462"/>
    <x v="3"/>
    <s v="Private"/>
    <n v="167915"/>
    <x v="6"/>
    <n v="9"/>
    <x v="3"/>
    <s v="Craft-repair"/>
    <s v="Husband"/>
    <x v="0"/>
    <x v="1"/>
    <n v="0"/>
    <n v="0"/>
    <n v="40"/>
    <s v="United-States"/>
    <x v="0"/>
  </r>
  <r>
    <n v="463"/>
    <x v="14"/>
    <s v="Private"/>
    <n v="64520"/>
    <x v="6"/>
    <n v="9"/>
    <x v="0"/>
    <s v="Adm-clerical"/>
    <s v="Own-child"/>
    <x v="0"/>
    <x v="1"/>
    <n v="0"/>
    <n v="0"/>
    <n v="30"/>
    <s v="United-States"/>
    <x v="0"/>
  </r>
  <r>
    <n v="464"/>
    <x v="25"/>
    <s v="?"/>
    <n v="182836"/>
    <x v="6"/>
    <n v="9"/>
    <x v="3"/>
    <s v="?"/>
    <s v="Wife"/>
    <x v="0"/>
    <x v="0"/>
    <n v="0"/>
    <n v="0"/>
    <n v="40"/>
    <s v="United-States"/>
    <x v="1"/>
  </r>
  <r>
    <n v="465"/>
    <x v="29"/>
    <s v="Self-emp-not-inc"/>
    <n v="66356"/>
    <x v="2"/>
    <n v="10"/>
    <x v="3"/>
    <s v="Farming-fishing"/>
    <s v="Husband"/>
    <x v="0"/>
    <x v="1"/>
    <n v="0"/>
    <n v="0"/>
    <n v="50"/>
    <s v="United-States"/>
    <x v="0"/>
  </r>
  <r>
    <n v="466"/>
    <x v="5"/>
    <s v="Private"/>
    <n v="30126"/>
    <x v="2"/>
    <n v="10"/>
    <x v="1"/>
    <s v="Adm-clerical"/>
    <s v="Unmarried"/>
    <x v="0"/>
    <x v="0"/>
    <n v="0"/>
    <n v="0"/>
    <n v="40"/>
    <s v="United-States"/>
    <x v="0"/>
  </r>
  <r>
    <n v="467"/>
    <x v="28"/>
    <s v="Private"/>
    <n v="23545"/>
    <x v="2"/>
    <n v="10"/>
    <x v="3"/>
    <s v="Handlers-cleaners"/>
    <s v="Husband"/>
    <x v="0"/>
    <x v="1"/>
    <n v="0"/>
    <n v="0"/>
    <n v="40"/>
    <s v="United-States"/>
    <x v="0"/>
  </r>
  <r>
    <n v="468"/>
    <x v="12"/>
    <s v="Private"/>
    <n v="86505"/>
    <x v="6"/>
    <n v="9"/>
    <x v="3"/>
    <s v="Tech-support"/>
    <s v="Husband"/>
    <x v="0"/>
    <x v="1"/>
    <n v="0"/>
    <n v="0"/>
    <n v="20"/>
    <s v="United-States"/>
    <x v="0"/>
  </r>
  <r>
    <n v="469"/>
    <x v="44"/>
    <s v="Private"/>
    <n v="111836"/>
    <x v="2"/>
    <n v="10"/>
    <x v="3"/>
    <s v="Other-service"/>
    <s v="Husband"/>
    <x v="2"/>
    <x v="1"/>
    <n v="0"/>
    <n v="0"/>
    <n v="50"/>
    <s v="United-States"/>
    <x v="0"/>
  </r>
  <r>
    <n v="470"/>
    <x v="23"/>
    <s v="Private"/>
    <n v="388812"/>
    <x v="2"/>
    <n v="10"/>
    <x v="0"/>
    <s v="Sales"/>
    <s v="Not-in-family"/>
    <x v="2"/>
    <x v="1"/>
    <n v="0"/>
    <n v="0"/>
    <n v="35"/>
    <s v="United-States"/>
    <x v="0"/>
  </r>
  <r>
    <n v="471"/>
    <x v="32"/>
    <s v="Private"/>
    <n v="404951"/>
    <x v="5"/>
    <n v="13"/>
    <x v="0"/>
    <s v="Exec-managerial"/>
    <s v="Not-in-family"/>
    <x v="2"/>
    <x v="0"/>
    <n v="0"/>
    <n v="0"/>
    <n v="38"/>
    <s v="United-States"/>
    <x v="0"/>
  </r>
  <r>
    <n v="472"/>
    <x v="0"/>
    <s v="Private"/>
    <n v="167979"/>
    <x v="0"/>
    <n v="7"/>
    <x v="0"/>
    <s v="Sales"/>
    <s v="Own-child"/>
    <x v="0"/>
    <x v="1"/>
    <n v="0"/>
    <n v="0"/>
    <n v="15"/>
    <s v="United-States"/>
    <x v="0"/>
  </r>
  <r>
    <n v="473"/>
    <x v="53"/>
    <s v="Self-emp-not-inc"/>
    <n v="95490"/>
    <x v="6"/>
    <n v="9"/>
    <x v="3"/>
    <s v="Sales"/>
    <s v="Husband"/>
    <x v="0"/>
    <x v="1"/>
    <n v="0"/>
    <n v="0"/>
    <n v="45"/>
    <s v="United-States"/>
    <x v="0"/>
  </r>
  <r>
    <n v="474"/>
    <x v="32"/>
    <s v="Private"/>
    <n v="268222"/>
    <x v="6"/>
    <n v="9"/>
    <x v="2"/>
    <s v="Handlers-cleaners"/>
    <s v="Unmarried"/>
    <x v="2"/>
    <x v="0"/>
    <n v="0"/>
    <n v="0"/>
    <n v="40"/>
    <s v="United-States"/>
    <x v="0"/>
  </r>
  <r>
    <n v="475"/>
    <x v="6"/>
    <s v="Private"/>
    <n v="202415"/>
    <x v="6"/>
    <n v="9"/>
    <x v="3"/>
    <s v="Craft-repair"/>
    <s v="Husband"/>
    <x v="0"/>
    <x v="1"/>
    <n v="0"/>
    <n v="0"/>
    <n v="40"/>
    <s v="United-States"/>
    <x v="1"/>
  </r>
  <r>
    <n v="476"/>
    <x v="19"/>
    <s v="?"/>
    <n v="332666"/>
    <x v="8"/>
    <n v="6"/>
    <x v="0"/>
    <s v="?"/>
    <s v="Own-child"/>
    <x v="0"/>
    <x v="0"/>
    <n v="0"/>
    <n v="0"/>
    <n v="4"/>
    <s v="United-States"/>
    <x v="0"/>
  </r>
  <r>
    <n v="477"/>
    <x v="15"/>
    <s v="Private"/>
    <n v="83859"/>
    <x v="6"/>
    <n v="9"/>
    <x v="4"/>
    <s v="Machine-op-inspct"/>
    <s v="Own-child"/>
    <x v="0"/>
    <x v="0"/>
    <n v="0"/>
    <n v="0"/>
    <n v="30"/>
    <s v="United-States"/>
    <x v="0"/>
  </r>
  <r>
    <n v="478"/>
    <x v="51"/>
    <s v="Private"/>
    <n v="98076"/>
    <x v="5"/>
    <n v="13"/>
    <x v="3"/>
    <s v="Exec-managerial"/>
    <s v="Husband"/>
    <x v="0"/>
    <x v="1"/>
    <n v="0"/>
    <n v="0"/>
    <n v="40"/>
    <s v="United-States"/>
    <x v="1"/>
  </r>
  <r>
    <n v="479"/>
    <x v="29"/>
    <s v="Private"/>
    <n v="193453"/>
    <x v="5"/>
    <n v="13"/>
    <x v="3"/>
    <s v="Prof-specialty"/>
    <s v="Husband"/>
    <x v="0"/>
    <x v="1"/>
    <n v="0"/>
    <n v="1902"/>
    <n v="65"/>
    <s v="United-States"/>
    <x v="1"/>
  </r>
  <r>
    <n v="480"/>
    <x v="14"/>
    <s v="Private"/>
    <n v="293565"/>
    <x v="8"/>
    <n v="6"/>
    <x v="0"/>
    <s v="Handlers-cleaners"/>
    <s v="Not-in-family"/>
    <x v="0"/>
    <x v="1"/>
    <n v="0"/>
    <n v="0"/>
    <n v="40"/>
    <s v="United-States"/>
    <x v="0"/>
  </r>
  <r>
    <n v="481"/>
    <x v="39"/>
    <s v="Private"/>
    <n v="101684"/>
    <x v="6"/>
    <n v="9"/>
    <x v="3"/>
    <s v="Sales"/>
    <s v="Husband"/>
    <x v="0"/>
    <x v="1"/>
    <n v="0"/>
    <n v="0"/>
    <n v="40"/>
    <s v="United-States"/>
    <x v="0"/>
  </r>
  <r>
    <n v="482"/>
    <x v="24"/>
    <s v="Private"/>
    <n v="195784"/>
    <x v="4"/>
    <n v="8"/>
    <x v="1"/>
    <s v="Handlers-cleaners"/>
    <s v="Unmarried"/>
    <x v="0"/>
    <x v="1"/>
    <n v="0"/>
    <n v="0"/>
    <n v="40"/>
    <s v="United-States"/>
    <x v="0"/>
  </r>
  <r>
    <n v="483"/>
    <x v="0"/>
    <s v="?"/>
    <n v="78181"/>
    <x v="6"/>
    <n v="9"/>
    <x v="0"/>
    <s v="?"/>
    <s v="Own-child"/>
    <x v="0"/>
    <x v="0"/>
    <n v="0"/>
    <n v="0"/>
    <n v="20"/>
    <s v="United-States"/>
    <x v="0"/>
  </r>
  <r>
    <n v="484"/>
    <x v="11"/>
    <s v="Private"/>
    <n v="511289"/>
    <x v="6"/>
    <n v="9"/>
    <x v="0"/>
    <s v="Farming-fishing"/>
    <s v="Not-in-family"/>
    <x v="0"/>
    <x v="1"/>
    <n v="2907"/>
    <n v="0"/>
    <n v="99"/>
    <s v="United-States"/>
    <x v="0"/>
  </r>
  <r>
    <n v="485"/>
    <x v="36"/>
    <s v="Private"/>
    <n v="62952"/>
    <x v="6"/>
    <n v="9"/>
    <x v="0"/>
    <s v="Craft-repair"/>
    <s v="Own-child"/>
    <x v="0"/>
    <x v="1"/>
    <n v="0"/>
    <n v="0"/>
    <n v="40"/>
    <s v="United-States"/>
    <x v="0"/>
  </r>
  <r>
    <n v="486"/>
    <x v="43"/>
    <s v="Private"/>
    <n v="391040"/>
    <x v="9"/>
    <n v="11"/>
    <x v="2"/>
    <s v="Tech-support"/>
    <s v="Unmarried"/>
    <x v="0"/>
    <x v="0"/>
    <n v="0"/>
    <n v="0"/>
    <n v="20"/>
    <s v="United-States"/>
    <x v="0"/>
  </r>
  <r>
    <n v="487"/>
    <x v="31"/>
    <s v="Private"/>
    <n v="153583"/>
    <x v="2"/>
    <n v="10"/>
    <x v="0"/>
    <s v="Adm-clerical"/>
    <s v="Own-child"/>
    <x v="0"/>
    <x v="0"/>
    <n v="0"/>
    <n v="0"/>
    <n v="40"/>
    <s v="?"/>
    <x v="0"/>
  </r>
  <r>
    <n v="488"/>
    <x v="13"/>
    <s v="Private"/>
    <n v="168038"/>
    <x v="5"/>
    <n v="13"/>
    <x v="1"/>
    <s v="Sales"/>
    <s v="Not-in-family"/>
    <x v="0"/>
    <x v="1"/>
    <n v="0"/>
    <n v="0"/>
    <n v="60"/>
    <s v="United-States"/>
    <x v="1"/>
  </r>
  <r>
    <n v="489"/>
    <x v="13"/>
    <s v="Private"/>
    <n v="260490"/>
    <x v="7"/>
    <n v="14"/>
    <x v="3"/>
    <s v="Exec-managerial"/>
    <s v="Husband"/>
    <x v="0"/>
    <x v="1"/>
    <n v="0"/>
    <n v="0"/>
    <n v="50"/>
    <s v="United-States"/>
    <x v="1"/>
  </r>
  <r>
    <n v="490"/>
    <x v="48"/>
    <s v="Self-emp-not-inc"/>
    <n v="28612"/>
    <x v="6"/>
    <n v="9"/>
    <x v="4"/>
    <s v="Sales"/>
    <s v="Not-in-family"/>
    <x v="0"/>
    <x v="1"/>
    <n v="0"/>
    <n v="0"/>
    <n v="70"/>
    <s v="United-States"/>
    <x v="0"/>
  </r>
  <r>
    <n v="491"/>
    <x v="15"/>
    <s v="Private"/>
    <n v="346189"/>
    <x v="13"/>
    <n v="16"/>
    <x v="3"/>
    <s v="Prof-specialty"/>
    <s v="Husband"/>
    <x v="0"/>
    <x v="1"/>
    <n v="0"/>
    <n v="0"/>
    <n v="40"/>
    <s v="United-States"/>
    <x v="1"/>
  </r>
  <r>
    <n v="492"/>
    <x v="44"/>
    <s v="Private"/>
    <n v="212064"/>
    <x v="5"/>
    <n v="13"/>
    <x v="3"/>
    <s v="Exec-managerial"/>
    <s v="Wife"/>
    <x v="0"/>
    <x v="0"/>
    <n v="0"/>
    <n v="0"/>
    <n v="40"/>
    <s v="United-States"/>
    <x v="1"/>
  </r>
  <r>
    <n v="493"/>
    <x v="16"/>
    <s v="Private"/>
    <n v="135436"/>
    <x v="5"/>
    <n v="13"/>
    <x v="3"/>
    <s v="Exec-managerial"/>
    <s v="Husband"/>
    <x v="0"/>
    <x v="1"/>
    <n v="0"/>
    <n v="1977"/>
    <n v="60"/>
    <s v="United-States"/>
    <x v="1"/>
  </r>
  <r>
    <n v="494"/>
    <x v="4"/>
    <s v="Private"/>
    <n v="184147"/>
    <x v="6"/>
    <n v="9"/>
    <x v="2"/>
    <s v="Sales"/>
    <s v="Unmarried"/>
    <x v="2"/>
    <x v="0"/>
    <n v="0"/>
    <n v="0"/>
    <n v="20"/>
    <s v="United-States"/>
    <x v="0"/>
  </r>
  <r>
    <n v="495"/>
    <x v="2"/>
    <s v="Private"/>
    <n v="241998"/>
    <x v="5"/>
    <n v="13"/>
    <x v="3"/>
    <s v="Exec-managerial"/>
    <s v="Husband"/>
    <x v="0"/>
    <x v="1"/>
    <n v="0"/>
    <n v="0"/>
    <n v="45"/>
    <s v="United-States"/>
    <x v="1"/>
  </r>
  <r>
    <n v="496"/>
    <x v="2"/>
    <s v="Self-emp-not-inc"/>
    <n v="115618"/>
    <x v="6"/>
    <n v="9"/>
    <x v="1"/>
    <s v="Sales"/>
    <s v="Not-in-family"/>
    <x v="0"/>
    <x v="1"/>
    <n v="0"/>
    <n v="0"/>
    <n v="50"/>
    <s v="United-States"/>
    <x v="1"/>
  </r>
  <r>
    <n v="497"/>
    <x v="25"/>
    <s v="Private"/>
    <n v="200700"/>
    <x v="5"/>
    <n v="13"/>
    <x v="3"/>
    <s v="Craft-repair"/>
    <s v="Husband"/>
    <x v="2"/>
    <x v="1"/>
    <n v="0"/>
    <n v="0"/>
    <n v="48"/>
    <s v="United-States"/>
    <x v="1"/>
  </r>
  <r>
    <n v="498"/>
    <x v="32"/>
    <s v="Local-gov"/>
    <n v="182380"/>
    <x v="6"/>
    <n v="9"/>
    <x v="0"/>
    <s v="Craft-repair"/>
    <s v="Own-child"/>
    <x v="0"/>
    <x v="1"/>
    <n v="0"/>
    <n v="0"/>
    <n v="40"/>
    <s v="United-States"/>
    <x v="0"/>
  </r>
  <r>
    <n v="499"/>
    <x v="22"/>
    <s v="Private"/>
    <n v="95647"/>
    <x v="5"/>
    <n v="13"/>
    <x v="0"/>
    <s v="Prof-specialty"/>
    <s v="Own-child"/>
    <x v="3"/>
    <x v="1"/>
    <n v="0"/>
    <n v="0"/>
    <n v="40"/>
    <s v="United-States"/>
    <x v="0"/>
  </r>
  <r>
    <n v="500"/>
    <x v="33"/>
    <s v="Private"/>
    <n v="385077"/>
    <x v="6"/>
    <n v="9"/>
    <x v="0"/>
    <s v="Craft-repair"/>
    <s v="Own-child"/>
    <x v="0"/>
    <x v="1"/>
    <n v="2907"/>
    <n v="0"/>
    <n v="40"/>
    <s v="United-States"/>
    <x v="0"/>
  </r>
  <r>
    <n v="501"/>
    <x v="15"/>
    <s v="Private"/>
    <n v="55191"/>
    <x v="2"/>
    <n v="10"/>
    <x v="0"/>
    <s v="Adm-clerical"/>
    <s v="Not-in-family"/>
    <x v="2"/>
    <x v="0"/>
    <n v="0"/>
    <n v="0"/>
    <n v="40"/>
    <s v="United-States"/>
    <x v="0"/>
  </r>
  <r>
    <n v="502"/>
    <x v="18"/>
    <s v="Private"/>
    <n v="71860"/>
    <x v="6"/>
    <n v="9"/>
    <x v="3"/>
    <s v="Farming-fishing"/>
    <s v="Husband"/>
    <x v="0"/>
    <x v="1"/>
    <n v="0"/>
    <n v="0"/>
    <n v="60"/>
    <s v="United-States"/>
    <x v="0"/>
  </r>
  <r>
    <n v="503"/>
    <x v="8"/>
    <s v="Self-emp-inc"/>
    <n v="277488"/>
    <x v="10"/>
    <n v="15"/>
    <x v="3"/>
    <s v="Prof-specialty"/>
    <s v="Husband"/>
    <x v="0"/>
    <x v="1"/>
    <n v="15024"/>
    <n v="0"/>
    <n v="65"/>
    <s v="United-States"/>
    <x v="1"/>
  </r>
  <r>
    <n v="504"/>
    <x v="27"/>
    <s v="Private"/>
    <n v="205830"/>
    <x v="6"/>
    <n v="9"/>
    <x v="0"/>
    <s v="Other-service"/>
    <s v="Own-child"/>
    <x v="0"/>
    <x v="0"/>
    <n v="0"/>
    <n v="0"/>
    <n v="40"/>
    <s v="El-Salvador"/>
    <x v="0"/>
  </r>
  <r>
    <n v="505"/>
    <x v="11"/>
    <s v="Private"/>
    <n v="100252"/>
    <x v="5"/>
    <n v="13"/>
    <x v="1"/>
    <s v="Other-service"/>
    <s v="Not-in-family"/>
    <x v="3"/>
    <x v="1"/>
    <n v="99999"/>
    <n v="0"/>
    <n v="70"/>
    <s v="United-States"/>
    <x v="1"/>
  </r>
  <r>
    <n v="506"/>
    <x v="51"/>
    <s v="Private"/>
    <n v="132917"/>
    <x v="2"/>
    <n v="10"/>
    <x v="3"/>
    <s v="Transport-moving"/>
    <s v="Husband"/>
    <x v="2"/>
    <x v="1"/>
    <n v="0"/>
    <n v="0"/>
    <n v="20"/>
    <s v="United-States"/>
    <x v="0"/>
  </r>
  <r>
    <n v="507"/>
    <x v="43"/>
    <s v="Private"/>
    <n v="193372"/>
    <x v="2"/>
    <n v="10"/>
    <x v="0"/>
    <s v="Exec-managerial"/>
    <s v="Own-child"/>
    <x v="0"/>
    <x v="0"/>
    <n v="0"/>
    <n v="0"/>
    <n v="40"/>
    <s v="United-States"/>
    <x v="0"/>
  </r>
  <r>
    <n v="508"/>
    <x v="28"/>
    <s v="Private"/>
    <n v="267205"/>
    <x v="9"/>
    <n v="11"/>
    <x v="3"/>
    <s v="Craft-repair"/>
    <s v="Husband"/>
    <x v="0"/>
    <x v="1"/>
    <n v="0"/>
    <n v="0"/>
    <n v="60"/>
    <s v="?"/>
    <x v="1"/>
  </r>
  <r>
    <n v="509"/>
    <x v="16"/>
    <s v="Local-gov"/>
    <n v="108320"/>
    <x v="5"/>
    <n v="13"/>
    <x v="3"/>
    <s v="Tech-support"/>
    <s v="Husband"/>
    <x v="0"/>
    <x v="1"/>
    <n v="0"/>
    <n v="0"/>
    <n v="45"/>
    <s v="United-States"/>
    <x v="1"/>
  </r>
  <r>
    <n v="510"/>
    <x v="10"/>
    <s v="Self-emp-not-inc"/>
    <n v="167691"/>
    <x v="2"/>
    <n v="10"/>
    <x v="0"/>
    <s v="Other-service"/>
    <s v="Unmarried"/>
    <x v="0"/>
    <x v="0"/>
    <n v="0"/>
    <n v="0"/>
    <n v="50"/>
    <s v="United-States"/>
    <x v="0"/>
  </r>
  <r>
    <n v="511"/>
    <x v="0"/>
    <s v="Private"/>
    <n v="111256"/>
    <x v="6"/>
    <n v="9"/>
    <x v="0"/>
    <s v="Adm-clerical"/>
    <s v="Own-child"/>
    <x v="0"/>
    <x v="0"/>
    <n v="0"/>
    <n v="0"/>
    <n v="20"/>
    <s v="United-States"/>
    <x v="0"/>
  </r>
  <r>
    <n v="512"/>
    <x v="31"/>
    <s v="Local-gov"/>
    <n v="163965"/>
    <x v="6"/>
    <n v="9"/>
    <x v="0"/>
    <s v="Other-service"/>
    <s v="Unmarried"/>
    <x v="2"/>
    <x v="0"/>
    <n v="0"/>
    <n v="0"/>
    <n v="40"/>
    <s v="United-States"/>
    <x v="0"/>
  </r>
  <r>
    <n v="513"/>
    <x v="13"/>
    <s v="Self-emp-not-inc"/>
    <n v="275445"/>
    <x v="5"/>
    <n v="13"/>
    <x v="1"/>
    <s v="Exec-managerial"/>
    <s v="Unmarried"/>
    <x v="0"/>
    <x v="1"/>
    <n v="0"/>
    <n v="0"/>
    <n v="50"/>
    <s v="United-States"/>
    <x v="0"/>
  </r>
  <r>
    <n v="514"/>
    <x v="48"/>
    <s v="Private"/>
    <n v="207385"/>
    <x v="2"/>
    <n v="10"/>
    <x v="3"/>
    <s v="Sales"/>
    <s v="Husband"/>
    <x v="0"/>
    <x v="1"/>
    <n v="0"/>
    <n v="0"/>
    <n v="30"/>
    <s v="United-States"/>
    <x v="0"/>
  </r>
  <r>
    <n v="515"/>
    <x v="12"/>
    <s v="Private"/>
    <n v="239404"/>
    <x v="8"/>
    <n v="6"/>
    <x v="3"/>
    <s v="Transport-moving"/>
    <s v="Husband"/>
    <x v="2"/>
    <x v="1"/>
    <n v="0"/>
    <n v="0"/>
    <n v="45"/>
    <s v="United-States"/>
    <x v="0"/>
  </r>
  <r>
    <n v="516"/>
    <x v="15"/>
    <s v="Local-gov"/>
    <n v="150755"/>
    <x v="5"/>
    <n v="13"/>
    <x v="3"/>
    <s v="Prof-specialty"/>
    <s v="Husband"/>
    <x v="0"/>
    <x v="1"/>
    <n v="99999"/>
    <n v="0"/>
    <n v="75"/>
    <s v="United-States"/>
    <x v="1"/>
  </r>
  <r>
    <n v="517"/>
    <x v="40"/>
    <s v="Private"/>
    <n v="119033"/>
    <x v="14"/>
    <n v="5"/>
    <x v="3"/>
    <s v="Handlers-cleaners"/>
    <s v="Husband"/>
    <x v="0"/>
    <x v="1"/>
    <n v="0"/>
    <n v="0"/>
    <n v="40"/>
    <s v="United-States"/>
    <x v="0"/>
  </r>
  <r>
    <n v="518"/>
    <x v="22"/>
    <s v="Private"/>
    <n v="303954"/>
    <x v="5"/>
    <n v="13"/>
    <x v="3"/>
    <s v="Sales"/>
    <s v="Husband"/>
    <x v="0"/>
    <x v="1"/>
    <n v="0"/>
    <n v="0"/>
    <n v="45"/>
    <s v="United-States"/>
    <x v="0"/>
  </r>
  <r>
    <n v="519"/>
    <x v="28"/>
    <s v="State-gov"/>
    <n v="108890"/>
    <x v="6"/>
    <n v="9"/>
    <x v="1"/>
    <s v="Adm-clerical"/>
    <s v="Unmarried"/>
    <x v="0"/>
    <x v="0"/>
    <n v="1831"/>
    <n v="0"/>
    <n v="38"/>
    <s v="United-States"/>
    <x v="0"/>
  </r>
  <r>
    <n v="520"/>
    <x v="15"/>
    <s v="Private"/>
    <n v="205706"/>
    <x v="6"/>
    <n v="9"/>
    <x v="3"/>
    <s v="Exec-managerial"/>
    <s v="Wife"/>
    <x v="0"/>
    <x v="0"/>
    <n v="0"/>
    <n v="0"/>
    <n v="40"/>
    <s v="United-States"/>
    <x v="0"/>
  </r>
  <r>
    <n v="521"/>
    <x v="6"/>
    <s v="Private"/>
    <n v="215990"/>
    <x v="7"/>
    <n v="14"/>
    <x v="3"/>
    <s v="Exec-managerial"/>
    <s v="Husband"/>
    <x v="0"/>
    <x v="1"/>
    <n v="0"/>
    <n v="1887"/>
    <n v="44"/>
    <s v="United-States"/>
    <x v="1"/>
  </r>
  <r>
    <n v="522"/>
    <x v="27"/>
    <s v="Self-emp-not-inc"/>
    <n v="137578"/>
    <x v="6"/>
    <n v="9"/>
    <x v="0"/>
    <s v="Other-service"/>
    <s v="Own-child"/>
    <x v="0"/>
    <x v="1"/>
    <n v="0"/>
    <n v="0"/>
    <n v="53"/>
    <s v="United-States"/>
    <x v="0"/>
  </r>
  <r>
    <n v="523"/>
    <x v="18"/>
    <s v="Self-emp-inc"/>
    <n v="156815"/>
    <x v="6"/>
    <n v="9"/>
    <x v="3"/>
    <s v="Other-service"/>
    <s v="Husband"/>
    <x v="0"/>
    <x v="1"/>
    <n v="0"/>
    <n v="0"/>
    <n v="40"/>
    <s v="United-States"/>
    <x v="0"/>
  </r>
  <r>
    <n v="524"/>
    <x v="47"/>
    <s v="Self-emp-not-inc"/>
    <n v="117387"/>
    <x v="0"/>
    <n v="7"/>
    <x v="3"/>
    <s v="Exec-managerial"/>
    <s v="Husband"/>
    <x v="0"/>
    <x v="1"/>
    <n v="0"/>
    <n v="0"/>
    <n v="20"/>
    <s v="United-States"/>
    <x v="0"/>
  </r>
  <r>
    <n v="525"/>
    <x v="33"/>
    <s v="Private"/>
    <n v="119592"/>
    <x v="1"/>
    <n v="12"/>
    <x v="0"/>
    <s v="Handlers-cleaners"/>
    <s v="Not-in-family"/>
    <x v="2"/>
    <x v="1"/>
    <n v="0"/>
    <n v="2824"/>
    <n v="40"/>
    <s v="?"/>
    <x v="1"/>
  </r>
  <r>
    <n v="526"/>
    <x v="27"/>
    <s v="?"/>
    <n v="185619"/>
    <x v="2"/>
    <n v="10"/>
    <x v="0"/>
    <s v="?"/>
    <s v="Own-child"/>
    <x v="0"/>
    <x v="0"/>
    <n v="0"/>
    <n v="0"/>
    <n v="20"/>
    <s v="United-States"/>
    <x v="0"/>
  </r>
  <r>
    <n v="527"/>
    <x v="15"/>
    <s v="Local-gov"/>
    <n v="105862"/>
    <x v="5"/>
    <n v="13"/>
    <x v="1"/>
    <s v="Prof-specialty"/>
    <s v="Unmarried"/>
    <x v="0"/>
    <x v="0"/>
    <n v="5455"/>
    <n v="0"/>
    <n v="40"/>
    <s v="United-States"/>
    <x v="0"/>
  </r>
  <r>
    <n v="528"/>
    <x v="51"/>
    <s v="Local-gov"/>
    <n v="180162"/>
    <x v="14"/>
    <n v="5"/>
    <x v="1"/>
    <s v="Protective-serv"/>
    <s v="Not-in-family"/>
    <x v="2"/>
    <x v="1"/>
    <n v="0"/>
    <n v="0"/>
    <n v="24"/>
    <s v="United-States"/>
    <x v="0"/>
  </r>
  <r>
    <n v="529"/>
    <x v="8"/>
    <s v="Private"/>
    <n v="54611"/>
    <x v="2"/>
    <n v="10"/>
    <x v="1"/>
    <s v="Farming-fishing"/>
    <s v="Not-in-family"/>
    <x v="0"/>
    <x v="1"/>
    <n v="0"/>
    <n v="0"/>
    <n v="40"/>
    <s v="United-States"/>
    <x v="0"/>
  </r>
  <r>
    <n v="530"/>
    <x v="7"/>
    <s v="Private"/>
    <n v="46712"/>
    <x v="6"/>
    <n v="9"/>
    <x v="1"/>
    <s v="Other-service"/>
    <s v="Not-in-family"/>
    <x v="0"/>
    <x v="0"/>
    <n v="0"/>
    <n v="0"/>
    <n v="40"/>
    <s v="United-States"/>
    <x v="0"/>
  </r>
  <r>
    <n v="531"/>
    <x v="56"/>
    <s v="Private"/>
    <n v="344152"/>
    <x v="7"/>
    <n v="14"/>
    <x v="3"/>
    <s v="Prof-specialty"/>
    <s v="Husband"/>
    <x v="0"/>
    <x v="1"/>
    <n v="5556"/>
    <n v="0"/>
    <n v="50"/>
    <s v="United-States"/>
    <x v="1"/>
  </r>
  <r>
    <n v="532"/>
    <x v="38"/>
    <s v="State-gov"/>
    <n v="58930"/>
    <x v="5"/>
    <n v="13"/>
    <x v="0"/>
    <s v="Prof-specialty"/>
    <s v="Not-in-family"/>
    <x v="0"/>
    <x v="0"/>
    <n v="0"/>
    <n v="0"/>
    <n v="40"/>
    <s v="United-States"/>
    <x v="0"/>
  </r>
  <r>
    <n v="533"/>
    <x v="1"/>
    <s v="Private"/>
    <n v="392100"/>
    <x v="6"/>
    <n v="9"/>
    <x v="3"/>
    <s v="Craft-repair"/>
    <s v="Own-child"/>
    <x v="0"/>
    <x v="1"/>
    <n v="0"/>
    <n v="0"/>
    <n v="40"/>
    <s v="United-States"/>
    <x v="0"/>
  </r>
  <r>
    <n v="534"/>
    <x v="23"/>
    <s v="Private"/>
    <n v="173593"/>
    <x v="7"/>
    <n v="14"/>
    <x v="3"/>
    <s v="Machine-op-inspct"/>
    <s v="Husband"/>
    <x v="0"/>
    <x v="1"/>
    <n v="0"/>
    <n v="0"/>
    <n v="20"/>
    <s v="Canada"/>
    <x v="0"/>
  </r>
  <r>
    <n v="535"/>
    <x v="14"/>
    <s v="Private"/>
    <n v="32950"/>
    <x v="2"/>
    <n v="10"/>
    <x v="0"/>
    <s v="Sales"/>
    <s v="Not-in-family"/>
    <x v="0"/>
    <x v="1"/>
    <n v="0"/>
    <n v="0"/>
    <n v="40"/>
    <s v="United-States"/>
    <x v="0"/>
  </r>
  <r>
    <n v="536"/>
    <x v="13"/>
    <s v="Private"/>
    <n v="20534"/>
    <x v="2"/>
    <n v="10"/>
    <x v="3"/>
    <s v="Machine-op-inspct"/>
    <s v="Husband"/>
    <x v="0"/>
    <x v="1"/>
    <n v="0"/>
    <n v="0"/>
    <n v="84"/>
    <s v="United-States"/>
    <x v="1"/>
  </r>
  <r>
    <n v="537"/>
    <x v="47"/>
    <s v="Federal-gov"/>
    <n v="229062"/>
    <x v="2"/>
    <n v="10"/>
    <x v="3"/>
    <s v="Adm-clerical"/>
    <s v="Husband"/>
    <x v="0"/>
    <x v="1"/>
    <n v="0"/>
    <n v="1887"/>
    <n v="40"/>
    <s v="United-States"/>
    <x v="1"/>
  </r>
  <r>
    <n v="538"/>
    <x v="59"/>
    <s v="Private"/>
    <n v="208843"/>
    <x v="12"/>
    <n v="4"/>
    <x v="4"/>
    <s v="Protective-serv"/>
    <s v="Not-in-family"/>
    <x v="0"/>
    <x v="1"/>
    <n v="0"/>
    <n v="0"/>
    <n v="30"/>
    <s v="United-States"/>
    <x v="0"/>
  </r>
  <r>
    <n v="539"/>
    <x v="53"/>
    <s v="Private"/>
    <n v="139391"/>
    <x v="2"/>
    <n v="10"/>
    <x v="5"/>
    <s v="Machine-op-inspct"/>
    <s v="Not-in-family"/>
    <x v="0"/>
    <x v="1"/>
    <n v="0"/>
    <n v="0"/>
    <n v="50"/>
    <s v="United-States"/>
    <x v="1"/>
  </r>
  <r>
    <n v="540"/>
    <x v="40"/>
    <s v="State-gov"/>
    <n v="111994"/>
    <x v="2"/>
    <n v="10"/>
    <x v="1"/>
    <s v="Adm-clerical"/>
    <s v="Unmarried"/>
    <x v="0"/>
    <x v="0"/>
    <n v="0"/>
    <n v="0"/>
    <n v="45"/>
    <s v="United-States"/>
    <x v="0"/>
  </r>
  <r>
    <n v="541"/>
    <x v="2"/>
    <s v="Self-emp-not-inc"/>
    <n v="348771"/>
    <x v="0"/>
    <n v="7"/>
    <x v="3"/>
    <s v="Craft-repair"/>
    <s v="Husband"/>
    <x v="0"/>
    <x v="1"/>
    <n v="0"/>
    <n v="0"/>
    <n v="36"/>
    <s v="United-States"/>
    <x v="0"/>
  </r>
  <r>
    <n v="542"/>
    <x v="14"/>
    <s v="Private"/>
    <n v="348420"/>
    <x v="5"/>
    <n v="13"/>
    <x v="0"/>
    <s v="Tech-support"/>
    <s v="Not-in-family"/>
    <x v="0"/>
    <x v="1"/>
    <n v="0"/>
    <n v="0"/>
    <n v="40"/>
    <s v="United-States"/>
    <x v="0"/>
  </r>
  <r>
    <n v="543"/>
    <x v="10"/>
    <s v="Private"/>
    <n v="115700"/>
    <x v="6"/>
    <n v="9"/>
    <x v="3"/>
    <s v="Sales"/>
    <s v="Husband"/>
    <x v="0"/>
    <x v="1"/>
    <n v="0"/>
    <n v="0"/>
    <n v="50"/>
    <s v="United-States"/>
    <x v="0"/>
  </r>
  <r>
    <n v="544"/>
    <x v="40"/>
    <s v="Local-gov"/>
    <n v="133876"/>
    <x v="6"/>
    <n v="9"/>
    <x v="1"/>
    <s v="Craft-repair"/>
    <s v="Unmarried"/>
    <x v="0"/>
    <x v="1"/>
    <n v="0"/>
    <n v="0"/>
    <n v="40"/>
    <s v="United-States"/>
    <x v="0"/>
  </r>
  <r>
    <n v="545"/>
    <x v="10"/>
    <s v="State-gov"/>
    <n v="196348"/>
    <x v="6"/>
    <n v="9"/>
    <x v="3"/>
    <s v="Exec-managerial"/>
    <s v="Husband"/>
    <x v="0"/>
    <x v="1"/>
    <n v="0"/>
    <n v="0"/>
    <n v="60"/>
    <s v="United-States"/>
    <x v="1"/>
  </r>
  <r>
    <n v="546"/>
    <x v="30"/>
    <s v="Private"/>
    <n v="123429"/>
    <x v="1"/>
    <n v="12"/>
    <x v="1"/>
    <s v="Tech-support"/>
    <s v="Not-in-family"/>
    <x v="0"/>
    <x v="1"/>
    <n v="0"/>
    <n v="0"/>
    <n v="30"/>
    <s v="United-States"/>
    <x v="0"/>
  </r>
  <r>
    <n v="547"/>
    <x v="22"/>
    <s v="State-gov"/>
    <n v="271328"/>
    <x v="5"/>
    <n v="13"/>
    <x v="0"/>
    <s v="Prof-specialty"/>
    <s v="Not-in-family"/>
    <x v="0"/>
    <x v="1"/>
    <n v="0"/>
    <n v="0"/>
    <n v="60"/>
    <s v="United-States"/>
    <x v="0"/>
  </r>
  <r>
    <n v="548"/>
    <x v="28"/>
    <s v="Local-gov"/>
    <n v="93618"/>
    <x v="2"/>
    <n v="10"/>
    <x v="1"/>
    <s v="Adm-clerical"/>
    <s v="Not-in-family"/>
    <x v="0"/>
    <x v="0"/>
    <n v="0"/>
    <n v="0"/>
    <n v="33"/>
    <s v="United-States"/>
    <x v="0"/>
  </r>
  <r>
    <n v="549"/>
    <x v="23"/>
    <s v="Private"/>
    <n v="39212"/>
    <x v="6"/>
    <n v="9"/>
    <x v="3"/>
    <s v="Machine-op-inspct"/>
    <s v="Husband"/>
    <x v="0"/>
    <x v="1"/>
    <n v="0"/>
    <n v="0"/>
    <n v="45"/>
    <s v="United-States"/>
    <x v="0"/>
  </r>
  <r>
    <n v="550"/>
    <x v="49"/>
    <s v="Private"/>
    <n v="168211"/>
    <x v="6"/>
    <n v="9"/>
    <x v="3"/>
    <s v="Protective-serv"/>
    <s v="Husband"/>
    <x v="0"/>
    <x v="1"/>
    <n v="0"/>
    <n v="0"/>
    <n v="40"/>
    <s v="United-States"/>
    <x v="1"/>
  </r>
  <r>
    <n v="551"/>
    <x v="32"/>
    <s v="Private"/>
    <n v="104193"/>
    <x v="6"/>
    <n v="9"/>
    <x v="0"/>
    <s v="Other-service"/>
    <s v="Own-child"/>
    <x v="0"/>
    <x v="0"/>
    <n v="114"/>
    <n v="0"/>
    <n v="40"/>
    <s v="United-States"/>
    <x v="0"/>
  </r>
  <r>
    <n v="552"/>
    <x v="51"/>
    <s v="State-gov"/>
    <n v="202056"/>
    <x v="5"/>
    <n v="13"/>
    <x v="1"/>
    <s v="Prof-specialty"/>
    <s v="Not-in-family"/>
    <x v="0"/>
    <x v="1"/>
    <n v="14084"/>
    <n v="0"/>
    <n v="40"/>
    <s v="United-States"/>
    <x v="1"/>
  </r>
  <r>
    <n v="553"/>
    <x v="25"/>
    <s v="Private"/>
    <n v="189664"/>
    <x v="2"/>
    <n v="10"/>
    <x v="3"/>
    <s v="Sales"/>
    <s v="Husband"/>
    <x v="0"/>
    <x v="1"/>
    <n v="0"/>
    <n v="0"/>
    <n v="40"/>
    <s v="United-States"/>
    <x v="0"/>
  </r>
  <r>
    <n v="554"/>
    <x v="13"/>
    <s v="Private"/>
    <n v="262802"/>
    <x v="5"/>
    <n v="13"/>
    <x v="1"/>
    <s v="Exec-managerial"/>
    <s v="Unmarried"/>
    <x v="0"/>
    <x v="0"/>
    <n v="0"/>
    <n v="0"/>
    <n v="40"/>
    <s v="United-States"/>
    <x v="0"/>
  </r>
  <r>
    <n v="555"/>
    <x v="17"/>
    <s v="Private"/>
    <n v="219424"/>
    <x v="5"/>
    <n v="13"/>
    <x v="0"/>
    <s v="Exec-managerial"/>
    <s v="Not-in-family"/>
    <x v="2"/>
    <x v="0"/>
    <n v="0"/>
    <n v="0"/>
    <n v="50"/>
    <s v="United-States"/>
    <x v="1"/>
  </r>
  <r>
    <n v="556"/>
    <x v="10"/>
    <s v="Self-emp-inc"/>
    <n v="184456"/>
    <x v="5"/>
    <n v="13"/>
    <x v="0"/>
    <s v="Tech-support"/>
    <s v="Not-in-family"/>
    <x v="0"/>
    <x v="1"/>
    <n v="27828"/>
    <n v="0"/>
    <n v="55"/>
    <s v="United-States"/>
    <x v="1"/>
  </r>
  <r>
    <n v="557"/>
    <x v="49"/>
    <s v="Private"/>
    <n v="207677"/>
    <x v="12"/>
    <n v="4"/>
    <x v="1"/>
    <s v="Craft-repair"/>
    <s v="Not-in-family"/>
    <x v="0"/>
    <x v="1"/>
    <n v="0"/>
    <n v="0"/>
    <n v="70"/>
    <s v="United-States"/>
    <x v="0"/>
  </r>
  <r>
    <n v="558"/>
    <x v="47"/>
    <s v="?"/>
    <n v="60641"/>
    <x v="5"/>
    <n v="13"/>
    <x v="0"/>
    <s v="?"/>
    <s v="Not-in-family"/>
    <x v="0"/>
    <x v="0"/>
    <n v="0"/>
    <n v="0"/>
    <n v="45"/>
    <s v="United-States"/>
    <x v="0"/>
  </r>
  <r>
    <n v="559"/>
    <x v="44"/>
    <s v="Local-gov"/>
    <n v="19302"/>
    <x v="1"/>
    <n v="12"/>
    <x v="3"/>
    <s v="Protective-serv"/>
    <s v="Husband"/>
    <x v="0"/>
    <x v="1"/>
    <n v="0"/>
    <n v="0"/>
    <n v="56"/>
    <s v="England"/>
    <x v="1"/>
  </r>
  <r>
    <n v="560"/>
    <x v="7"/>
    <s v="Private"/>
    <n v="208668"/>
    <x v="1"/>
    <n v="12"/>
    <x v="0"/>
    <s v="Prof-specialty"/>
    <s v="Not-in-family"/>
    <x v="2"/>
    <x v="0"/>
    <n v="0"/>
    <n v="0"/>
    <n v="25"/>
    <s v="United-States"/>
    <x v="0"/>
  </r>
  <r>
    <n v="561"/>
    <x v="33"/>
    <s v="Private"/>
    <n v="500720"/>
    <x v="6"/>
    <n v="9"/>
    <x v="0"/>
    <s v="Adm-clerical"/>
    <s v="Own-child"/>
    <x v="0"/>
    <x v="0"/>
    <n v="0"/>
    <n v="0"/>
    <n v="40"/>
    <s v="Mexico"/>
    <x v="0"/>
  </r>
  <r>
    <n v="562"/>
    <x v="38"/>
    <s v="Private"/>
    <n v="222504"/>
    <x v="10"/>
    <n v="15"/>
    <x v="1"/>
    <s v="Prof-specialty"/>
    <s v="Unmarried"/>
    <x v="0"/>
    <x v="0"/>
    <n v="0"/>
    <n v="0"/>
    <n v="38"/>
    <s v="United-States"/>
    <x v="0"/>
  </r>
  <r>
    <n v="563"/>
    <x v="53"/>
    <s v="Private"/>
    <n v="320376"/>
    <x v="12"/>
    <n v="4"/>
    <x v="3"/>
    <s v="Machine-op-inspct"/>
    <s v="Wife"/>
    <x v="0"/>
    <x v="0"/>
    <n v="0"/>
    <n v="0"/>
    <n v="40"/>
    <s v="United-States"/>
    <x v="0"/>
  </r>
  <r>
    <n v="564"/>
    <x v="1"/>
    <s v="Private"/>
    <n v="148429"/>
    <x v="6"/>
    <n v="9"/>
    <x v="3"/>
    <s v="Machine-op-inspct"/>
    <s v="Husband"/>
    <x v="0"/>
    <x v="1"/>
    <n v="0"/>
    <n v="0"/>
    <n v="40"/>
    <s v="United-States"/>
    <x v="0"/>
  </r>
  <r>
    <n v="565"/>
    <x v="20"/>
    <s v="?"/>
    <n v="175891"/>
    <x v="14"/>
    <n v="5"/>
    <x v="3"/>
    <s v="?"/>
    <s v="Husband"/>
    <x v="0"/>
    <x v="1"/>
    <n v="0"/>
    <n v="0"/>
    <n v="40"/>
    <s v="United-States"/>
    <x v="0"/>
  </r>
  <r>
    <n v="566"/>
    <x v="30"/>
    <s v="Private"/>
    <n v="128272"/>
    <x v="2"/>
    <n v="10"/>
    <x v="3"/>
    <s v="Exec-managerial"/>
    <s v="Husband"/>
    <x v="0"/>
    <x v="1"/>
    <n v="0"/>
    <n v="0"/>
    <n v="40"/>
    <s v="United-States"/>
    <x v="0"/>
  </r>
  <r>
    <n v="567"/>
    <x v="3"/>
    <s v="Private"/>
    <n v="216414"/>
    <x v="9"/>
    <n v="11"/>
    <x v="5"/>
    <s v="Craft-repair"/>
    <s v="Unmarried"/>
    <x v="0"/>
    <x v="1"/>
    <n v="0"/>
    <n v="0"/>
    <n v="40"/>
    <s v="United-States"/>
    <x v="0"/>
  </r>
  <r>
    <n v="568"/>
    <x v="18"/>
    <s v="Private"/>
    <n v="144784"/>
    <x v="6"/>
    <n v="9"/>
    <x v="0"/>
    <s v="Other-service"/>
    <s v="Not-in-family"/>
    <x v="2"/>
    <x v="0"/>
    <n v="0"/>
    <n v="0"/>
    <n v="40"/>
    <s v="United-States"/>
    <x v="0"/>
  </r>
  <r>
    <n v="569"/>
    <x v="44"/>
    <s v="Private"/>
    <n v="116055"/>
    <x v="6"/>
    <n v="9"/>
    <x v="0"/>
    <s v="Adm-clerical"/>
    <s v="Unmarried"/>
    <x v="2"/>
    <x v="0"/>
    <n v="2977"/>
    <n v="0"/>
    <n v="35"/>
    <s v="United-States"/>
    <x v="0"/>
  </r>
  <r>
    <n v="570"/>
    <x v="32"/>
    <s v="Private"/>
    <n v="193787"/>
    <x v="2"/>
    <n v="10"/>
    <x v="0"/>
    <s v="Machine-op-inspct"/>
    <s v="Own-child"/>
    <x v="0"/>
    <x v="0"/>
    <n v="0"/>
    <n v="0"/>
    <n v="50"/>
    <s v="United-States"/>
    <x v="0"/>
  </r>
  <r>
    <n v="571"/>
    <x v="22"/>
    <s v="Private"/>
    <n v="113635"/>
    <x v="5"/>
    <n v="13"/>
    <x v="0"/>
    <s v="Other-service"/>
    <s v="Not-in-family"/>
    <x v="0"/>
    <x v="1"/>
    <n v="0"/>
    <n v="0"/>
    <n v="35"/>
    <s v="United-States"/>
    <x v="0"/>
  </r>
  <r>
    <n v="572"/>
    <x v="36"/>
    <s v="Private"/>
    <n v="417668"/>
    <x v="5"/>
    <n v="13"/>
    <x v="0"/>
    <s v="Prof-specialty"/>
    <s v="Own-child"/>
    <x v="0"/>
    <x v="1"/>
    <n v="0"/>
    <n v="0"/>
    <n v="30"/>
    <s v="United-States"/>
    <x v="0"/>
  </r>
  <r>
    <n v="573"/>
    <x v="30"/>
    <s v="Private"/>
    <n v="103529"/>
    <x v="0"/>
    <n v="7"/>
    <x v="1"/>
    <s v="Other-service"/>
    <s v="Unmarried"/>
    <x v="2"/>
    <x v="0"/>
    <n v="0"/>
    <n v="0"/>
    <n v="30"/>
    <s v="United-States"/>
    <x v="0"/>
  </r>
  <r>
    <n v="574"/>
    <x v="33"/>
    <s v="Private"/>
    <n v="163911"/>
    <x v="2"/>
    <n v="10"/>
    <x v="0"/>
    <s v="Adm-clerical"/>
    <s v="Own-child"/>
    <x v="0"/>
    <x v="0"/>
    <n v="0"/>
    <n v="0"/>
    <n v="20"/>
    <s v="United-States"/>
    <x v="0"/>
  </r>
  <r>
    <n v="575"/>
    <x v="53"/>
    <s v="Local-gov"/>
    <n v="101110"/>
    <x v="9"/>
    <n v="11"/>
    <x v="1"/>
    <s v="Prof-specialty"/>
    <s v="Unmarried"/>
    <x v="0"/>
    <x v="1"/>
    <n v="0"/>
    <n v="0"/>
    <n v="40"/>
    <s v="United-States"/>
    <x v="1"/>
  </r>
  <r>
    <n v="576"/>
    <x v="43"/>
    <s v="Local-gov"/>
    <n v="73715"/>
    <x v="2"/>
    <n v="10"/>
    <x v="3"/>
    <s v="Protective-serv"/>
    <s v="Husband"/>
    <x v="0"/>
    <x v="1"/>
    <n v="0"/>
    <n v="0"/>
    <n v="60"/>
    <s v="United-States"/>
    <x v="1"/>
  </r>
  <r>
    <n v="577"/>
    <x v="49"/>
    <s v="Private"/>
    <n v="250733"/>
    <x v="6"/>
    <n v="9"/>
    <x v="3"/>
    <s v="Craft-repair"/>
    <s v="Husband"/>
    <x v="0"/>
    <x v="1"/>
    <n v="0"/>
    <n v="0"/>
    <n v="46"/>
    <s v="United-States"/>
    <x v="0"/>
  </r>
  <r>
    <n v="578"/>
    <x v="24"/>
    <s v="Self-emp-not-inc"/>
    <n v="42402"/>
    <x v="10"/>
    <n v="15"/>
    <x v="3"/>
    <s v="Prof-specialty"/>
    <s v="Husband"/>
    <x v="0"/>
    <x v="1"/>
    <n v="0"/>
    <n v="2415"/>
    <n v="30"/>
    <s v="United-States"/>
    <x v="1"/>
  </r>
  <r>
    <n v="579"/>
    <x v="28"/>
    <s v="Private"/>
    <n v="144351"/>
    <x v="6"/>
    <n v="9"/>
    <x v="1"/>
    <s v="Craft-repair"/>
    <s v="Unmarried"/>
    <x v="0"/>
    <x v="1"/>
    <n v="0"/>
    <n v="625"/>
    <n v="40"/>
    <s v="United-States"/>
    <x v="0"/>
  </r>
  <r>
    <n v="580"/>
    <x v="60"/>
    <s v="Self-emp-not-inc"/>
    <n v="225892"/>
    <x v="6"/>
    <n v="9"/>
    <x v="3"/>
    <s v="Other-service"/>
    <s v="Husband"/>
    <x v="0"/>
    <x v="1"/>
    <n v="1409"/>
    <n v="0"/>
    <n v="40"/>
    <s v="United-States"/>
    <x v="0"/>
  </r>
  <r>
    <n v="581"/>
    <x v="13"/>
    <s v="Private"/>
    <n v="184277"/>
    <x v="9"/>
    <n v="11"/>
    <x v="1"/>
    <s v="Adm-clerical"/>
    <s v="Unmarried"/>
    <x v="0"/>
    <x v="0"/>
    <n v="0"/>
    <n v="0"/>
    <n v="55"/>
    <s v="United-States"/>
    <x v="1"/>
  </r>
  <r>
    <n v="582"/>
    <x v="18"/>
    <s v="Private"/>
    <n v="48895"/>
    <x v="6"/>
    <n v="9"/>
    <x v="0"/>
    <s v="Craft-repair"/>
    <s v="Not-in-family"/>
    <x v="0"/>
    <x v="1"/>
    <n v="0"/>
    <n v="0"/>
    <n v="50"/>
    <s v="United-States"/>
    <x v="0"/>
  </r>
  <r>
    <n v="583"/>
    <x v="31"/>
    <s v="Private"/>
    <n v="375698"/>
    <x v="2"/>
    <n v="10"/>
    <x v="0"/>
    <s v="Adm-clerical"/>
    <s v="Own-child"/>
    <x v="0"/>
    <x v="0"/>
    <n v="0"/>
    <n v="0"/>
    <n v="15"/>
    <s v="United-States"/>
    <x v="0"/>
  </r>
  <r>
    <n v="584"/>
    <x v="34"/>
    <s v="Federal-gov"/>
    <n v="184964"/>
    <x v="2"/>
    <n v="10"/>
    <x v="1"/>
    <s v="Adm-clerical"/>
    <s v="Not-in-family"/>
    <x v="0"/>
    <x v="1"/>
    <n v="0"/>
    <n v="0"/>
    <n v="40"/>
    <s v="United-States"/>
    <x v="1"/>
  </r>
  <r>
    <n v="585"/>
    <x v="1"/>
    <s v="Private"/>
    <n v="215211"/>
    <x v="6"/>
    <n v="9"/>
    <x v="3"/>
    <s v="Sales"/>
    <s v="Husband"/>
    <x v="0"/>
    <x v="1"/>
    <n v="0"/>
    <n v="0"/>
    <n v="50"/>
    <s v="United-States"/>
    <x v="0"/>
  </r>
  <r>
    <n v="586"/>
    <x v="44"/>
    <s v="Private"/>
    <n v="101352"/>
    <x v="2"/>
    <n v="10"/>
    <x v="3"/>
    <s v="Tech-support"/>
    <s v="Wife"/>
    <x v="0"/>
    <x v="0"/>
    <n v="0"/>
    <n v="0"/>
    <n v="32"/>
    <s v="United-States"/>
    <x v="1"/>
  </r>
  <r>
    <n v="587"/>
    <x v="38"/>
    <s v="Private"/>
    <n v="100451"/>
    <x v="6"/>
    <n v="9"/>
    <x v="3"/>
    <s v="Craft-repair"/>
    <s v="Husband"/>
    <x v="0"/>
    <x v="1"/>
    <n v="7688"/>
    <n v="0"/>
    <n v="38"/>
    <s v="United-States"/>
    <x v="1"/>
  </r>
  <r>
    <n v="588"/>
    <x v="33"/>
    <s v="Private"/>
    <n v="113703"/>
    <x v="2"/>
    <n v="10"/>
    <x v="0"/>
    <s v="Sales"/>
    <s v="Other-relative"/>
    <x v="0"/>
    <x v="1"/>
    <n v="0"/>
    <n v="0"/>
    <n v="20"/>
    <s v="United-States"/>
    <x v="0"/>
  </r>
  <r>
    <n v="589"/>
    <x v="10"/>
    <s v="Self-emp-not-inc"/>
    <n v="150371"/>
    <x v="6"/>
    <n v="9"/>
    <x v="0"/>
    <s v="Craft-repair"/>
    <s v="Not-in-family"/>
    <x v="0"/>
    <x v="1"/>
    <n v="0"/>
    <n v="0"/>
    <n v="40"/>
    <s v="United-States"/>
    <x v="0"/>
  </r>
  <r>
    <n v="590"/>
    <x v="27"/>
    <s v="Private"/>
    <n v="69151"/>
    <x v="14"/>
    <n v="5"/>
    <x v="0"/>
    <s v="Handlers-cleaners"/>
    <s v="Own-child"/>
    <x v="0"/>
    <x v="1"/>
    <n v="0"/>
    <n v="0"/>
    <n v="25"/>
    <s v="United-States"/>
    <x v="0"/>
  </r>
  <r>
    <n v="591"/>
    <x v="11"/>
    <s v="Self-emp-not-inc"/>
    <n v="234537"/>
    <x v="2"/>
    <n v="10"/>
    <x v="3"/>
    <s v="Craft-repair"/>
    <s v="Husband"/>
    <x v="0"/>
    <x v="1"/>
    <n v="0"/>
    <n v="0"/>
    <n v="60"/>
    <s v="United-States"/>
    <x v="0"/>
  </r>
  <r>
    <n v="592"/>
    <x v="40"/>
    <s v="Private"/>
    <n v="323811"/>
    <x v="2"/>
    <n v="10"/>
    <x v="3"/>
    <s v="Machine-op-inspct"/>
    <s v="Husband"/>
    <x v="0"/>
    <x v="1"/>
    <n v="0"/>
    <n v="0"/>
    <n v="55"/>
    <s v="United-States"/>
    <x v="0"/>
  </r>
  <r>
    <n v="593"/>
    <x v="44"/>
    <s v="Self-emp-not-inc"/>
    <n v="35595"/>
    <x v="6"/>
    <n v="9"/>
    <x v="3"/>
    <s v="Craft-repair"/>
    <s v="Husband"/>
    <x v="0"/>
    <x v="1"/>
    <n v="0"/>
    <n v="0"/>
    <n v="50"/>
    <s v="United-States"/>
    <x v="0"/>
  </r>
  <r>
    <n v="594"/>
    <x v="32"/>
    <s v="Private"/>
    <n v="410240"/>
    <x v="6"/>
    <n v="9"/>
    <x v="0"/>
    <s v="Craft-repair"/>
    <s v="Own-child"/>
    <x v="0"/>
    <x v="1"/>
    <n v="0"/>
    <n v="0"/>
    <n v="40"/>
    <s v="United-States"/>
    <x v="0"/>
  </r>
  <r>
    <n v="595"/>
    <x v="53"/>
    <s v="Private"/>
    <n v="188650"/>
    <x v="3"/>
    <n v="3"/>
    <x v="3"/>
    <s v="Sales"/>
    <s v="Husband"/>
    <x v="0"/>
    <x v="1"/>
    <n v="0"/>
    <n v="0"/>
    <n v="40"/>
    <s v="?"/>
    <x v="1"/>
  </r>
  <r>
    <n v="596"/>
    <x v="13"/>
    <s v="Private"/>
    <n v="30457"/>
    <x v="5"/>
    <n v="13"/>
    <x v="3"/>
    <s v="Exec-managerial"/>
    <s v="Husband"/>
    <x v="0"/>
    <x v="1"/>
    <n v="15024"/>
    <n v="0"/>
    <n v="40"/>
    <s v="United-States"/>
    <x v="1"/>
  </r>
  <r>
    <n v="597"/>
    <x v="4"/>
    <s v="Private"/>
    <n v="293703"/>
    <x v="2"/>
    <n v="10"/>
    <x v="3"/>
    <s v="Craft-repair"/>
    <s v="Husband"/>
    <x v="3"/>
    <x v="1"/>
    <n v="0"/>
    <n v="0"/>
    <n v="40"/>
    <s v="Philippines"/>
    <x v="0"/>
  </r>
  <r>
    <n v="598"/>
    <x v="61"/>
    <s v="?"/>
    <n v="89391"/>
    <x v="10"/>
    <n v="15"/>
    <x v="3"/>
    <s v="?"/>
    <s v="Husband"/>
    <x v="0"/>
    <x v="1"/>
    <n v="0"/>
    <n v="0"/>
    <n v="24"/>
    <s v="United-States"/>
    <x v="1"/>
  </r>
  <r>
    <n v="599"/>
    <x v="18"/>
    <s v="Private"/>
    <n v="181280"/>
    <x v="6"/>
    <n v="9"/>
    <x v="3"/>
    <s v="Machine-op-inspct"/>
    <s v="Husband"/>
    <x v="0"/>
    <x v="1"/>
    <n v="0"/>
    <n v="0"/>
    <n v="40"/>
    <s v="United-States"/>
    <x v="0"/>
  </r>
  <r>
    <n v="600"/>
    <x v="43"/>
    <s v="Private"/>
    <n v="240467"/>
    <x v="7"/>
    <n v="14"/>
    <x v="0"/>
    <s v="Exec-managerial"/>
    <s v="Unmarried"/>
    <x v="2"/>
    <x v="0"/>
    <n v="0"/>
    <n v="0"/>
    <n v="35"/>
    <s v="United-States"/>
    <x v="0"/>
  </r>
  <r>
    <n v="601"/>
    <x v="44"/>
    <s v="?"/>
    <n v="119522"/>
    <x v="5"/>
    <n v="13"/>
    <x v="1"/>
    <s v="?"/>
    <s v="Not-in-family"/>
    <x v="0"/>
    <x v="1"/>
    <n v="0"/>
    <n v="0"/>
    <n v="50"/>
    <s v="United-States"/>
    <x v="0"/>
  </r>
  <r>
    <n v="602"/>
    <x v="40"/>
    <s v="Private"/>
    <n v="231413"/>
    <x v="5"/>
    <n v="13"/>
    <x v="3"/>
    <s v="Prof-specialty"/>
    <s v="Husband"/>
    <x v="0"/>
    <x v="1"/>
    <n v="0"/>
    <n v="0"/>
    <n v="40"/>
    <s v="United-States"/>
    <x v="0"/>
  </r>
  <r>
    <n v="603"/>
    <x v="40"/>
    <s v="Private"/>
    <n v="347623"/>
    <x v="7"/>
    <n v="14"/>
    <x v="0"/>
    <s v="Exec-managerial"/>
    <s v="Unmarried"/>
    <x v="0"/>
    <x v="1"/>
    <n v="0"/>
    <n v="0"/>
    <n v="40"/>
    <s v="United-States"/>
    <x v="0"/>
  </r>
  <r>
    <n v="604"/>
    <x v="4"/>
    <s v="State-gov"/>
    <n v="103371"/>
    <x v="9"/>
    <n v="11"/>
    <x v="0"/>
    <s v="Adm-clerical"/>
    <s v="Unmarried"/>
    <x v="0"/>
    <x v="0"/>
    <n v="0"/>
    <n v="0"/>
    <n v="40"/>
    <s v="United-States"/>
    <x v="0"/>
  </r>
  <r>
    <n v="605"/>
    <x v="23"/>
    <s v="Private"/>
    <n v="276548"/>
    <x v="6"/>
    <n v="9"/>
    <x v="3"/>
    <s v="Sales"/>
    <s v="Wife"/>
    <x v="0"/>
    <x v="0"/>
    <n v="0"/>
    <n v="0"/>
    <n v="20"/>
    <s v="United-States"/>
    <x v="0"/>
  </r>
  <r>
    <n v="606"/>
    <x v="7"/>
    <s v="Self-emp-not-inc"/>
    <n v="85708"/>
    <x v="6"/>
    <n v="9"/>
    <x v="3"/>
    <s v="Craft-repair"/>
    <s v="Husband"/>
    <x v="0"/>
    <x v="1"/>
    <n v="0"/>
    <n v="0"/>
    <n v="40"/>
    <s v="United-States"/>
    <x v="0"/>
  </r>
  <r>
    <n v="607"/>
    <x v="40"/>
    <s v="Private"/>
    <n v="183612"/>
    <x v="6"/>
    <n v="9"/>
    <x v="3"/>
    <s v="Transport-moving"/>
    <s v="Husband"/>
    <x v="0"/>
    <x v="1"/>
    <n v="0"/>
    <n v="0"/>
    <n v="20"/>
    <s v="United-States"/>
    <x v="0"/>
  </r>
  <r>
    <n v="608"/>
    <x v="16"/>
    <s v="Private"/>
    <n v="356824"/>
    <x v="6"/>
    <n v="9"/>
    <x v="2"/>
    <s v="Tech-support"/>
    <s v="Unmarried"/>
    <x v="0"/>
    <x v="0"/>
    <n v="0"/>
    <n v="0"/>
    <n v="40"/>
    <s v="United-States"/>
    <x v="0"/>
  </r>
  <r>
    <n v="609"/>
    <x v="16"/>
    <s v="Federal-gov"/>
    <n v="45937"/>
    <x v="1"/>
    <n v="12"/>
    <x v="3"/>
    <s v="Exec-managerial"/>
    <s v="Wife"/>
    <x v="0"/>
    <x v="0"/>
    <n v="0"/>
    <n v="0"/>
    <n v="40"/>
    <s v="United-States"/>
    <x v="1"/>
  </r>
  <r>
    <n v="610"/>
    <x v="43"/>
    <s v="State-gov"/>
    <n v="255191"/>
    <x v="6"/>
    <n v="9"/>
    <x v="0"/>
    <s v="Other-service"/>
    <s v="Not-in-family"/>
    <x v="0"/>
    <x v="1"/>
    <n v="0"/>
    <n v="0"/>
    <n v="40"/>
    <s v="United-States"/>
    <x v="0"/>
  </r>
  <r>
    <n v="611"/>
    <x v="9"/>
    <s v="Private"/>
    <n v="195199"/>
    <x v="6"/>
    <n v="9"/>
    <x v="0"/>
    <s v="Prof-specialty"/>
    <s v="Own-child"/>
    <x v="0"/>
    <x v="0"/>
    <n v="0"/>
    <n v="0"/>
    <n v="30"/>
    <s v="United-States"/>
    <x v="0"/>
  </r>
  <r>
    <n v="612"/>
    <x v="51"/>
    <s v="Self-emp-not-inc"/>
    <n v="197353"/>
    <x v="6"/>
    <n v="9"/>
    <x v="3"/>
    <s v="Craft-repair"/>
    <s v="Husband"/>
    <x v="0"/>
    <x v="1"/>
    <n v="0"/>
    <n v="1740"/>
    <n v="40"/>
    <s v="United-States"/>
    <x v="0"/>
  </r>
  <r>
    <n v="613"/>
    <x v="3"/>
    <s v="Private"/>
    <n v="415051"/>
    <x v="2"/>
    <n v="10"/>
    <x v="3"/>
    <s v="Sales"/>
    <s v="Husband"/>
    <x v="2"/>
    <x v="1"/>
    <n v="0"/>
    <n v="0"/>
    <n v="60"/>
    <s v="United-States"/>
    <x v="1"/>
  </r>
  <r>
    <n v="614"/>
    <x v="43"/>
    <s v="?"/>
    <n v="365465"/>
    <x v="9"/>
    <n v="11"/>
    <x v="0"/>
    <s v="?"/>
    <s v="Own-child"/>
    <x v="0"/>
    <x v="1"/>
    <n v="0"/>
    <n v="0"/>
    <n v="15"/>
    <s v="United-States"/>
    <x v="0"/>
  </r>
  <r>
    <n v="615"/>
    <x v="9"/>
    <s v="Private"/>
    <n v="157893"/>
    <x v="6"/>
    <n v="9"/>
    <x v="0"/>
    <s v="Transport-moving"/>
    <s v="Own-child"/>
    <x v="0"/>
    <x v="0"/>
    <n v="0"/>
    <n v="0"/>
    <n v="40"/>
    <s v="United-States"/>
    <x v="0"/>
  </r>
  <r>
    <n v="616"/>
    <x v="14"/>
    <s v="Private"/>
    <n v="39615"/>
    <x v="2"/>
    <n v="10"/>
    <x v="0"/>
    <s v="Handlers-cleaners"/>
    <s v="Own-child"/>
    <x v="0"/>
    <x v="1"/>
    <n v="0"/>
    <n v="0"/>
    <n v="10"/>
    <s v="United-States"/>
    <x v="0"/>
  </r>
  <r>
    <n v="617"/>
    <x v="38"/>
    <s v="Self-emp-inc"/>
    <n v="177905"/>
    <x v="5"/>
    <n v="13"/>
    <x v="3"/>
    <s v="Exec-managerial"/>
    <s v="Husband"/>
    <x v="0"/>
    <x v="1"/>
    <n v="7688"/>
    <n v="0"/>
    <n v="70"/>
    <s v="United-States"/>
    <x v="1"/>
  </r>
  <r>
    <n v="618"/>
    <x v="1"/>
    <s v="Private"/>
    <n v="264498"/>
    <x v="5"/>
    <n v="13"/>
    <x v="0"/>
    <s v="Prof-specialty"/>
    <s v="Not-in-family"/>
    <x v="0"/>
    <x v="0"/>
    <n v="0"/>
    <n v="0"/>
    <n v="40"/>
    <s v="United-States"/>
    <x v="0"/>
  </r>
  <r>
    <n v="619"/>
    <x v="34"/>
    <s v="Private"/>
    <n v="110426"/>
    <x v="1"/>
    <n v="12"/>
    <x v="3"/>
    <s v="Exec-managerial"/>
    <s v="Wife"/>
    <x v="0"/>
    <x v="0"/>
    <n v="15024"/>
    <n v="0"/>
    <n v="45"/>
    <s v="United-States"/>
    <x v="1"/>
  </r>
  <r>
    <n v="620"/>
    <x v="17"/>
    <s v="Local-gov"/>
    <n v="188280"/>
    <x v="7"/>
    <n v="14"/>
    <x v="1"/>
    <s v="Prof-specialty"/>
    <s v="Unmarried"/>
    <x v="0"/>
    <x v="0"/>
    <n v="914"/>
    <n v="0"/>
    <n v="40"/>
    <s v="United-States"/>
    <x v="0"/>
  </r>
  <r>
    <n v="621"/>
    <x v="16"/>
    <s v="Private"/>
    <n v="199753"/>
    <x v="2"/>
    <n v="10"/>
    <x v="3"/>
    <s v="Craft-repair"/>
    <s v="Husband"/>
    <x v="0"/>
    <x v="1"/>
    <n v="0"/>
    <n v="0"/>
    <n v="35"/>
    <s v="United-States"/>
    <x v="1"/>
  </r>
  <r>
    <n v="622"/>
    <x v="32"/>
    <s v="Private"/>
    <n v="222539"/>
    <x v="8"/>
    <n v="6"/>
    <x v="0"/>
    <s v="Transport-moving"/>
    <s v="Not-in-family"/>
    <x v="0"/>
    <x v="1"/>
    <n v="2597"/>
    <n v="0"/>
    <n v="50"/>
    <s v="United-States"/>
    <x v="0"/>
  </r>
  <r>
    <n v="623"/>
    <x v="38"/>
    <s v="?"/>
    <n v="252127"/>
    <x v="2"/>
    <n v="10"/>
    <x v="4"/>
    <s v="?"/>
    <s v="Unmarried"/>
    <x v="2"/>
    <x v="0"/>
    <n v="0"/>
    <n v="0"/>
    <n v="20"/>
    <s v="United-States"/>
    <x v="0"/>
  </r>
  <r>
    <n v="624"/>
    <x v="39"/>
    <s v="Self-emp-not-inc"/>
    <n v="28791"/>
    <x v="6"/>
    <n v="9"/>
    <x v="3"/>
    <s v="Sales"/>
    <s v="Wife"/>
    <x v="0"/>
    <x v="0"/>
    <n v="0"/>
    <n v="0"/>
    <n v="50"/>
    <s v="United-States"/>
    <x v="0"/>
  </r>
  <r>
    <n v="625"/>
    <x v="1"/>
    <s v="Local-gov"/>
    <n v="401886"/>
    <x v="6"/>
    <n v="9"/>
    <x v="0"/>
    <s v="Adm-clerical"/>
    <s v="Other-relative"/>
    <x v="0"/>
    <x v="1"/>
    <n v="0"/>
    <n v="0"/>
    <n v="20"/>
    <s v="United-States"/>
    <x v="0"/>
  </r>
  <r>
    <n v="626"/>
    <x v="8"/>
    <s v="?"/>
    <n v="175935"/>
    <x v="6"/>
    <n v="9"/>
    <x v="2"/>
    <s v="?"/>
    <s v="Unmarried"/>
    <x v="0"/>
    <x v="1"/>
    <n v="0"/>
    <n v="0"/>
    <n v="40"/>
    <s v="United-States"/>
    <x v="0"/>
  </r>
  <r>
    <n v="627"/>
    <x v="8"/>
    <s v="Local-gov"/>
    <n v="194417"/>
    <x v="2"/>
    <n v="10"/>
    <x v="3"/>
    <s v="Protective-serv"/>
    <s v="Husband"/>
    <x v="0"/>
    <x v="1"/>
    <n v="0"/>
    <n v="0"/>
    <n v="40"/>
    <s v="United-States"/>
    <x v="1"/>
  </r>
  <r>
    <n v="628"/>
    <x v="46"/>
    <s v="Self-emp-not-inc"/>
    <n v="413373"/>
    <x v="13"/>
    <n v="16"/>
    <x v="3"/>
    <s v="Sales"/>
    <s v="Husband"/>
    <x v="0"/>
    <x v="1"/>
    <n v="0"/>
    <n v="1902"/>
    <n v="40"/>
    <s v="United-States"/>
    <x v="1"/>
  </r>
  <r>
    <n v="629"/>
    <x v="10"/>
    <s v="Private"/>
    <n v="418702"/>
    <x v="9"/>
    <n v="11"/>
    <x v="1"/>
    <s v="Adm-clerical"/>
    <s v="Unmarried"/>
    <x v="0"/>
    <x v="0"/>
    <n v="0"/>
    <n v="0"/>
    <n v="40"/>
    <s v="United-States"/>
    <x v="0"/>
  </r>
  <r>
    <n v="630"/>
    <x v="4"/>
    <s v="Local-gov"/>
    <n v="136331"/>
    <x v="5"/>
    <n v="13"/>
    <x v="3"/>
    <s v="Prof-specialty"/>
    <s v="Husband"/>
    <x v="0"/>
    <x v="1"/>
    <n v="0"/>
    <n v="0"/>
    <n v="60"/>
    <s v="United-States"/>
    <x v="0"/>
  </r>
  <r>
    <n v="631"/>
    <x v="0"/>
    <s v="Self-emp-inc"/>
    <n v="174202"/>
    <x v="6"/>
    <n v="9"/>
    <x v="0"/>
    <s v="Transport-moving"/>
    <s v="Own-child"/>
    <x v="0"/>
    <x v="1"/>
    <n v="0"/>
    <n v="0"/>
    <n v="60"/>
    <s v="United-States"/>
    <x v="0"/>
  </r>
  <r>
    <n v="632"/>
    <x v="19"/>
    <s v="Private"/>
    <n v="309504"/>
    <x v="8"/>
    <n v="6"/>
    <x v="0"/>
    <s v="Sales"/>
    <s v="Unmarried"/>
    <x v="0"/>
    <x v="0"/>
    <n v="0"/>
    <n v="0"/>
    <n v="24"/>
    <s v="United-States"/>
    <x v="0"/>
  </r>
  <r>
    <n v="633"/>
    <x v="4"/>
    <s v="Self-emp-inc"/>
    <n v="154120"/>
    <x v="6"/>
    <n v="9"/>
    <x v="0"/>
    <s v="Farming-fishing"/>
    <s v="Own-child"/>
    <x v="0"/>
    <x v="1"/>
    <n v="0"/>
    <n v="0"/>
    <n v="55"/>
    <s v="United-States"/>
    <x v="0"/>
  </r>
  <r>
    <n v="634"/>
    <x v="15"/>
    <s v="Private"/>
    <n v="259307"/>
    <x v="2"/>
    <n v="10"/>
    <x v="0"/>
    <s v="Exec-managerial"/>
    <s v="Not-in-family"/>
    <x v="0"/>
    <x v="1"/>
    <n v="0"/>
    <n v="0"/>
    <n v="50"/>
    <s v="United-States"/>
    <x v="0"/>
  </r>
  <r>
    <n v="635"/>
    <x v="23"/>
    <s v="Private"/>
    <n v="107827"/>
    <x v="6"/>
    <n v="9"/>
    <x v="0"/>
    <s v="Other-service"/>
    <s v="Unmarried"/>
    <x v="0"/>
    <x v="1"/>
    <n v="0"/>
    <n v="0"/>
    <n v="25"/>
    <s v="United-States"/>
    <x v="0"/>
  </r>
  <r>
    <n v="636"/>
    <x v="20"/>
    <s v="Private"/>
    <n v="115498"/>
    <x v="5"/>
    <n v="13"/>
    <x v="3"/>
    <s v="Exec-managerial"/>
    <s v="Husband"/>
    <x v="0"/>
    <x v="1"/>
    <n v="99999"/>
    <n v="0"/>
    <n v="55"/>
    <s v="?"/>
    <x v="1"/>
  </r>
  <r>
    <n v="637"/>
    <x v="16"/>
    <s v="Private"/>
    <n v="272950"/>
    <x v="6"/>
    <n v="9"/>
    <x v="1"/>
    <s v="Craft-repair"/>
    <s v="Not-in-family"/>
    <x v="0"/>
    <x v="1"/>
    <n v="0"/>
    <n v="0"/>
    <n v="40"/>
    <s v="United-States"/>
    <x v="0"/>
  </r>
  <r>
    <n v="638"/>
    <x v="38"/>
    <s v="Private"/>
    <n v="318046"/>
    <x v="2"/>
    <n v="10"/>
    <x v="3"/>
    <s v="Transport-moving"/>
    <s v="Husband"/>
    <x v="0"/>
    <x v="1"/>
    <n v="0"/>
    <n v="0"/>
    <n v="48"/>
    <s v="United-States"/>
    <x v="1"/>
  </r>
  <r>
    <n v="639"/>
    <x v="56"/>
    <s v="Local-gov"/>
    <n v="103153"/>
    <x v="12"/>
    <n v="4"/>
    <x v="3"/>
    <s v="Exec-managerial"/>
    <s v="Husband"/>
    <x v="0"/>
    <x v="1"/>
    <n v="0"/>
    <n v="1411"/>
    <n v="40"/>
    <s v="United-States"/>
    <x v="0"/>
  </r>
  <r>
    <n v="640"/>
    <x v="6"/>
    <s v="Private"/>
    <n v="161691"/>
    <x v="7"/>
    <n v="14"/>
    <x v="1"/>
    <s v="Prof-specialty"/>
    <s v="Not-in-family"/>
    <x v="0"/>
    <x v="0"/>
    <n v="0"/>
    <n v="2559"/>
    <n v="40"/>
    <s v="United-States"/>
    <x v="1"/>
  </r>
  <r>
    <n v="641"/>
    <x v="8"/>
    <s v="Private"/>
    <n v="248356"/>
    <x v="6"/>
    <n v="9"/>
    <x v="0"/>
    <s v="Sales"/>
    <s v="Unmarried"/>
    <x v="0"/>
    <x v="0"/>
    <n v="0"/>
    <n v="0"/>
    <n v="40"/>
    <s v="United-States"/>
    <x v="0"/>
  </r>
  <r>
    <n v="642"/>
    <x v="7"/>
    <s v="Self-emp-not-inc"/>
    <n v="176185"/>
    <x v="2"/>
    <n v="10"/>
    <x v="5"/>
    <s v="Craft-repair"/>
    <s v="Own-child"/>
    <x v="0"/>
    <x v="1"/>
    <n v="0"/>
    <n v="0"/>
    <n v="60"/>
    <s v="United-States"/>
    <x v="1"/>
  </r>
  <r>
    <n v="643"/>
    <x v="7"/>
    <s v="?"/>
    <n v="33811"/>
    <x v="5"/>
    <n v="13"/>
    <x v="0"/>
    <s v="?"/>
    <s v="Not-in-family"/>
    <x v="3"/>
    <x v="0"/>
    <n v="0"/>
    <n v="0"/>
    <n v="99"/>
    <s v="United-Stat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EEA490-8D3E-4E2C-9110-8093CFAAF109}" name="Tabela przestawna1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G20" firstHeaderRow="1" firstDataRow="3" firstDataCol="1"/>
  <pivotFields count="16"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7">
        <item x="1"/>
        <item x="3"/>
        <item x="5"/>
        <item x="0"/>
        <item x="2"/>
        <item x="4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</pivotFields>
  <rowFields count="2">
    <field x="10"/>
    <field x="6"/>
  </rowFields>
  <rowItems count="1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2">
    <field x="1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Średnia z hours-per-week" fld="13" subtotal="average" baseField="10" baseItem="0"/>
    <dataField name="Liczba z hours-per-week" fld="13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4F56B-E395-4A2A-B824-2B0610CF5E10}" name="Tabela przestawna2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7">
  <location ref="A3:D55" firstHeaderRow="1" firstDataRow="2" firstDataCol="1" rowPageCount="1" colPageCount="1"/>
  <pivotFields count="16"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Row" showAll="0">
      <items count="17">
        <item x="8"/>
        <item x="0"/>
        <item x="4"/>
        <item x="15"/>
        <item x="3"/>
        <item x="12"/>
        <item x="14"/>
        <item x="1"/>
        <item x="9"/>
        <item x="5"/>
        <item x="13"/>
        <item x="6"/>
        <item x="7"/>
        <item x="11"/>
        <item x="10"/>
        <item x="2"/>
        <item t="default"/>
      </items>
    </pivotField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2">
    <field x="4"/>
    <field x="9"/>
  </rowFields>
  <rowItems count="51">
    <i>
      <x/>
    </i>
    <i r="1">
      <x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3"/>
    </i>
    <i>
      <x v="3"/>
    </i>
    <i r="1">
      <x v="3"/>
    </i>
    <i>
      <x v="4"/>
    </i>
    <i r="1">
      <x v="3"/>
    </i>
    <i>
      <x v="5"/>
    </i>
    <i r="1">
      <x v="1"/>
    </i>
    <i r="1">
      <x v="3"/>
    </i>
    <i>
      <x v="6"/>
    </i>
    <i r="1">
      <x v="2"/>
    </i>
    <i r="1">
      <x v="3"/>
    </i>
    <i>
      <x v="7"/>
    </i>
    <i r="1">
      <x v="1"/>
    </i>
    <i r="1">
      <x v="2"/>
    </i>
    <i r="1">
      <x v="3"/>
    </i>
    <i>
      <x v="8"/>
    </i>
    <i r="1">
      <x v="2"/>
    </i>
    <i r="1">
      <x v="3"/>
    </i>
    <i>
      <x v="9"/>
    </i>
    <i r="1">
      <x v="1"/>
    </i>
    <i r="1">
      <x v="2"/>
    </i>
    <i r="1">
      <x v="3"/>
    </i>
    <i>
      <x v="10"/>
    </i>
    <i r="1">
      <x v="3"/>
    </i>
    <i>
      <x v="11"/>
    </i>
    <i r="1">
      <x v="1"/>
    </i>
    <i r="1">
      <x v="2"/>
    </i>
    <i r="1">
      <x v="3"/>
    </i>
    <i>
      <x v="12"/>
    </i>
    <i r="1">
      <x v="1"/>
    </i>
    <i r="1">
      <x v="2"/>
    </i>
    <i r="1">
      <x v="3"/>
    </i>
    <i>
      <x v="13"/>
    </i>
    <i r="1">
      <x v="3"/>
    </i>
    <i>
      <x v="14"/>
    </i>
    <i r="1">
      <x v="3"/>
    </i>
    <i>
      <x v="15"/>
    </i>
    <i r="1">
      <x/>
    </i>
    <i r="1">
      <x v="1"/>
    </i>
    <i r="1">
      <x v="2"/>
    </i>
    <i r="1">
      <x v="3"/>
    </i>
    <i t="grand">
      <x/>
    </i>
  </rowItems>
  <colFields count="1">
    <field x="15"/>
  </colFields>
  <colItems count="3">
    <i>
      <x/>
    </i>
    <i>
      <x v="1"/>
    </i>
    <i t="grand">
      <x/>
    </i>
  </colItems>
  <pageFields count="1">
    <pageField fld="10" hier="-1"/>
  </pageFields>
  <dataFields count="1">
    <dataField name="Liczba z Income" fld="15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88E5E-0AA8-44B7-9707-8CC38F30A4CF}" name="Tabela przestawna3" cacheId="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8">
  <location ref="A3:C9" firstHeaderRow="1" firstDataRow="2" firstDataCol="1" rowPageCount="1" colPageCount="1"/>
  <pivotFields count="16">
    <pivotField showAll="0"/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h="1" x="1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2">
    <i>
      <x/>
    </i>
    <i t="grand">
      <x/>
    </i>
  </colItems>
  <pageFields count="1">
    <pageField fld="1" hier="-1"/>
  </pageFields>
  <dataFields count="1">
    <dataField name="Średnia z education-num" fld="5" subtotal="average" baseField="9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197EAA-C543-4B4B-9F10-5BC7F4FF9451}" name="Tabela3" displayName="Tabela3" ref="A1:T644" totalsRowShown="0">
  <autoFilter ref="A1:T644" xr:uid="{B5197EAA-C543-4B4B-9F10-5BC7F4FF9451}"/>
  <tableColumns count="20">
    <tableColumn id="1" xr3:uid="{F82415D0-97A3-4FD3-930F-A14EB42E6CAD}" name="Indeks"/>
    <tableColumn id="2" xr3:uid="{DAB3C259-CDB3-4F97-8096-35D0B0749B54}" name="Age"/>
    <tableColumn id="3" xr3:uid="{27FE7CD3-B494-4933-A8C7-2F9836F740F3}" name="Work_class"/>
    <tableColumn id="4" xr3:uid="{5062615B-FD3A-4EC7-A3AC-2E94E201CCD3}" name="fnlwgt"/>
    <tableColumn id="5" xr3:uid="{5447DAC2-1382-40F2-B3B2-F3FA54A27BC3}" name="education"/>
    <tableColumn id="6" xr3:uid="{0A5593FE-5D7F-4182-905F-7A21D993E0C1}" name="education-num"/>
    <tableColumn id="7" xr3:uid="{17ED2498-9471-4CFD-9782-7FFD0A96BD42}" name="marital-status"/>
    <tableColumn id="8" xr3:uid="{90AFE914-BA1C-4F8C-B83B-F758F35FBC4C}" name="occupation"/>
    <tableColumn id="9" xr3:uid="{B4054CB2-D0FF-44CA-8D99-D07209897754}" name="relationship"/>
    <tableColumn id="10" xr3:uid="{488B749B-394E-4AB9-8BA1-ED5ACFABFB87}" name="race"/>
    <tableColumn id="11" xr3:uid="{79BA5CF3-AF36-49EE-B8C0-BADD46ABE969}" name="sex"/>
    <tableColumn id="12" xr3:uid="{E712BA8E-D736-4D00-8C63-580ABA546F08}" name="capital-gain"/>
    <tableColumn id="13" xr3:uid="{71491AC3-2C97-45D4-AD96-E799F76BD1AC}" name="capital-loss"/>
    <tableColumn id="14" xr3:uid="{23AC6243-0FFC-404F-98F2-18A03F0BF7FF}" name="hours-per-week"/>
    <tableColumn id="15" xr3:uid="{E7E38193-1E78-4011-9A7D-70FDF38C42B0}" name="native-country"/>
    <tableColumn id="16" xr3:uid="{94E66FD8-EE2E-4505-BD51-165E6FCB7DFF}" name="Income"/>
    <tableColumn id="17" xr3:uid="{4CC74493-851E-487E-8593-8B493E017F6D}" name="Age_&lt;=50K" dataDxfId="4">
      <calculatedColumnFormula>IF(Tabela3[[#This Row],[Income]]="&lt;=50K",Tabela3[[#This Row],[Age]],NA())</calculatedColumnFormula>
    </tableColumn>
    <tableColumn id="18" xr3:uid="{DA594C23-A08F-47C0-82A8-D302D45EEB51}" name="Edu_&lt;=50K" dataDxfId="3">
      <calculatedColumnFormula>IF(Tabela3[[#This Row],[Income]]="&lt;=50K",Tabela3[[#This Row],[education-num]],NA())</calculatedColumnFormula>
    </tableColumn>
    <tableColumn id="19" xr3:uid="{B9B52B8D-40B0-4DDC-BFE8-6E3200F978AF}" name="Age_&gt;50K" dataDxfId="2">
      <calculatedColumnFormula>IF(Tabela3[[#This Row],[Income]]="&gt;50K",Tabela3[[#This Row],[Age]],NA())</calculatedColumnFormula>
    </tableColumn>
    <tableColumn id="20" xr3:uid="{B85659E8-82C8-4612-A9DB-A19F467ECC1A}" name="Edu_&gt;50K" dataDxfId="1">
      <calculatedColumnFormula>IF(Tabela3[[#This Row],[Income]]="&gt;50K",Tabela3[[#This Row],[education-num]],NA())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71BA8F-D643-4297-98E2-65B5BCF0BF95}" name="Tabela13" displayName="Tabela13" ref="A1:F4" totalsRowShown="0">
  <autoFilter ref="A1:F4" xr:uid="{1471BA8F-D643-4297-98E2-65B5BCF0BF95}"/>
  <tableColumns count="6">
    <tableColumn id="1" xr3:uid="{6CDE3D8C-F263-4134-A1DE-82F8B7D7FE87}" name="Numer"/>
    <tableColumn id="2" xr3:uid="{935D3E35-0B74-41F8-B288-603E3F3C4DDC}" name="Zmienna zależna"/>
    <tableColumn id="3" xr3:uid="{E4C24AE4-DF2A-425F-BC3D-D5DEE614C72F}" name="Zmienne objaśniające"/>
    <tableColumn id="4" xr3:uid="{6C7DA84A-D8D1-476B-A35E-77AD871B09E5}" name="Treść"/>
    <tableColumn id="5" xr3:uid="{6B60C156-F863-4DE4-B112-BAF8CA8D4ED2}" name="Zaleznosci"/>
    <tableColumn id="6" xr3:uid="{8EB10508-AB2F-42B1-81A4-050C48B988F3}" name="Regres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DAC8-7BCD-4319-9D9D-64E0F7FB8AAD}">
  <dimension ref="A1:T644"/>
  <sheetViews>
    <sheetView topLeftCell="O608" workbookViewId="0">
      <selection activeCell="X8" sqref="X8"/>
    </sheetView>
  </sheetViews>
  <sheetFormatPr defaultRowHeight="15"/>
  <cols>
    <col min="1" max="1" width="9.140625" bestFit="1" customWidth="1"/>
    <col min="2" max="2" width="6.7109375" bestFit="1" customWidth="1"/>
    <col min="3" max="3" width="16.28515625" bestFit="1" customWidth="1"/>
    <col min="4" max="4" width="9" bestFit="1" customWidth="1"/>
    <col min="5" max="5" width="13.28515625" bestFit="1" customWidth="1"/>
    <col min="6" max="6" width="17" bestFit="1" customWidth="1"/>
    <col min="7" max="7" width="22.140625" bestFit="1" customWidth="1"/>
    <col min="8" max="8" width="17.85546875" bestFit="1" customWidth="1"/>
    <col min="9" max="9" width="14" bestFit="1" customWidth="1"/>
    <col min="10" max="10" width="19.42578125" bestFit="1" customWidth="1"/>
    <col min="11" max="11" width="7.5703125" bestFit="1" customWidth="1"/>
    <col min="12" max="12" width="13.5703125" bestFit="1" customWidth="1"/>
    <col min="13" max="13" width="13.28515625" bestFit="1" customWidth="1"/>
    <col min="14" max="14" width="17.7109375" bestFit="1" customWidth="1"/>
    <col min="15" max="15" width="16.7109375" bestFit="1" customWidth="1"/>
    <col min="16" max="16" width="9.85546875" bestFit="1" customWidth="1"/>
    <col min="17" max="17" width="12.85546875" bestFit="1" customWidth="1"/>
    <col min="18" max="18" width="12.7109375" bestFit="1" customWidth="1"/>
    <col min="19" max="19" width="11.85546875" bestFit="1" customWidth="1"/>
    <col min="20" max="20" width="11.7109375" bestFit="1" customWidth="1"/>
  </cols>
  <sheetData>
    <row r="1" spans="1:20">
      <c r="A1" t="s">
        <v>112</v>
      </c>
      <c r="B1" t="s">
        <v>24</v>
      </c>
      <c r="C1" t="s">
        <v>25</v>
      </c>
      <c r="D1" t="s">
        <v>26</v>
      </c>
      <c r="E1" t="s">
        <v>27</v>
      </c>
      <c r="F1" t="s">
        <v>17</v>
      </c>
      <c r="G1" t="s">
        <v>13</v>
      </c>
      <c r="H1" t="s">
        <v>28</v>
      </c>
      <c r="I1" t="s">
        <v>29</v>
      </c>
      <c r="J1" t="s">
        <v>30</v>
      </c>
      <c r="K1" t="s">
        <v>12</v>
      </c>
      <c r="L1" t="s">
        <v>31</v>
      </c>
      <c r="M1" t="s">
        <v>32</v>
      </c>
      <c r="N1" t="s">
        <v>11</v>
      </c>
      <c r="O1" t="s">
        <v>33</v>
      </c>
      <c r="P1" t="s">
        <v>14</v>
      </c>
      <c r="Q1" t="s">
        <v>129</v>
      </c>
      <c r="R1" t="s">
        <v>130</v>
      </c>
      <c r="S1" t="s">
        <v>131</v>
      </c>
      <c r="T1" t="s">
        <v>132</v>
      </c>
    </row>
    <row r="2" spans="1:20">
      <c r="A2">
        <v>1</v>
      </c>
      <c r="B2">
        <v>18</v>
      </c>
      <c r="C2" t="s">
        <v>34</v>
      </c>
      <c r="D2">
        <v>309634</v>
      </c>
      <c r="E2" t="s">
        <v>35</v>
      </c>
      <c r="F2">
        <v>7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>
        <v>0</v>
      </c>
      <c r="M2">
        <v>0</v>
      </c>
      <c r="N2">
        <v>22</v>
      </c>
      <c r="O2" t="s">
        <v>41</v>
      </c>
      <c r="P2" t="s">
        <v>42</v>
      </c>
      <c r="Q2">
        <f>IF(Tabela3[[#This Row],[Income]]="&lt;=50K",Tabela3[[#This Row],[Age]],NA())</f>
        <v>18</v>
      </c>
      <c r="R2">
        <f>IF(Tabela3[[#This Row],[Income]]="&lt;=50K",Tabela3[[#This Row],[education-num]],NA())</f>
        <v>7</v>
      </c>
      <c r="S2" t="e">
        <f>IF(Tabela3[[#This Row],[Income]]="&gt;50K",Tabela3[[#This Row],[Age]],NA())</f>
        <v>#N/A</v>
      </c>
      <c r="T2" t="e">
        <f>IF(Tabela3[[#This Row],[Income]]="&gt;50K",Tabela3[[#This Row],[education-num]],NA())</f>
        <v>#N/A</v>
      </c>
    </row>
    <row r="3" spans="1:20">
      <c r="A3">
        <v>2</v>
      </c>
      <c r="B3">
        <v>28</v>
      </c>
      <c r="C3" t="s">
        <v>34</v>
      </c>
      <c r="D3">
        <v>69621</v>
      </c>
      <c r="E3" t="s">
        <v>43</v>
      </c>
      <c r="F3">
        <v>12</v>
      </c>
      <c r="G3" t="s">
        <v>36</v>
      </c>
      <c r="H3" t="s">
        <v>44</v>
      </c>
      <c r="I3" t="s">
        <v>45</v>
      </c>
      <c r="J3" t="s">
        <v>39</v>
      </c>
      <c r="K3" t="s">
        <v>40</v>
      </c>
      <c r="L3">
        <v>0</v>
      </c>
      <c r="M3">
        <v>0</v>
      </c>
      <c r="N3">
        <v>60</v>
      </c>
      <c r="O3" t="s">
        <v>41</v>
      </c>
      <c r="P3" t="s">
        <v>42</v>
      </c>
      <c r="Q3">
        <f>IF(Tabela3[[#This Row],[Income]]="&lt;=50K",Tabela3[[#This Row],[Age]],NA())</f>
        <v>28</v>
      </c>
      <c r="R3">
        <f>IF(Tabela3[[#This Row],[Income]]="&lt;=50K",Tabela3[[#This Row],[education-num]],NA())</f>
        <v>12</v>
      </c>
      <c r="S3" t="e">
        <f>IF(Tabela3[[#This Row],[Income]]="&gt;50K",Tabela3[[#This Row],[Age]],NA())</f>
        <v>#N/A</v>
      </c>
      <c r="T3" t="e">
        <f>IF(Tabela3[[#This Row],[Income]]="&gt;50K",Tabela3[[#This Row],[education-num]],NA())</f>
        <v>#N/A</v>
      </c>
    </row>
    <row r="4" spans="1:20">
      <c r="A4">
        <v>3</v>
      </c>
      <c r="B4">
        <v>35</v>
      </c>
      <c r="C4" t="s">
        <v>34</v>
      </c>
      <c r="D4">
        <v>153790</v>
      </c>
      <c r="E4" t="s">
        <v>46</v>
      </c>
      <c r="F4">
        <v>10</v>
      </c>
      <c r="G4" t="s">
        <v>36</v>
      </c>
      <c r="H4" t="s">
        <v>44</v>
      </c>
      <c r="I4" t="s">
        <v>45</v>
      </c>
      <c r="J4" t="s">
        <v>47</v>
      </c>
      <c r="K4" t="s">
        <v>40</v>
      </c>
      <c r="L4">
        <v>0</v>
      </c>
      <c r="M4">
        <v>0</v>
      </c>
      <c r="N4">
        <v>40</v>
      </c>
      <c r="O4" t="s">
        <v>41</v>
      </c>
      <c r="P4" t="s">
        <v>42</v>
      </c>
      <c r="Q4">
        <f>IF(Tabela3[[#This Row],[Income]]="&lt;=50K",Tabela3[[#This Row],[Age]],NA())</f>
        <v>35</v>
      </c>
      <c r="R4">
        <f>IF(Tabela3[[#This Row],[Income]]="&lt;=50K",Tabela3[[#This Row],[education-num]],NA())</f>
        <v>10</v>
      </c>
      <c r="S4" t="e">
        <f>IF(Tabela3[[#This Row],[Income]]="&gt;50K",Tabela3[[#This Row],[Age]],NA())</f>
        <v>#N/A</v>
      </c>
      <c r="T4" t="e">
        <f>IF(Tabela3[[#This Row],[Income]]="&gt;50K",Tabela3[[#This Row],[education-num]],NA())</f>
        <v>#N/A</v>
      </c>
    </row>
    <row r="5" spans="1:20">
      <c r="A5">
        <v>4</v>
      </c>
      <c r="B5">
        <v>46</v>
      </c>
      <c r="C5" t="s">
        <v>34</v>
      </c>
      <c r="D5">
        <v>214955</v>
      </c>
      <c r="E5" t="s">
        <v>48</v>
      </c>
      <c r="F5">
        <v>3</v>
      </c>
      <c r="G5" t="s">
        <v>49</v>
      </c>
      <c r="H5" t="s">
        <v>50</v>
      </c>
      <c r="I5" t="s">
        <v>45</v>
      </c>
      <c r="J5" t="s">
        <v>39</v>
      </c>
      <c r="K5" t="s">
        <v>40</v>
      </c>
      <c r="L5">
        <v>0</v>
      </c>
      <c r="M5">
        <v>2339</v>
      </c>
      <c r="N5">
        <v>45</v>
      </c>
      <c r="O5" t="s">
        <v>41</v>
      </c>
      <c r="P5" t="s">
        <v>42</v>
      </c>
      <c r="Q5">
        <f>IF(Tabela3[[#This Row],[Income]]="&lt;=50K",Tabela3[[#This Row],[Age]],NA())</f>
        <v>46</v>
      </c>
      <c r="R5">
        <f>IF(Tabela3[[#This Row],[Income]]="&lt;=50K",Tabela3[[#This Row],[education-num]],NA())</f>
        <v>3</v>
      </c>
      <c r="S5" t="e">
        <f>IF(Tabela3[[#This Row],[Income]]="&gt;50K",Tabela3[[#This Row],[Age]],NA())</f>
        <v>#N/A</v>
      </c>
      <c r="T5" t="e">
        <f>IF(Tabela3[[#This Row],[Income]]="&gt;50K",Tabela3[[#This Row],[education-num]],NA())</f>
        <v>#N/A</v>
      </c>
    </row>
    <row r="6" spans="1:20">
      <c r="A6">
        <v>5</v>
      </c>
      <c r="B6">
        <v>35</v>
      </c>
      <c r="C6" t="s">
        <v>34</v>
      </c>
      <c r="D6">
        <v>92440</v>
      </c>
      <c r="E6" t="s">
        <v>51</v>
      </c>
      <c r="F6">
        <v>8</v>
      </c>
      <c r="G6" t="s">
        <v>49</v>
      </c>
      <c r="H6" t="s">
        <v>50</v>
      </c>
      <c r="I6" t="s">
        <v>45</v>
      </c>
      <c r="J6" t="s">
        <v>39</v>
      </c>
      <c r="K6" t="s">
        <v>52</v>
      </c>
      <c r="L6">
        <v>0</v>
      </c>
      <c r="M6">
        <v>0</v>
      </c>
      <c r="N6">
        <v>50</v>
      </c>
      <c r="O6" t="s">
        <v>41</v>
      </c>
      <c r="P6" t="s">
        <v>53</v>
      </c>
      <c r="Q6" t="e">
        <f>IF(Tabela3[[#This Row],[Income]]="&lt;=50K",Tabela3[[#This Row],[Age]],NA())</f>
        <v>#N/A</v>
      </c>
      <c r="R6" t="e">
        <f>IF(Tabela3[[#This Row],[Income]]="&lt;=50K",Tabela3[[#This Row],[education-num]],NA())</f>
        <v>#N/A</v>
      </c>
      <c r="S6">
        <f>IF(Tabela3[[#This Row],[Income]]="&gt;50K",Tabela3[[#This Row],[Age]],NA())</f>
        <v>35</v>
      </c>
      <c r="T6">
        <f>IF(Tabela3[[#This Row],[Income]]="&gt;50K",Tabela3[[#This Row],[education-num]],NA())</f>
        <v>8</v>
      </c>
    </row>
    <row r="7" spans="1:20">
      <c r="A7">
        <v>6</v>
      </c>
      <c r="B7">
        <v>34</v>
      </c>
      <c r="C7" t="s">
        <v>54</v>
      </c>
      <c r="D7">
        <v>243867</v>
      </c>
      <c r="E7" t="s">
        <v>35</v>
      </c>
      <c r="F7">
        <v>7</v>
      </c>
      <c r="G7" t="s">
        <v>55</v>
      </c>
      <c r="H7" t="s">
        <v>56</v>
      </c>
      <c r="I7" t="s">
        <v>45</v>
      </c>
      <c r="J7" t="s">
        <v>57</v>
      </c>
      <c r="K7" t="s">
        <v>52</v>
      </c>
      <c r="L7">
        <v>0</v>
      </c>
      <c r="M7">
        <v>0</v>
      </c>
      <c r="N7">
        <v>40</v>
      </c>
      <c r="O7" t="s">
        <v>41</v>
      </c>
      <c r="P7" t="s">
        <v>42</v>
      </c>
      <c r="Q7">
        <f>IF(Tabela3[[#This Row],[Income]]="&lt;=50K",Tabela3[[#This Row],[Age]],NA())</f>
        <v>34</v>
      </c>
      <c r="R7">
        <f>IF(Tabela3[[#This Row],[Income]]="&lt;=50K",Tabela3[[#This Row],[education-num]],NA())</f>
        <v>7</v>
      </c>
      <c r="S7" t="e">
        <f>IF(Tabela3[[#This Row],[Income]]="&gt;50K",Tabela3[[#This Row],[Age]],NA())</f>
        <v>#N/A</v>
      </c>
      <c r="T7" t="e">
        <f>IF(Tabela3[[#This Row],[Income]]="&gt;50K",Tabela3[[#This Row],[education-num]],NA())</f>
        <v>#N/A</v>
      </c>
    </row>
    <row r="8" spans="1:20">
      <c r="A8">
        <v>7</v>
      </c>
      <c r="B8">
        <v>44</v>
      </c>
      <c r="C8" t="s">
        <v>34</v>
      </c>
      <c r="D8">
        <v>116632</v>
      </c>
      <c r="E8" t="s">
        <v>43</v>
      </c>
      <c r="F8">
        <v>12</v>
      </c>
      <c r="G8" t="s">
        <v>36</v>
      </c>
      <c r="H8" t="s">
        <v>58</v>
      </c>
      <c r="I8" t="s">
        <v>38</v>
      </c>
      <c r="J8" t="s">
        <v>39</v>
      </c>
      <c r="K8" t="s">
        <v>52</v>
      </c>
      <c r="L8">
        <v>0</v>
      </c>
      <c r="M8">
        <v>0</v>
      </c>
      <c r="N8">
        <v>40</v>
      </c>
      <c r="O8" t="s">
        <v>41</v>
      </c>
      <c r="P8" t="s">
        <v>42</v>
      </c>
      <c r="Q8">
        <f>IF(Tabela3[[#This Row],[Income]]="&lt;=50K",Tabela3[[#This Row],[Age]],NA())</f>
        <v>44</v>
      </c>
      <c r="R8">
        <f>IF(Tabela3[[#This Row],[Income]]="&lt;=50K",Tabela3[[#This Row],[education-num]],NA())</f>
        <v>12</v>
      </c>
      <c r="S8" t="e">
        <f>IF(Tabela3[[#This Row],[Income]]="&gt;50K",Tabela3[[#This Row],[Age]],NA())</f>
        <v>#N/A</v>
      </c>
      <c r="T8" t="e">
        <f>IF(Tabela3[[#This Row],[Income]]="&gt;50K",Tabela3[[#This Row],[education-num]],NA())</f>
        <v>#N/A</v>
      </c>
    </row>
    <row r="9" spans="1:20">
      <c r="A9">
        <v>8</v>
      </c>
      <c r="B9">
        <v>28</v>
      </c>
      <c r="C9" t="s">
        <v>59</v>
      </c>
      <c r="D9">
        <v>70100</v>
      </c>
      <c r="E9" t="s">
        <v>60</v>
      </c>
      <c r="F9">
        <v>13</v>
      </c>
      <c r="G9" t="s">
        <v>36</v>
      </c>
      <c r="H9" t="s">
        <v>61</v>
      </c>
      <c r="I9" t="s">
        <v>45</v>
      </c>
      <c r="J9" t="s">
        <v>39</v>
      </c>
      <c r="K9" t="s">
        <v>52</v>
      </c>
      <c r="L9">
        <v>0</v>
      </c>
      <c r="M9">
        <v>0</v>
      </c>
      <c r="N9">
        <v>20</v>
      </c>
      <c r="O9" t="s">
        <v>41</v>
      </c>
      <c r="P9" t="s">
        <v>42</v>
      </c>
      <c r="Q9">
        <f>IF(Tabela3[[#This Row],[Income]]="&lt;=50K",Tabela3[[#This Row],[Age]],NA())</f>
        <v>28</v>
      </c>
      <c r="R9">
        <f>IF(Tabela3[[#This Row],[Income]]="&lt;=50K",Tabela3[[#This Row],[education-num]],NA())</f>
        <v>13</v>
      </c>
      <c r="S9" t="e">
        <f>IF(Tabela3[[#This Row],[Income]]="&gt;50K",Tabela3[[#This Row],[Age]],NA())</f>
        <v>#N/A</v>
      </c>
      <c r="T9" t="e">
        <f>IF(Tabela3[[#This Row],[Income]]="&gt;50K",Tabela3[[#This Row],[education-num]],NA())</f>
        <v>#N/A</v>
      </c>
    </row>
    <row r="10" spans="1:20">
      <c r="A10">
        <v>9</v>
      </c>
      <c r="B10">
        <v>34</v>
      </c>
      <c r="C10" t="s">
        <v>34</v>
      </c>
      <c r="D10">
        <v>148291</v>
      </c>
      <c r="E10" t="s">
        <v>62</v>
      </c>
      <c r="F10">
        <v>9</v>
      </c>
      <c r="G10" t="s">
        <v>63</v>
      </c>
      <c r="H10" t="s">
        <v>64</v>
      </c>
      <c r="I10" t="s">
        <v>65</v>
      </c>
      <c r="J10" t="s">
        <v>39</v>
      </c>
      <c r="K10" t="s">
        <v>40</v>
      </c>
      <c r="L10">
        <v>0</v>
      </c>
      <c r="M10">
        <v>0</v>
      </c>
      <c r="N10">
        <v>32</v>
      </c>
      <c r="O10" t="s">
        <v>41</v>
      </c>
      <c r="P10" t="s">
        <v>42</v>
      </c>
      <c r="Q10">
        <f>IF(Tabela3[[#This Row],[Income]]="&lt;=50K",Tabela3[[#This Row],[Age]],NA())</f>
        <v>34</v>
      </c>
      <c r="R10">
        <f>IF(Tabela3[[#This Row],[Income]]="&lt;=50K",Tabela3[[#This Row],[education-num]],NA())</f>
        <v>9</v>
      </c>
      <c r="S10" t="e">
        <f>IF(Tabela3[[#This Row],[Income]]="&gt;50K",Tabela3[[#This Row],[Age]],NA())</f>
        <v>#N/A</v>
      </c>
      <c r="T10" t="e">
        <f>IF(Tabela3[[#This Row],[Income]]="&gt;50K",Tabela3[[#This Row],[education-num]],NA())</f>
        <v>#N/A</v>
      </c>
    </row>
    <row r="11" spans="1:20">
      <c r="A11">
        <v>10</v>
      </c>
      <c r="B11">
        <v>54</v>
      </c>
      <c r="C11" t="s">
        <v>34</v>
      </c>
      <c r="D11">
        <v>212960</v>
      </c>
      <c r="E11" t="s">
        <v>60</v>
      </c>
      <c r="F11">
        <v>13</v>
      </c>
      <c r="G11" t="s">
        <v>63</v>
      </c>
      <c r="H11" t="s">
        <v>44</v>
      </c>
      <c r="I11" t="s">
        <v>66</v>
      </c>
      <c r="J11" t="s">
        <v>39</v>
      </c>
      <c r="K11" t="s">
        <v>52</v>
      </c>
      <c r="L11">
        <v>0</v>
      </c>
      <c r="M11">
        <v>0</v>
      </c>
      <c r="N11">
        <v>35</v>
      </c>
      <c r="O11" t="s">
        <v>41</v>
      </c>
      <c r="P11" t="s">
        <v>53</v>
      </c>
      <c r="Q11" t="e">
        <f>IF(Tabela3[[#This Row],[Income]]="&lt;=50K",Tabela3[[#This Row],[Age]],NA())</f>
        <v>#N/A</v>
      </c>
      <c r="R11" t="e">
        <f>IF(Tabela3[[#This Row],[Income]]="&lt;=50K",Tabela3[[#This Row],[education-num]],NA())</f>
        <v>#N/A</v>
      </c>
      <c r="S11">
        <f>IF(Tabela3[[#This Row],[Income]]="&gt;50K",Tabela3[[#This Row],[Age]],NA())</f>
        <v>54</v>
      </c>
      <c r="T11">
        <f>IF(Tabela3[[#This Row],[Income]]="&gt;50K",Tabela3[[#This Row],[education-num]],NA())</f>
        <v>13</v>
      </c>
    </row>
    <row r="12" spans="1:20">
      <c r="A12">
        <v>11</v>
      </c>
      <c r="B12">
        <v>30</v>
      </c>
      <c r="C12" t="s">
        <v>34</v>
      </c>
      <c r="D12">
        <v>103649</v>
      </c>
      <c r="E12" t="s">
        <v>60</v>
      </c>
      <c r="F12">
        <v>13</v>
      </c>
      <c r="G12" t="s">
        <v>63</v>
      </c>
      <c r="H12" t="s">
        <v>67</v>
      </c>
      <c r="I12" t="s">
        <v>65</v>
      </c>
      <c r="J12" t="s">
        <v>57</v>
      </c>
      <c r="K12" t="s">
        <v>40</v>
      </c>
      <c r="L12">
        <v>0</v>
      </c>
      <c r="M12">
        <v>0</v>
      </c>
      <c r="N12">
        <v>40</v>
      </c>
      <c r="O12" t="s">
        <v>41</v>
      </c>
      <c r="P12" t="s">
        <v>53</v>
      </c>
      <c r="Q12" t="e">
        <f>IF(Tabela3[[#This Row],[Income]]="&lt;=50K",Tabela3[[#This Row],[Age]],NA())</f>
        <v>#N/A</v>
      </c>
      <c r="R12" t="e">
        <f>IF(Tabela3[[#This Row],[Income]]="&lt;=50K",Tabela3[[#This Row],[education-num]],NA())</f>
        <v>#N/A</v>
      </c>
      <c r="S12">
        <f>IF(Tabela3[[#This Row],[Income]]="&gt;50K",Tabela3[[#This Row],[Age]],NA())</f>
        <v>30</v>
      </c>
      <c r="T12">
        <f>IF(Tabela3[[#This Row],[Income]]="&gt;50K",Tabela3[[#This Row],[education-num]],NA())</f>
        <v>13</v>
      </c>
    </row>
    <row r="13" spans="1:20">
      <c r="A13">
        <v>12</v>
      </c>
      <c r="B13">
        <v>42</v>
      </c>
      <c r="C13" t="s">
        <v>34</v>
      </c>
      <c r="D13">
        <v>247019</v>
      </c>
      <c r="E13" t="s">
        <v>62</v>
      </c>
      <c r="F13">
        <v>9</v>
      </c>
      <c r="G13" t="s">
        <v>63</v>
      </c>
      <c r="H13" t="s">
        <v>50</v>
      </c>
      <c r="I13" t="s">
        <v>66</v>
      </c>
      <c r="J13" t="s">
        <v>57</v>
      </c>
      <c r="K13" t="s">
        <v>52</v>
      </c>
      <c r="L13">
        <v>0</v>
      </c>
      <c r="M13">
        <v>0</v>
      </c>
      <c r="N13">
        <v>40</v>
      </c>
      <c r="O13" t="s">
        <v>41</v>
      </c>
      <c r="P13" t="s">
        <v>53</v>
      </c>
      <c r="Q13" t="e">
        <f>IF(Tabela3[[#This Row],[Income]]="&lt;=50K",Tabela3[[#This Row],[Age]],NA())</f>
        <v>#N/A</v>
      </c>
      <c r="R13" t="e">
        <f>IF(Tabela3[[#This Row],[Income]]="&lt;=50K",Tabela3[[#This Row],[education-num]],NA())</f>
        <v>#N/A</v>
      </c>
      <c r="S13">
        <f>IF(Tabela3[[#This Row],[Income]]="&gt;50K",Tabela3[[#This Row],[Age]],NA())</f>
        <v>42</v>
      </c>
      <c r="T13">
        <f>IF(Tabela3[[#This Row],[Income]]="&gt;50K",Tabela3[[#This Row],[education-num]],NA())</f>
        <v>9</v>
      </c>
    </row>
    <row r="14" spans="1:20">
      <c r="A14">
        <v>13</v>
      </c>
      <c r="B14">
        <v>21</v>
      </c>
      <c r="C14" t="s">
        <v>34</v>
      </c>
      <c r="D14">
        <v>163870</v>
      </c>
      <c r="E14" t="s">
        <v>46</v>
      </c>
      <c r="F14">
        <v>10</v>
      </c>
      <c r="G14" t="s">
        <v>36</v>
      </c>
      <c r="H14" t="s">
        <v>68</v>
      </c>
      <c r="I14" t="s">
        <v>38</v>
      </c>
      <c r="J14" t="s">
        <v>39</v>
      </c>
      <c r="K14" t="s">
        <v>52</v>
      </c>
      <c r="L14">
        <v>0</v>
      </c>
      <c r="M14">
        <v>0</v>
      </c>
      <c r="N14">
        <v>30</v>
      </c>
      <c r="O14" t="s">
        <v>41</v>
      </c>
      <c r="P14" t="s">
        <v>42</v>
      </c>
      <c r="Q14">
        <f>IF(Tabela3[[#This Row],[Income]]="&lt;=50K",Tabela3[[#This Row],[Age]],NA())</f>
        <v>21</v>
      </c>
      <c r="R14">
        <f>IF(Tabela3[[#This Row],[Income]]="&lt;=50K",Tabela3[[#This Row],[education-num]],NA())</f>
        <v>10</v>
      </c>
      <c r="S14" t="e">
        <f>IF(Tabela3[[#This Row],[Income]]="&gt;50K",Tabela3[[#This Row],[Age]],NA())</f>
        <v>#N/A</v>
      </c>
      <c r="T14" t="e">
        <f>IF(Tabela3[[#This Row],[Income]]="&gt;50K",Tabela3[[#This Row],[education-num]],NA())</f>
        <v>#N/A</v>
      </c>
    </row>
    <row r="15" spans="1:20">
      <c r="A15">
        <v>14</v>
      </c>
      <c r="B15">
        <v>36</v>
      </c>
      <c r="C15" t="s">
        <v>34</v>
      </c>
      <c r="D15">
        <v>70282</v>
      </c>
      <c r="E15" t="s">
        <v>46</v>
      </c>
      <c r="F15">
        <v>10</v>
      </c>
      <c r="G15" t="s">
        <v>49</v>
      </c>
      <c r="H15" t="s">
        <v>67</v>
      </c>
      <c r="I15" t="s">
        <v>69</v>
      </c>
      <c r="J15" t="s">
        <v>57</v>
      </c>
      <c r="K15" t="s">
        <v>40</v>
      </c>
      <c r="L15">
        <v>0</v>
      </c>
      <c r="M15">
        <v>0</v>
      </c>
      <c r="N15">
        <v>40</v>
      </c>
      <c r="O15" t="s">
        <v>41</v>
      </c>
      <c r="P15" t="s">
        <v>42</v>
      </c>
      <c r="Q15">
        <f>IF(Tabela3[[#This Row],[Income]]="&lt;=50K",Tabela3[[#This Row],[Age]],NA())</f>
        <v>36</v>
      </c>
      <c r="R15">
        <f>IF(Tabela3[[#This Row],[Income]]="&lt;=50K",Tabela3[[#This Row],[education-num]],NA())</f>
        <v>10</v>
      </c>
      <c r="S15" t="e">
        <f>IF(Tabela3[[#This Row],[Income]]="&gt;50K",Tabela3[[#This Row],[Age]],NA())</f>
        <v>#N/A</v>
      </c>
      <c r="T15" t="e">
        <f>IF(Tabela3[[#This Row],[Income]]="&gt;50K",Tabela3[[#This Row],[education-num]],NA())</f>
        <v>#N/A</v>
      </c>
    </row>
    <row r="16" spans="1:20">
      <c r="A16">
        <v>15</v>
      </c>
      <c r="B16">
        <v>31</v>
      </c>
      <c r="C16" t="s">
        <v>34</v>
      </c>
      <c r="D16">
        <v>295697</v>
      </c>
      <c r="E16" t="s">
        <v>62</v>
      </c>
      <c r="F16">
        <v>9</v>
      </c>
      <c r="G16" t="s">
        <v>55</v>
      </c>
      <c r="H16" t="s">
        <v>37</v>
      </c>
      <c r="I16" t="s">
        <v>69</v>
      </c>
      <c r="J16" t="s">
        <v>57</v>
      </c>
      <c r="K16" t="s">
        <v>40</v>
      </c>
      <c r="L16">
        <v>0</v>
      </c>
      <c r="M16">
        <v>0</v>
      </c>
      <c r="N16">
        <v>40</v>
      </c>
      <c r="O16" t="s">
        <v>41</v>
      </c>
      <c r="P16" t="s">
        <v>42</v>
      </c>
      <c r="Q16">
        <f>IF(Tabela3[[#This Row],[Income]]="&lt;=50K",Tabela3[[#This Row],[Age]],NA())</f>
        <v>31</v>
      </c>
      <c r="R16">
        <f>IF(Tabela3[[#This Row],[Income]]="&lt;=50K",Tabela3[[#This Row],[education-num]],NA())</f>
        <v>9</v>
      </c>
      <c r="S16" t="e">
        <f>IF(Tabela3[[#This Row],[Income]]="&gt;50K",Tabela3[[#This Row],[Age]],NA())</f>
        <v>#N/A</v>
      </c>
      <c r="T16" t="e">
        <f>IF(Tabela3[[#This Row],[Income]]="&gt;50K",Tabela3[[#This Row],[education-num]],NA())</f>
        <v>#N/A</v>
      </c>
    </row>
    <row r="17" spans="1:20">
      <c r="A17">
        <v>16</v>
      </c>
      <c r="B17">
        <v>55</v>
      </c>
      <c r="C17" t="s">
        <v>34</v>
      </c>
      <c r="D17">
        <v>173093</v>
      </c>
      <c r="E17" t="s">
        <v>46</v>
      </c>
      <c r="F17">
        <v>10</v>
      </c>
      <c r="G17" t="s">
        <v>49</v>
      </c>
      <c r="H17" t="s">
        <v>67</v>
      </c>
      <c r="I17" t="s">
        <v>45</v>
      </c>
      <c r="J17" t="s">
        <v>70</v>
      </c>
      <c r="K17" t="s">
        <v>40</v>
      </c>
      <c r="L17">
        <v>0</v>
      </c>
      <c r="M17">
        <v>0</v>
      </c>
      <c r="N17">
        <v>40</v>
      </c>
      <c r="O17" t="s">
        <v>41</v>
      </c>
      <c r="P17" t="s">
        <v>42</v>
      </c>
      <c r="Q17">
        <f>IF(Tabela3[[#This Row],[Income]]="&lt;=50K",Tabela3[[#This Row],[Age]],NA())</f>
        <v>55</v>
      </c>
      <c r="R17">
        <f>IF(Tabela3[[#This Row],[Income]]="&lt;=50K",Tabela3[[#This Row],[education-num]],NA())</f>
        <v>10</v>
      </c>
      <c r="S17" t="e">
        <f>IF(Tabela3[[#This Row],[Income]]="&gt;50K",Tabela3[[#This Row],[Age]],NA())</f>
        <v>#N/A</v>
      </c>
      <c r="T17" t="e">
        <f>IF(Tabela3[[#This Row],[Income]]="&gt;50K",Tabela3[[#This Row],[education-num]],NA())</f>
        <v>#N/A</v>
      </c>
    </row>
    <row r="18" spans="1:20">
      <c r="A18">
        <v>17</v>
      </c>
      <c r="B18">
        <v>45</v>
      </c>
      <c r="C18" t="s">
        <v>71</v>
      </c>
      <c r="D18">
        <v>51164</v>
      </c>
      <c r="E18" t="s">
        <v>46</v>
      </c>
      <c r="F18">
        <v>10</v>
      </c>
      <c r="G18" t="s">
        <v>63</v>
      </c>
      <c r="H18" t="s">
        <v>71</v>
      </c>
      <c r="I18" t="s">
        <v>65</v>
      </c>
      <c r="J18" t="s">
        <v>57</v>
      </c>
      <c r="K18" t="s">
        <v>40</v>
      </c>
      <c r="L18">
        <v>0</v>
      </c>
      <c r="M18">
        <v>0</v>
      </c>
      <c r="N18">
        <v>40</v>
      </c>
      <c r="O18" t="s">
        <v>41</v>
      </c>
      <c r="P18" t="s">
        <v>42</v>
      </c>
      <c r="Q18">
        <f>IF(Tabela3[[#This Row],[Income]]="&lt;=50K",Tabela3[[#This Row],[Age]],NA())</f>
        <v>45</v>
      </c>
      <c r="R18">
        <f>IF(Tabela3[[#This Row],[Income]]="&lt;=50K",Tabela3[[#This Row],[education-num]],NA())</f>
        <v>10</v>
      </c>
      <c r="S18" t="e">
        <f>IF(Tabela3[[#This Row],[Income]]="&gt;50K",Tabela3[[#This Row],[Age]],NA())</f>
        <v>#N/A</v>
      </c>
      <c r="T18" t="e">
        <f>IF(Tabela3[[#This Row],[Income]]="&gt;50K",Tabela3[[#This Row],[education-num]],NA())</f>
        <v>#N/A</v>
      </c>
    </row>
    <row r="19" spans="1:20">
      <c r="A19">
        <v>18</v>
      </c>
      <c r="B19">
        <v>23</v>
      </c>
      <c r="C19" t="s">
        <v>34</v>
      </c>
      <c r="D19">
        <v>145111</v>
      </c>
      <c r="E19" t="s">
        <v>62</v>
      </c>
      <c r="F19">
        <v>9</v>
      </c>
      <c r="G19" t="s">
        <v>36</v>
      </c>
      <c r="H19" t="s">
        <v>72</v>
      </c>
      <c r="I19" t="s">
        <v>69</v>
      </c>
      <c r="J19" t="s">
        <v>39</v>
      </c>
      <c r="K19" t="s">
        <v>52</v>
      </c>
      <c r="L19">
        <v>0</v>
      </c>
      <c r="M19">
        <v>0</v>
      </c>
      <c r="N19">
        <v>50</v>
      </c>
      <c r="O19" t="s">
        <v>41</v>
      </c>
      <c r="P19" t="s">
        <v>42</v>
      </c>
      <c r="Q19">
        <f>IF(Tabela3[[#This Row],[Income]]="&lt;=50K",Tabela3[[#This Row],[Age]],NA())</f>
        <v>23</v>
      </c>
      <c r="R19">
        <f>IF(Tabela3[[#This Row],[Income]]="&lt;=50K",Tabela3[[#This Row],[education-num]],NA())</f>
        <v>9</v>
      </c>
      <c r="S19" t="e">
        <f>IF(Tabela3[[#This Row],[Income]]="&gt;50K",Tabela3[[#This Row],[Age]],NA())</f>
        <v>#N/A</v>
      </c>
      <c r="T19" t="e">
        <f>IF(Tabela3[[#This Row],[Income]]="&gt;50K",Tabela3[[#This Row],[education-num]],NA())</f>
        <v>#N/A</v>
      </c>
    </row>
    <row r="20" spans="1:20">
      <c r="A20">
        <v>19</v>
      </c>
      <c r="B20">
        <v>40</v>
      </c>
      <c r="C20" t="s">
        <v>59</v>
      </c>
      <c r="D20">
        <v>188693</v>
      </c>
      <c r="E20" t="s">
        <v>73</v>
      </c>
      <c r="F20">
        <v>14</v>
      </c>
      <c r="G20" t="s">
        <v>63</v>
      </c>
      <c r="H20" t="s">
        <v>61</v>
      </c>
      <c r="I20" t="s">
        <v>66</v>
      </c>
      <c r="J20" t="s">
        <v>39</v>
      </c>
      <c r="K20" t="s">
        <v>52</v>
      </c>
      <c r="L20">
        <v>0</v>
      </c>
      <c r="M20">
        <v>0</v>
      </c>
      <c r="N20">
        <v>35</v>
      </c>
      <c r="O20" t="s">
        <v>41</v>
      </c>
      <c r="P20" t="s">
        <v>53</v>
      </c>
      <c r="Q20" t="e">
        <f>IF(Tabela3[[#This Row],[Income]]="&lt;=50K",Tabela3[[#This Row],[Age]],NA())</f>
        <v>#N/A</v>
      </c>
      <c r="R20" t="e">
        <f>IF(Tabela3[[#This Row],[Income]]="&lt;=50K",Tabela3[[#This Row],[education-num]],NA())</f>
        <v>#N/A</v>
      </c>
      <c r="S20">
        <f>IF(Tabela3[[#This Row],[Income]]="&gt;50K",Tabela3[[#This Row],[Age]],NA())</f>
        <v>40</v>
      </c>
      <c r="T20">
        <f>IF(Tabela3[[#This Row],[Income]]="&gt;50K",Tabela3[[#This Row],[education-num]],NA())</f>
        <v>14</v>
      </c>
    </row>
    <row r="21" spans="1:20">
      <c r="A21">
        <v>20</v>
      </c>
      <c r="B21">
        <v>37</v>
      </c>
      <c r="C21" t="s">
        <v>34</v>
      </c>
      <c r="D21">
        <v>215310</v>
      </c>
      <c r="E21" t="s">
        <v>62</v>
      </c>
      <c r="F21">
        <v>9</v>
      </c>
      <c r="G21" t="s">
        <v>63</v>
      </c>
      <c r="H21" t="s">
        <v>50</v>
      </c>
      <c r="I21" t="s">
        <v>66</v>
      </c>
      <c r="J21" t="s">
        <v>39</v>
      </c>
      <c r="K21" t="s">
        <v>52</v>
      </c>
      <c r="L21">
        <v>0</v>
      </c>
      <c r="M21">
        <v>0</v>
      </c>
      <c r="N21">
        <v>50</v>
      </c>
      <c r="O21" t="s">
        <v>41</v>
      </c>
      <c r="P21" t="s">
        <v>53</v>
      </c>
      <c r="Q21" t="e">
        <f>IF(Tabela3[[#This Row],[Income]]="&lt;=50K",Tabela3[[#This Row],[Age]],NA())</f>
        <v>#N/A</v>
      </c>
      <c r="R21" t="e">
        <f>IF(Tabela3[[#This Row],[Income]]="&lt;=50K",Tabela3[[#This Row],[education-num]],NA())</f>
        <v>#N/A</v>
      </c>
      <c r="S21">
        <f>IF(Tabela3[[#This Row],[Income]]="&gt;50K",Tabela3[[#This Row],[Age]],NA())</f>
        <v>37</v>
      </c>
      <c r="T21">
        <f>IF(Tabela3[[#This Row],[Income]]="&gt;50K",Tabela3[[#This Row],[education-num]],NA())</f>
        <v>9</v>
      </c>
    </row>
    <row r="22" spans="1:20">
      <c r="A22">
        <v>21</v>
      </c>
      <c r="B22">
        <v>43</v>
      </c>
      <c r="C22" t="s">
        <v>34</v>
      </c>
      <c r="D22">
        <v>173728</v>
      </c>
      <c r="E22" t="s">
        <v>60</v>
      </c>
      <c r="F22">
        <v>13</v>
      </c>
      <c r="G22" t="s">
        <v>55</v>
      </c>
      <c r="H22" t="s">
        <v>61</v>
      </c>
      <c r="I22" t="s">
        <v>69</v>
      </c>
      <c r="J22" t="s">
        <v>39</v>
      </c>
      <c r="K22" t="s">
        <v>40</v>
      </c>
      <c r="L22">
        <v>0</v>
      </c>
      <c r="M22">
        <v>0</v>
      </c>
      <c r="N22">
        <v>40</v>
      </c>
      <c r="O22" t="s">
        <v>41</v>
      </c>
      <c r="P22" t="s">
        <v>42</v>
      </c>
      <c r="Q22">
        <f>IF(Tabela3[[#This Row],[Income]]="&lt;=50K",Tabela3[[#This Row],[Age]],NA())</f>
        <v>43</v>
      </c>
      <c r="R22">
        <f>IF(Tabela3[[#This Row],[Income]]="&lt;=50K",Tabela3[[#This Row],[education-num]],NA())</f>
        <v>13</v>
      </c>
      <c r="S22" t="e">
        <f>IF(Tabela3[[#This Row],[Income]]="&gt;50K",Tabela3[[#This Row],[Age]],NA())</f>
        <v>#N/A</v>
      </c>
      <c r="T22" t="e">
        <f>IF(Tabela3[[#This Row],[Income]]="&gt;50K",Tabela3[[#This Row],[education-num]],NA())</f>
        <v>#N/A</v>
      </c>
    </row>
    <row r="23" spans="1:20">
      <c r="A23">
        <v>22</v>
      </c>
      <c r="B23">
        <v>31</v>
      </c>
      <c r="C23" t="s">
        <v>34</v>
      </c>
      <c r="D23">
        <v>185732</v>
      </c>
      <c r="E23" t="s">
        <v>62</v>
      </c>
      <c r="F23">
        <v>9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>
        <v>0</v>
      </c>
      <c r="M23">
        <v>0</v>
      </c>
      <c r="N23">
        <v>30</v>
      </c>
      <c r="O23" t="s">
        <v>41</v>
      </c>
      <c r="P23" t="s">
        <v>42</v>
      </c>
      <c r="Q23">
        <f>IF(Tabela3[[#This Row],[Income]]="&lt;=50K",Tabela3[[#This Row],[Age]],NA())</f>
        <v>31</v>
      </c>
      <c r="R23">
        <f>IF(Tabela3[[#This Row],[Income]]="&lt;=50K",Tabela3[[#This Row],[education-num]],NA())</f>
        <v>9</v>
      </c>
      <c r="S23" t="e">
        <f>IF(Tabela3[[#This Row],[Income]]="&gt;50K",Tabela3[[#This Row],[Age]],NA())</f>
        <v>#N/A</v>
      </c>
      <c r="T23" t="e">
        <f>IF(Tabela3[[#This Row],[Income]]="&gt;50K",Tabela3[[#This Row],[education-num]],NA())</f>
        <v>#N/A</v>
      </c>
    </row>
    <row r="24" spans="1:20">
      <c r="A24">
        <v>23</v>
      </c>
      <c r="B24">
        <v>28</v>
      </c>
      <c r="C24" t="s">
        <v>74</v>
      </c>
      <c r="D24">
        <v>218555</v>
      </c>
      <c r="E24" t="s">
        <v>46</v>
      </c>
      <c r="F24">
        <v>10</v>
      </c>
      <c r="G24" t="s">
        <v>36</v>
      </c>
      <c r="H24" t="s">
        <v>72</v>
      </c>
      <c r="I24" t="s">
        <v>45</v>
      </c>
      <c r="J24" t="s">
        <v>39</v>
      </c>
      <c r="K24" t="s">
        <v>52</v>
      </c>
      <c r="L24">
        <v>0</v>
      </c>
      <c r="M24">
        <v>1762</v>
      </c>
      <c r="N24">
        <v>40</v>
      </c>
      <c r="O24" t="s">
        <v>41</v>
      </c>
      <c r="P24" t="s">
        <v>42</v>
      </c>
      <c r="Q24">
        <f>IF(Tabela3[[#This Row],[Income]]="&lt;=50K",Tabela3[[#This Row],[Age]],NA())</f>
        <v>28</v>
      </c>
      <c r="R24">
        <f>IF(Tabela3[[#This Row],[Income]]="&lt;=50K",Tabela3[[#This Row],[education-num]],NA())</f>
        <v>10</v>
      </c>
      <c r="S24" t="e">
        <f>IF(Tabela3[[#This Row],[Income]]="&gt;50K",Tabela3[[#This Row],[Age]],NA())</f>
        <v>#N/A</v>
      </c>
      <c r="T24" t="e">
        <f>IF(Tabela3[[#This Row],[Income]]="&gt;50K",Tabela3[[#This Row],[education-num]],NA())</f>
        <v>#N/A</v>
      </c>
    </row>
    <row r="25" spans="1:20">
      <c r="A25">
        <v>24</v>
      </c>
      <c r="B25">
        <v>29</v>
      </c>
      <c r="C25" t="s">
        <v>75</v>
      </c>
      <c r="D25">
        <v>301010</v>
      </c>
      <c r="E25" t="s">
        <v>46</v>
      </c>
      <c r="F25">
        <v>10</v>
      </c>
      <c r="G25" t="s">
        <v>36</v>
      </c>
      <c r="H25" t="s">
        <v>76</v>
      </c>
      <c r="I25" t="s">
        <v>45</v>
      </c>
      <c r="J25" t="s">
        <v>57</v>
      </c>
      <c r="K25" t="s">
        <v>52</v>
      </c>
      <c r="L25">
        <v>0</v>
      </c>
      <c r="M25">
        <v>0</v>
      </c>
      <c r="N25">
        <v>60</v>
      </c>
      <c r="O25" t="s">
        <v>41</v>
      </c>
      <c r="P25" t="s">
        <v>42</v>
      </c>
      <c r="Q25">
        <f>IF(Tabela3[[#This Row],[Income]]="&lt;=50K",Tabela3[[#This Row],[Age]],NA())</f>
        <v>29</v>
      </c>
      <c r="R25">
        <f>IF(Tabela3[[#This Row],[Income]]="&lt;=50K",Tabela3[[#This Row],[education-num]],NA())</f>
        <v>10</v>
      </c>
      <c r="S25" t="e">
        <f>IF(Tabela3[[#This Row],[Income]]="&gt;50K",Tabela3[[#This Row],[Age]],NA())</f>
        <v>#N/A</v>
      </c>
      <c r="T25" t="e">
        <f>IF(Tabela3[[#This Row],[Income]]="&gt;50K",Tabela3[[#This Row],[education-num]],NA())</f>
        <v>#N/A</v>
      </c>
    </row>
    <row r="26" spans="1:20">
      <c r="A26">
        <v>25</v>
      </c>
      <c r="B26">
        <v>17</v>
      </c>
      <c r="C26" t="s">
        <v>71</v>
      </c>
      <c r="D26">
        <v>138507</v>
      </c>
      <c r="E26" t="s">
        <v>77</v>
      </c>
      <c r="F26">
        <v>6</v>
      </c>
      <c r="G26" t="s">
        <v>36</v>
      </c>
      <c r="H26" t="s">
        <v>71</v>
      </c>
      <c r="I26" t="s">
        <v>38</v>
      </c>
      <c r="J26" t="s">
        <v>39</v>
      </c>
      <c r="K26" t="s">
        <v>52</v>
      </c>
      <c r="L26">
        <v>0</v>
      </c>
      <c r="M26">
        <v>0</v>
      </c>
      <c r="N26">
        <v>20</v>
      </c>
      <c r="O26" t="s">
        <v>41</v>
      </c>
      <c r="P26" t="s">
        <v>42</v>
      </c>
      <c r="Q26">
        <f>IF(Tabela3[[#This Row],[Income]]="&lt;=50K",Tabela3[[#This Row],[Age]],NA())</f>
        <v>17</v>
      </c>
      <c r="R26">
        <f>IF(Tabela3[[#This Row],[Income]]="&lt;=50K",Tabela3[[#This Row],[education-num]],NA())</f>
        <v>6</v>
      </c>
      <c r="S26" t="e">
        <f>IF(Tabela3[[#This Row],[Income]]="&gt;50K",Tabela3[[#This Row],[Age]],NA())</f>
        <v>#N/A</v>
      </c>
      <c r="T26" t="e">
        <f>IF(Tabela3[[#This Row],[Income]]="&gt;50K",Tabela3[[#This Row],[education-num]],NA())</f>
        <v>#N/A</v>
      </c>
    </row>
    <row r="27" spans="1:20">
      <c r="A27">
        <v>26</v>
      </c>
      <c r="B27">
        <v>17</v>
      </c>
      <c r="C27" t="s">
        <v>34</v>
      </c>
      <c r="D27">
        <v>197850</v>
      </c>
      <c r="E27" t="s">
        <v>35</v>
      </c>
      <c r="F27">
        <v>7</v>
      </c>
      <c r="G27" t="s">
        <v>36</v>
      </c>
      <c r="H27" t="s">
        <v>67</v>
      </c>
      <c r="I27" t="s">
        <v>38</v>
      </c>
      <c r="J27" t="s">
        <v>70</v>
      </c>
      <c r="K27" t="s">
        <v>40</v>
      </c>
      <c r="L27">
        <v>0</v>
      </c>
      <c r="M27">
        <v>0</v>
      </c>
      <c r="N27">
        <v>24</v>
      </c>
      <c r="O27" t="s">
        <v>41</v>
      </c>
      <c r="P27" t="s">
        <v>42</v>
      </c>
      <c r="Q27">
        <f>IF(Tabela3[[#This Row],[Income]]="&lt;=50K",Tabela3[[#This Row],[Age]],NA())</f>
        <v>17</v>
      </c>
      <c r="R27">
        <f>IF(Tabela3[[#This Row],[Income]]="&lt;=50K",Tabela3[[#This Row],[education-num]],NA())</f>
        <v>7</v>
      </c>
      <c r="S27" t="e">
        <f>IF(Tabela3[[#This Row],[Income]]="&gt;50K",Tabela3[[#This Row],[Age]],NA())</f>
        <v>#N/A</v>
      </c>
      <c r="T27" t="e">
        <f>IF(Tabela3[[#This Row],[Income]]="&gt;50K",Tabela3[[#This Row],[education-num]],NA())</f>
        <v>#N/A</v>
      </c>
    </row>
    <row r="28" spans="1:20">
      <c r="A28">
        <v>27</v>
      </c>
      <c r="B28">
        <v>66</v>
      </c>
      <c r="C28" t="s">
        <v>74</v>
      </c>
      <c r="D28">
        <v>298834</v>
      </c>
      <c r="E28" t="s">
        <v>78</v>
      </c>
      <c r="F28">
        <v>11</v>
      </c>
      <c r="G28" t="s">
        <v>63</v>
      </c>
      <c r="H28" t="s">
        <v>61</v>
      </c>
      <c r="I28" t="s">
        <v>66</v>
      </c>
      <c r="J28" t="s">
        <v>39</v>
      </c>
      <c r="K28" t="s">
        <v>52</v>
      </c>
      <c r="L28">
        <v>0</v>
      </c>
      <c r="M28">
        <v>0</v>
      </c>
      <c r="N28">
        <v>50</v>
      </c>
      <c r="O28" t="s">
        <v>41</v>
      </c>
      <c r="P28" t="s">
        <v>42</v>
      </c>
      <c r="Q28">
        <f>IF(Tabela3[[#This Row],[Income]]="&lt;=50K",Tabela3[[#This Row],[Age]],NA())</f>
        <v>66</v>
      </c>
      <c r="R28">
        <f>IF(Tabela3[[#This Row],[Income]]="&lt;=50K",Tabela3[[#This Row],[education-num]],NA())</f>
        <v>11</v>
      </c>
      <c r="S28" t="e">
        <f>IF(Tabela3[[#This Row],[Income]]="&gt;50K",Tabela3[[#This Row],[Age]],NA())</f>
        <v>#N/A</v>
      </c>
      <c r="T28" t="e">
        <f>IF(Tabela3[[#This Row],[Income]]="&gt;50K",Tabela3[[#This Row],[education-num]],NA())</f>
        <v>#N/A</v>
      </c>
    </row>
    <row r="29" spans="1:20">
      <c r="A29">
        <v>28</v>
      </c>
      <c r="B29">
        <v>69</v>
      </c>
      <c r="C29" t="s">
        <v>71</v>
      </c>
      <c r="D29">
        <v>473040</v>
      </c>
      <c r="E29" t="s">
        <v>48</v>
      </c>
      <c r="F29">
        <v>3</v>
      </c>
      <c r="G29" t="s">
        <v>49</v>
      </c>
      <c r="H29" t="s">
        <v>71</v>
      </c>
      <c r="I29" t="s">
        <v>45</v>
      </c>
      <c r="J29" t="s">
        <v>39</v>
      </c>
      <c r="K29" t="s">
        <v>52</v>
      </c>
      <c r="L29">
        <v>0</v>
      </c>
      <c r="M29">
        <v>0</v>
      </c>
      <c r="N29">
        <v>40</v>
      </c>
      <c r="O29" t="s">
        <v>41</v>
      </c>
      <c r="P29" t="s">
        <v>42</v>
      </c>
      <c r="Q29">
        <f>IF(Tabela3[[#This Row],[Income]]="&lt;=50K",Tabela3[[#This Row],[Age]],NA())</f>
        <v>69</v>
      </c>
      <c r="R29">
        <f>IF(Tabela3[[#This Row],[Income]]="&lt;=50K",Tabela3[[#This Row],[education-num]],NA())</f>
        <v>3</v>
      </c>
      <c r="S29" t="e">
        <f>IF(Tabela3[[#This Row],[Income]]="&gt;50K",Tabela3[[#This Row],[Age]],NA())</f>
        <v>#N/A</v>
      </c>
      <c r="T29" t="e">
        <f>IF(Tabela3[[#This Row],[Income]]="&gt;50K",Tabela3[[#This Row],[education-num]],NA())</f>
        <v>#N/A</v>
      </c>
    </row>
    <row r="30" spans="1:20">
      <c r="A30">
        <v>29</v>
      </c>
      <c r="B30">
        <v>27</v>
      </c>
      <c r="C30" t="s">
        <v>34</v>
      </c>
      <c r="D30">
        <v>168107</v>
      </c>
      <c r="E30" t="s">
        <v>60</v>
      </c>
      <c r="F30">
        <v>13</v>
      </c>
      <c r="G30" t="s">
        <v>63</v>
      </c>
      <c r="H30" t="s">
        <v>50</v>
      </c>
      <c r="I30" t="s">
        <v>66</v>
      </c>
      <c r="J30" t="s">
        <v>39</v>
      </c>
      <c r="K30" t="s">
        <v>52</v>
      </c>
      <c r="L30">
        <v>0</v>
      </c>
      <c r="M30">
        <v>0</v>
      </c>
      <c r="N30">
        <v>40</v>
      </c>
      <c r="O30" t="s">
        <v>41</v>
      </c>
      <c r="P30" t="s">
        <v>42</v>
      </c>
      <c r="Q30">
        <f>IF(Tabela3[[#This Row],[Income]]="&lt;=50K",Tabela3[[#This Row],[Age]],NA())</f>
        <v>27</v>
      </c>
      <c r="R30">
        <f>IF(Tabela3[[#This Row],[Income]]="&lt;=50K",Tabela3[[#This Row],[education-num]],NA())</f>
        <v>13</v>
      </c>
      <c r="S30" t="e">
        <f>IF(Tabela3[[#This Row],[Income]]="&gt;50K",Tabela3[[#This Row],[Age]],NA())</f>
        <v>#N/A</v>
      </c>
      <c r="T30" t="e">
        <f>IF(Tabela3[[#This Row],[Income]]="&gt;50K",Tabela3[[#This Row],[education-num]],NA())</f>
        <v>#N/A</v>
      </c>
    </row>
    <row r="31" spans="1:20">
      <c r="A31">
        <v>30</v>
      </c>
      <c r="B31">
        <v>26</v>
      </c>
      <c r="C31" t="s">
        <v>34</v>
      </c>
      <c r="D31">
        <v>294493</v>
      </c>
      <c r="E31" t="s">
        <v>60</v>
      </c>
      <c r="F31">
        <v>13</v>
      </c>
      <c r="G31" t="s">
        <v>36</v>
      </c>
      <c r="H31" t="s">
        <v>50</v>
      </c>
      <c r="I31" t="s">
        <v>79</v>
      </c>
      <c r="J31" t="s">
        <v>39</v>
      </c>
      <c r="K31" t="s">
        <v>52</v>
      </c>
      <c r="L31">
        <v>0</v>
      </c>
      <c r="M31">
        <v>0</v>
      </c>
      <c r="N31">
        <v>40</v>
      </c>
      <c r="O31" t="s">
        <v>41</v>
      </c>
      <c r="P31" t="s">
        <v>42</v>
      </c>
      <c r="Q31">
        <f>IF(Tabela3[[#This Row],[Income]]="&lt;=50K",Tabela3[[#This Row],[Age]],NA())</f>
        <v>26</v>
      </c>
      <c r="R31">
        <f>IF(Tabela3[[#This Row],[Income]]="&lt;=50K",Tabela3[[#This Row],[education-num]],NA())</f>
        <v>13</v>
      </c>
      <c r="S31" t="e">
        <f>IF(Tabela3[[#This Row],[Income]]="&gt;50K",Tabela3[[#This Row],[Age]],NA())</f>
        <v>#N/A</v>
      </c>
      <c r="T31" t="e">
        <f>IF(Tabela3[[#This Row],[Income]]="&gt;50K",Tabela3[[#This Row],[education-num]],NA())</f>
        <v>#N/A</v>
      </c>
    </row>
    <row r="32" spans="1:20">
      <c r="A32">
        <v>31</v>
      </c>
      <c r="B32">
        <v>50</v>
      </c>
      <c r="C32" t="s">
        <v>34</v>
      </c>
      <c r="D32">
        <v>171338</v>
      </c>
      <c r="E32" t="s">
        <v>46</v>
      </c>
      <c r="F32">
        <v>10</v>
      </c>
      <c r="G32" t="s">
        <v>63</v>
      </c>
      <c r="H32" t="s">
        <v>80</v>
      </c>
      <c r="I32" t="s">
        <v>66</v>
      </c>
      <c r="J32" t="s">
        <v>39</v>
      </c>
      <c r="K32" t="s">
        <v>52</v>
      </c>
      <c r="L32">
        <v>99999</v>
      </c>
      <c r="M32">
        <v>0</v>
      </c>
      <c r="N32">
        <v>50</v>
      </c>
      <c r="O32" t="s">
        <v>41</v>
      </c>
      <c r="P32" t="s">
        <v>53</v>
      </c>
      <c r="Q32" t="e">
        <f>IF(Tabela3[[#This Row],[Income]]="&lt;=50K",Tabela3[[#This Row],[Age]],NA())</f>
        <v>#N/A</v>
      </c>
      <c r="R32" t="e">
        <f>IF(Tabela3[[#This Row],[Income]]="&lt;=50K",Tabela3[[#This Row],[education-num]],NA())</f>
        <v>#N/A</v>
      </c>
      <c r="S32">
        <f>IF(Tabela3[[#This Row],[Income]]="&gt;50K",Tabela3[[#This Row],[Age]],NA())</f>
        <v>50</v>
      </c>
      <c r="T32">
        <f>IF(Tabela3[[#This Row],[Income]]="&gt;50K",Tabela3[[#This Row],[education-num]],NA())</f>
        <v>10</v>
      </c>
    </row>
    <row r="33" spans="1:20">
      <c r="A33">
        <v>32</v>
      </c>
      <c r="B33">
        <v>59</v>
      </c>
      <c r="C33" t="s">
        <v>34</v>
      </c>
      <c r="D33">
        <v>183606</v>
      </c>
      <c r="E33" t="s">
        <v>35</v>
      </c>
      <c r="F33">
        <v>7</v>
      </c>
      <c r="G33" t="s">
        <v>63</v>
      </c>
      <c r="H33" t="s">
        <v>56</v>
      </c>
      <c r="I33" t="s">
        <v>66</v>
      </c>
      <c r="J33" t="s">
        <v>39</v>
      </c>
      <c r="K33" t="s">
        <v>52</v>
      </c>
      <c r="L33">
        <v>0</v>
      </c>
      <c r="M33">
        <v>0</v>
      </c>
      <c r="N33">
        <v>40</v>
      </c>
      <c r="O33" t="s">
        <v>41</v>
      </c>
      <c r="P33" t="s">
        <v>42</v>
      </c>
      <c r="Q33">
        <f>IF(Tabela3[[#This Row],[Income]]="&lt;=50K",Tabela3[[#This Row],[Age]],NA())</f>
        <v>59</v>
      </c>
      <c r="R33">
        <f>IF(Tabela3[[#This Row],[Income]]="&lt;=50K",Tabela3[[#This Row],[education-num]],NA())</f>
        <v>7</v>
      </c>
      <c r="S33" t="e">
        <f>IF(Tabela3[[#This Row],[Income]]="&gt;50K",Tabela3[[#This Row],[Age]],NA())</f>
        <v>#N/A</v>
      </c>
      <c r="T33" t="e">
        <f>IF(Tabela3[[#This Row],[Income]]="&gt;50K",Tabela3[[#This Row],[education-num]],NA())</f>
        <v>#N/A</v>
      </c>
    </row>
    <row r="34" spans="1:20">
      <c r="A34">
        <v>33</v>
      </c>
      <c r="B34">
        <v>37</v>
      </c>
      <c r="C34" t="s">
        <v>54</v>
      </c>
      <c r="D34">
        <v>118909</v>
      </c>
      <c r="E34" t="s">
        <v>62</v>
      </c>
      <c r="F34">
        <v>9</v>
      </c>
      <c r="G34" t="s">
        <v>49</v>
      </c>
      <c r="H34" t="s">
        <v>67</v>
      </c>
      <c r="I34" t="s">
        <v>69</v>
      </c>
      <c r="J34" t="s">
        <v>57</v>
      </c>
      <c r="K34" t="s">
        <v>40</v>
      </c>
      <c r="L34">
        <v>0</v>
      </c>
      <c r="M34">
        <v>0</v>
      </c>
      <c r="N34">
        <v>35</v>
      </c>
      <c r="O34" t="s">
        <v>41</v>
      </c>
      <c r="P34" t="s">
        <v>42</v>
      </c>
      <c r="Q34">
        <f>IF(Tabela3[[#This Row],[Income]]="&lt;=50K",Tabela3[[#This Row],[Age]],NA())</f>
        <v>37</v>
      </c>
      <c r="R34">
        <f>IF(Tabela3[[#This Row],[Income]]="&lt;=50K",Tabela3[[#This Row],[education-num]],NA())</f>
        <v>9</v>
      </c>
      <c r="S34" t="e">
        <f>IF(Tabela3[[#This Row],[Income]]="&gt;50K",Tabela3[[#This Row],[Age]],NA())</f>
        <v>#N/A</v>
      </c>
      <c r="T34" t="e">
        <f>IF(Tabela3[[#This Row],[Income]]="&gt;50K",Tabela3[[#This Row],[education-num]],NA())</f>
        <v>#N/A</v>
      </c>
    </row>
    <row r="35" spans="1:20">
      <c r="A35">
        <v>34</v>
      </c>
      <c r="B35">
        <v>18</v>
      </c>
      <c r="C35" t="s">
        <v>34</v>
      </c>
      <c r="D35">
        <v>152545</v>
      </c>
      <c r="E35" t="s">
        <v>62</v>
      </c>
      <c r="F35">
        <v>9</v>
      </c>
      <c r="G35" t="s">
        <v>36</v>
      </c>
      <c r="H35" t="s">
        <v>37</v>
      </c>
      <c r="I35" t="s">
        <v>38</v>
      </c>
      <c r="J35" t="s">
        <v>39</v>
      </c>
      <c r="K35" t="s">
        <v>40</v>
      </c>
      <c r="L35">
        <v>0</v>
      </c>
      <c r="M35">
        <v>0</v>
      </c>
      <c r="N35">
        <v>8</v>
      </c>
      <c r="O35" t="s">
        <v>41</v>
      </c>
      <c r="P35" t="s">
        <v>42</v>
      </c>
      <c r="Q35">
        <f>IF(Tabela3[[#This Row],[Income]]="&lt;=50K",Tabela3[[#This Row],[Age]],NA())</f>
        <v>18</v>
      </c>
      <c r="R35">
        <f>IF(Tabela3[[#This Row],[Income]]="&lt;=50K",Tabela3[[#This Row],[education-num]],NA())</f>
        <v>9</v>
      </c>
      <c r="S35" t="e">
        <f>IF(Tabela3[[#This Row],[Income]]="&gt;50K",Tabela3[[#This Row],[Age]],NA())</f>
        <v>#N/A</v>
      </c>
      <c r="T35" t="e">
        <f>IF(Tabela3[[#This Row],[Income]]="&gt;50K",Tabela3[[#This Row],[education-num]],NA())</f>
        <v>#N/A</v>
      </c>
    </row>
    <row r="36" spans="1:20">
      <c r="A36">
        <v>35</v>
      </c>
      <c r="B36">
        <v>21</v>
      </c>
      <c r="C36" t="s">
        <v>34</v>
      </c>
      <c r="D36">
        <v>165475</v>
      </c>
      <c r="E36" t="s">
        <v>62</v>
      </c>
      <c r="F36">
        <v>9</v>
      </c>
      <c r="G36" t="s">
        <v>63</v>
      </c>
      <c r="H36" t="s">
        <v>56</v>
      </c>
      <c r="I36" t="s">
        <v>66</v>
      </c>
      <c r="J36" t="s">
        <v>39</v>
      </c>
      <c r="K36" t="s">
        <v>52</v>
      </c>
      <c r="L36">
        <v>0</v>
      </c>
      <c r="M36">
        <v>0</v>
      </c>
      <c r="N36">
        <v>40</v>
      </c>
      <c r="O36" t="s">
        <v>41</v>
      </c>
      <c r="P36" t="s">
        <v>42</v>
      </c>
      <c r="Q36">
        <f>IF(Tabela3[[#This Row],[Income]]="&lt;=50K",Tabela3[[#This Row],[Age]],NA())</f>
        <v>21</v>
      </c>
      <c r="R36">
        <f>IF(Tabela3[[#This Row],[Income]]="&lt;=50K",Tabela3[[#This Row],[education-num]],NA())</f>
        <v>9</v>
      </c>
      <c r="S36" t="e">
        <f>IF(Tabela3[[#This Row],[Income]]="&gt;50K",Tabela3[[#This Row],[Age]],NA())</f>
        <v>#N/A</v>
      </c>
      <c r="T36" t="e">
        <f>IF(Tabela3[[#This Row],[Income]]="&gt;50K",Tabela3[[#This Row],[education-num]],NA())</f>
        <v>#N/A</v>
      </c>
    </row>
    <row r="37" spans="1:20">
      <c r="A37">
        <v>36</v>
      </c>
      <c r="B37">
        <v>64</v>
      </c>
      <c r="C37" t="s">
        <v>34</v>
      </c>
      <c r="D37">
        <v>170483</v>
      </c>
      <c r="E37" t="s">
        <v>62</v>
      </c>
      <c r="F37">
        <v>9</v>
      </c>
      <c r="G37" t="s">
        <v>81</v>
      </c>
      <c r="H37" t="s">
        <v>37</v>
      </c>
      <c r="I37" t="s">
        <v>45</v>
      </c>
      <c r="J37" t="s">
        <v>39</v>
      </c>
      <c r="K37" t="s">
        <v>40</v>
      </c>
      <c r="L37">
        <v>0</v>
      </c>
      <c r="M37">
        <v>0</v>
      </c>
      <c r="N37">
        <v>38</v>
      </c>
      <c r="O37" t="s">
        <v>41</v>
      </c>
      <c r="P37" t="s">
        <v>42</v>
      </c>
      <c r="Q37">
        <f>IF(Tabela3[[#This Row],[Income]]="&lt;=50K",Tabela3[[#This Row],[Age]],NA())</f>
        <v>64</v>
      </c>
      <c r="R37">
        <f>IF(Tabela3[[#This Row],[Income]]="&lt;=50K",Tabela3[[#This Row],[education-num]],NA())</f>
        <v>9</v>
      </c>
      <c r="S37" t="e">
        <f>IF(Tabela3[[#This Row],[Income]]="&gt;50K",Tabela3[[#This Row],[Age]],NA())</f>
        <v>#N/A</v>
      </c>
      <c r="T37" t="e">
        <f>IF(Tabela3[[#This Row],[Income]]="&gt;50K",Tabela3[[#This Row],[education-num]],NA())</f>
        <v>#N/A</v>
      </c>
    </row>
    <row r="38" spans="1:20">
      <c r="A38">
        <v>37</v>
      </c>
      <c r="B38">
        <v>50</v>
      </c>
      <c r="C38" t="s">
        <v>34</v>
      </c>
      <c r="D38">
        <v>112351</v>
      </c>
      <c r="E38" t="s">
        <v>62</v>
      </c>
      <c r="F38">
        <v>9</v>
      </c>
      <c r="G38" t="s">
        <v>49</v>
      </c>
      <c r="H38" t="s">
        <v>80</v>
      </c>
      <c r="I38" t="s">
        <v>69</v>
      </c>
      <c r="J38" t="s">
        <v>39</v>
      </c>
      <c r="K38" t="s">
        <v>52</v>
      </c>
      <c r="L38">
        <v>0</v>
      </c>
      <c r="M38">
        <v>0</v>
      </c>
      <c r="N38">
        <v>38</v>
      </c>
      <c r="O38" t="s">
        <v>41</v>
      </c>
      <c r="P38" t="s">
        <v>42</v>
      </c>
      <c r="Q38">
        <f>IF(Tabela3[[#This Row],[Income]]="&lt;=50K",Tabela3[[#This Row],[Age]],NA())</f>
        <v>50</v>
      </c>
      <c r="R38">
        <f>IF(Tabela3[[#This Row],[Income]]="&lt;=50K",Tabela3[[#This Row],[education-num]],NA())</f>
        <v>9</v>
      </c>
      <c r="S38" t="e">
        <f>IF(Tabela3[[#This Row],[Income]]="&gt;50K",Tabela3[[#This Row],[Age]],NA())</f>
        <v>#N/A</v>
      </c>
      <c r="T38" t="e">
        <f>IF(Tabela3[[#This Row],[Income]]="&gt;50K",Tabela3[[#This Row],[education-num]],NA())</f>
        <v>#N/A</v>
      </c>
    </row>
    <row r="39" spans="1:20">
      <c r="A39">
        <v>38</v>
      </c>
      <c r="B39">
        <v>19</v>
      </c>
      <c r="C39" t="s">
        <v>34</v>
      </c>
      <c r="D39">
        <v>354104</v>
      </c>
      <c r="E39" t="s">
        <v>62</v>
      </c>
      <c r="F39">
        <v>9</v>
      </c>
      <c r="G39" t="s">
        <v>36</v>
      </c>
      <c r="H39" t="s">
        <v>68</v>
      </c>
      <c r="I39" t="s">
        <v>38</v>
      </c>
      <c r="J39" t="s">
        <v>39</v>
      </c>
      <c r="K39" t="s">
        <v>52</v>
      </c>
      <c r="L39">
        <v>0</v>
      </c>
      <c r="M39">
        <v>0</v>
      </c>
      <c r="N39">
        <v>30</v>
      </c>
      <c r="O39" t="s">
        <v>41</v>
      </c>
      <c r="P39" t="s">
        <v>42</v>
      </c>
      <c r="Q39">
        <f>IF(Tabela3[[#This Row],[Income]]="&lt;=50K",Tabela3[[#This Row],[Age]],NA())</f>
        <v>19</v>
      </c>
      <c r="R39">
        <f>IF(Tabela3[[#This Row],[Income]]="&lt;=50K",Tabela3[[#This Row],[education-num]],NA())</f>
        <v>9</v>
      </c>
      <c r="S39" t="e">
        <f>IF(Tabela3[[#This Row],[Income]]="&gt;50K",Tabela3[[#This Row],[Age]],NA())</f>
        <v>#N/A</v>
      </c>
      <c r="T39" t="e">
        <f>IF(Tabela3[[#This Row],[Income]]="&gt;50K",Tabela3[[#This Row],[education-num]],NA())</f>
        <v>#N/A</v>
      </c>
    </row>
    <row r="40" spans="1:20">
      <c r="A40">
        <v>39</v>
      </c>
      <c r="B40">
        <v>28</v>
      </c>
      <c r="C40" t="s">
        <v>71</v>
      </c>
      <c r="D40">
        <v>308493</v>
      </c>
      <c r="E40" t="s">
        <v>62</v>
      </c>
      <c r="F40">
        <v>9</v>
      </c>
      <c r="G40" t="s">
        <v>63</v>
      </c>
      <c r="H40" t="s">
        <v>71</v>
      </c>
      <c r="I40" t="s">
        <v>65</v>
      </c>
      <c r="J40" t="s">
        <v>39</v>
      </c>
      <c r="K40" t="s">
        <v>40</v>
      </c>
      <c r="L40">
        <v>0</v>
      </c>
      <c r="M40">
        <v>0</v>
      </c>
      <c r="N40">
        <v>17</v>
      </c>
      <c r="O40" t="s">
        <v>82</v>
      </c>
      <c r="P40" t="s">
        <v>42</v>
      </c>
      <c r="Q40">
        <f>IF(Tabela3[[#This Row],[Income]]="&lt;=50K",Tabela3[[#This Row],[Age]],NA())</f>
        <v>28</v>
      </c>
      <c r="R40">
        <f>IF(Tabela3[[#This Row],[Income]]="&lt;=50K",Tabela3[[#This Row],[education-num]],NA())</f>
        <v>9</v>
      </c>
      <c r="S40" t="e">
        <f>IF(Tabela3[[#This Row],[Income]]="&gt;50K",Tabela3[[#This Row],[Age]],NA())</f>
        <v>#N/A</v>
      </c>
      <c r="T40" t="e">
        <f>IF(Tabela3[[#This Row],[Income]]="&gt;50K",Tabela3[[#This Row],[education-num]],NA())</f>
        <v>#N/A</v>
      </c>
    </row>
    <row r="41" spans="1:20">
      <c r="A41">
        <v>40</v>
      </c>
      <c r="B41">
        <v>47</v>
      </c>
      <c r="C41" t="s">
        <v>34</v>
      </c>
      <c r="D41">
        <v>326857</v>
      </c>
      <c r="E41" t="s">
        <v>78</v>
      </c>
      <c r="F41">
        <v>11</v>
      </c>
      <c r="G41" t="s">
        <v>63</v>
      </c>
      <c r="H41" t="s">
        <v>50</v>
      </c>
      <c r="I41" t="s">
        <v>66</v>
      </c>
      <c r="J41" t="s">
        <v>39</v>
      </c>
      <c r="K41" t="s">
        <v>52</v>
      </c>
      <c r="L41">
        <v>5013</v>
      </c>
      <c r="M41">
        <v>0</v>
      </c>
      <c r="N41">
        <v>40</v>
      </c>
      <c r="O41" t="s">
        <v>41</v>
      </c>
      <c r="P41" t="s">
        <v>42</v>
      </c>
      <c r="Q41">
        <f>IF(Tabela3[[#This Row],[Income]]="&lt;=50K",Tabela3[[#This Row],[Age]],NA())</f>
        <v>47</v>
      </c>
      <c r="R41">
        <f>IF(Tabela3[[#This Row],[Income]]="&lt;=50K",Tabela3[[#This Row],[education-num]],NA())</f>
        <v>11</v>
      </c>
      <c r="S41" t="e">
        <f>IF(Tabela3[[#This Row],[Income]]="&gt;50K",Tabela3[[#This Row],[Age]],NA())</f>
        <v>#N/A</v>
      </c>
      <c r="T41" t="e">
        <f>IF(Tabela3[[#This Row],[Income]]="&gt;50K",Tabela3[[#This Row],[education-num]],NA())</f>
        <v>#N/A</v>
      </c>
    </row>
    <row r="42" spans="1:20">
      <c r="A42">
        <v>41</v>
      </c>
      <c r="B42">
        <v>56</v>
      </c>
      <c r="C42" t="s">
        <v>54</v>
      </c>
      <c r="D42">
        <v>242670</v>
      </c>
      <c r="E42" t="s">
        <v>46</v>
      </c>
      <c r="F42">
        <v>10</v>
      </c>
      <c r="G42" t="s">
        <v>81</v>
      </c>
      <c r="H42" t="s">
        <v>67</v>
      </c>
      <c r="I42" t="s">
        <v>69</v>
      </c>
      <c r="J42" t="s">
        <v>39</v>
      </c>
      <c r="K42" t="s">
        <v>40</v>
      </c>
      <c r="L42">
        <v>0</v>
      </c>
      <c r="M42">
        <v>0</v>
      </c>
      <c r="N42">
        <v>40</v>
      </c>
      <c r="O42" t="s">
        <v>41</v>
      </c>
      <c r="P42" t="s">
        <v>42</v>
      </c>
      <c r="Q42">
        <f>IF(Tabela3[[#This Row],[Income]]="&lt;=50K",Tabela3[[#This Row],[Age]],NA())</f>
        <v>56</v>
      </c>
      <c r="R42">
        <f>IF(Tabela3[[#This Row],[Income]]="&lt;=50K",Tabela3[[#This Row],[education-num]],NA())</f>
        <v>10</v>
      </c>
      <c r="S42" t="e">
        <f>IF(Tabela3[[#This Row],[Income]]="&gt;50K",Tabela3[[#This Row],[Age]],NA())</f>
        <v>#N/A</v>
      </c>
      <c r="T42" t="e">
        <f>IF(Tabela3[[#This Row],[Income]]="&gt;50K",Tabela3[[#This Row],[education-num]],NA())</f>
        <v>#N/A</v>
      </c>
    </row>
    <row r="43" spans="1:20">
      <c r="A43">
        <v>42</v>
      </c>
      <c r="B43">
        <v>26</v>
      </c>
      <c r="C43" t="s">
        <v>34</v>
      </c>
      <c r="D43">
        <v>60726</v>
      </c>
      <c r="E43" t="s">
        <v>46</v>
      </c>
      <c r="F43">
        <v>10</v>
      </c>
      <c r="G43" t="s">
        <v>63</v>
      </c>
      <c r="H43" t="s">
        <v>50</v>
      </c>
      <c r="I43" t="s">
        <v>66</v>
      </c>
      <c r="J43" t="s">
        <v>57</v>
      </c>
      <c r="K43" t="s">
        <v>52</v>
      </c>
      <c r="L43">
        <v>0</v>
      </c>
      <c r="M43">
        <v>0</v>
      </c>
      <c r="N43">
        <v>40</v>
      </c>
      <c r="O43" t="s">
        <v>41</v>
      </c>
      <c r="P43" t="s">
        <v>42</v>
      </c>
      <c r="Q43">
        <f>IF(Tabela3[[#This Row],[Income]]="&lt;=50K",Tabela3[[#This Row],[Age]],NA())</f>
        <v>26</v>
      </c>
      <c r="R43">
        <f>IF(Tabela3[[#This Row],[Income]]="&lt;=50K",Tabela3[[#This Row],[education-num]],NA())</f>
        <v>10</v>
      </c>
      <c r="S43" t="e">
        <f>IF(Tabela3[[#This Row],[Income]]="&gt;50K",Tabela3[[#This Row],[Age]],NA())</f>
        <v>#N/A</v>
      </c>
      <c r="T43" t="e">
        <f>IF(Tabela3[[#This Row],[Income]]="&gt;50K",Tabela3[[#This Row],[education-num]],NA())</f>
        <v>#N/A</v>
      </c>
    </row>
    <row r="44" spans="1:20">
      <c r="A44">
        <v>43</v>
      </c>
      <c r="B44">
        <v>51</v>
      </c>
      <c r="C44" t="s">
        <v>34</v>
      </c>
      <c r="D44">
        <v>204322</v>
      </c>
      <c r="E44" t="s">
        <v>78</v>
      </c>
      <c r="F44">
        <v>11</v>
      </c>
      <c r="G44" t="s">
        <v>63</v>
      </c>
      <c r="H44" t="s">
        <v>68</v>
      </c>
      <c r="I44" t="s">
        <v>66</v>
      </c>
      <c r="J44" t="s">
        <v>39</v>
      </c>
      <c r="K44" t="s">
        <v>52</v>
      </c>
      <c r="L44">
        <v>0</v>
      </c>
      <c r="M44">
        <v>0</v>
      </c>
      <c r="N44">
        <v>40</v>
      </c>
      <c r="O44" t="s">
        <v>41</v>
      </c>
      <c r="P44" t="s">
        <v>53</v>
      </c>
      <c r="Q44" t="e">
        <f>IF(Tabela3[[#This Row],[Income]]="&lt;=50K",Tabela3[[#This Row],[Age]],NA())</f>
        <v>#N/A</v>
      </c>
      <c r="R44" t="e">
        <f>IF(Tabela3[[#This Row],[Income]]="&lt;=50K",Tabela3[[#This Row],[education-num]],NA())</f>
        <v>#N/A</v>
      </c>
      <c r="S44">
        <f>IF(Tabela3[[#This Row],[Income]]="&gt;50K",Tabela3[[#This Row],[Age]],NA())</f>
        <v>51</v>
      </c>
      <c r="T44">
        <f>IF(Tabela3[[#This Row],[Income]]="&gt;50K",Tabela3[[#This Row],[education-num]],NA())</f>
        <v>11</v>
      </c>
    </row>
    <row r="45" spans="1:20">
      <c r="A45">
        <v>44</v>
      </c>
      <c r="B45">
        <v>20</v>
      </c>
      <c r="C45" t="s">
        <v>34</v>
      </c>
      <c r="D45">
        <v>236769</v>
      </c>
      <c r="E45" t="s">
        <v>46</v>
      </c>
      <c r="F45">
        <v>10</v>
      </c>
      <c r="G45" t="s">
        <v>36</v>
      </c>
      <c r="H45" t="s">
        <v>68</v>
      </c>
      <c r="I45" t="s">
        <v>38</v>
      </c>
      <c r="J45" t="s">
        <v>39</v>
      </c>
      <c r="K45" t="s">
        <v>52</v>
      </c>
      <c r="L45">
        <v>0</v>
      </c>
      <c r="M45">
        <v>0</v>
      </c>
      <c r="N45">
        <v>40</v>
      </c>
      <c r="O45" t="s">
        <v>41</v>
      </c>
      <c r="P45" t="s">
        <v>42</v>
      </c>
      <c r="Q45">
        <f>IF(Tabela3[[#This Row],[Income]]="&lt;=50K",Tabela3[[#This Row],[Age]],NA())</f>
        <v>20</v>
      </c>
      <c r="R45">
        <f>IF(Tabela3[[#This Row],[Income]]="&lt;=50K",Tabela3[[#This Row],[education-num]],NA())</f>
        <v>10</v>
      </c>
      <c r="S45" t="e">
        <f>IF(Tabela3[[#This Row],[Income]]="&gt;50K",Tabela3[[#This Row],[Age]],NA())</f>
        <v>#N/A</v>
      </c>
      <c r="T45" t="e">
        <f>IF(Tabela3[[#This Row],[Income]]="&gt;50K",Tabela3[[#This Row],[education-num]],NA())</f>
        <v>#N/A</v>
      </c>
    </row>
    <row r="46" spans="1:20">
      <c r="A46">
        <v>45</v>
      </c>
      <c r="B46">
        <v>25</v>
      </c>
      <c r="C46" t="s">
        <v>34</v>
      </c>
      <c r="D46">
        <v>73289</v>
      </c>
      <c r="E46" t="s">
        <v>62</v>
      </c>
      <c r="F46">
        <v>9</v>
      </c>
      <c r="G46" t="s">
        <v>36</v>
      </c>
      <c r="H46" t="s">
        <v>72</v>
      </c>
      <c r="I46" t="s">
        <v>38</v>
      </c>
      <c r="J46" t="s">
        <v>39</v>
      </c>
      <c r="K46" t="s">
        <v>52</v>
      </c>
      <c r="L46">
        <v>0</v>
      </c>
      <c r="M46">
        <v>0</v>
      </c>
      <c r="N46">
        <v>40</v>
      </c>
      <c r="O46" t="s">
        <v>41</v>
      </c>
      <c r="P46" t="s">
        <v>42</v>
      </c>
      <c r="Q46">
        <f>IF(Tabela3[[#This Row],[Income]]="&lt;=50K",Tabela3[[#This Row],[Age]],NA())</f>
        <v>25</v>
      </c>
      <c r="R46">
        <f>IF(Tabela3[[#This Row],[Income]]="&lt;=50K",Tabela3[[#This Row],[education-num]],NA())</f>
        <v>9</v>
      </c>
      <c r="S46" t="e">
        <f>IF(Tabela3[[#This Row],[Income]]="&gt;50K",Tabela3[[#This Row],[Age]],NA())</f>
        <v>#N/A</v>
      </c>
      <c r="T46" t="e">
        <f>IF(Tabela3[[#This Row],[Income]]="&gt;50K",Tabela3[[#This Row],[education-num]],NA())</f>
        <v>#N/A</v>
      </c>
    </row>
    <row r="47" spans="1:20">
      <c r="A47">
        <v>46</v>
      </c>
      <c r="B47">
        <v>46</v>
      </c>
      <c r="C47" t="s">
        <v>34</v>
      </c>
      <c r="D47">
        <v>109089</v>
      </c>
      <c r="E47" t="s">
        <v>62</v>
      </c>
      <c r="F47">
        <v>9</v>
      </c>
      <c r="G47" t="s">
        <v>49</v>
      </c>
      <c r="H47" t="s">
        <v>50</v>
      </c>
      <c r="I47" t="s">
        <v>45</v>
      </c>
      <c r="J47" t="s">
        <v>39</v>
      </c>
      <c r="K47" t="s">
        <v>52</v>
      </c>
      <c r="L47">
        <v>0</v>
      </c>
      <c r="M47">
        <v>0</v>
      </c>
      <c r="N47">
        <v>37</v>
      </c>
      <c r="O47" t="s">
        <v>41</v>
      </c>
      <c r="P47" t="s">
        <v>42</v>
      </c>
      <c r="Q47">
        <f>IF(Tabela3[[#This Row],[Income]]="&lt;=50K",Tabela3[[#This Row],[Age]],NA())</f>
        <v>46</v>
      </c>
      <c r="R47">
        <f>IF(Tabela3[[#This Row],[Income]]="&lt;=50K",Tabela3[[#This Row],[education-num]],NA())</f>
        <v>9</v>
      </c>
      <c r="S47" t="e">
        <f>IF(Tabela3[[#This Row],[Income]]="&gt;50K",Tabela3[[#This Row],[Age]],NA())</f>
        <v>#N/A</v>
      </c>
      <c r="T47" t="e">
        <f>IF(Tabela3[[#This Row],[Income]]="&gt;50K",Tabela3[[#This Row],[education-num]],NA())</f>
        <v>#N/A</v>
      </c>
    </row>
    <row r="48" spans="1:20">
      <c r="A48">
        <v>47</v>
      </c>
      <c r="B48">
        <v>22</v>
      </c>
      <c r="C48" t="s">
        <v>34</v>
      </c>
      <c r="D48">
        <v>230574</v>
      </c>
      <c r="E48" t="s">
        <v>77</v>
      </c>
      <c r="F48">
        <v>6</v>
      </c>
      <c r="G48" t="s">
        <v>36</v>
      </c>
      <c r="H48" t="s">
        <v>72</v>
      </c>
      <c r="I48" t="s">
        <v>38</v>
      </c>
      <c r="J48" t="s">
        <v>39</v>
      </c>
      <c r="K48" t="s">
        <v>52</v>
      </c>
      <c r="L48">
        <v>0</v>
      </c>
      <c r="M48">
        <v>0</v>
      </c>
      <c r="N48">
        <v>25</v>
      </c>
      <c r="O48" t="s">
        <v>41</v>
      </c>
      <c r="P48" t="s">
        <v>42</v>
      </c>
      <c r="Q48">
        <f>IF(Tabela3[[#This Row],[Income]]="&lt;=50K",Tabela3[[#This Row],[Age]],NA())</f>
        <v>22</v>
      </c>
      <c r="R48">
        <f>IF(Tabela3[[#This Row],[Income]]="&lt;=50K",Tabela3[[#This Row],[education-num]],NA())</f>
        <v>6</v>
      </c>
      <c r="S48" t="e">
        <f>IF(Tabela3[[#This Row],[Income]]="&gt;50K",Tabela3[[#This Row],[Age]],NA())</f>
        <v>#N/A</v>
      </c>
      <c r="T48" t="e">
        <f>IF(Tabela3[[#This Row],[Income]]="&gt;50K",Tabela3[[#This Row],[education-num]],NA())</f>
        <v>#N/A</v>
      </c>
    </row>
    <row r="49" spans="1:20">
      <c r="A49">
        <v>48</v>
      </c>
      <c r="B49">
        <v>37</v>
      </c>
      <c r="C49" t="s">
        <v>34</v>
      </c>
      <c r="D49">
        <v>65390</v>
      </c>
      <c r="E49" t="s">
        <v>60</v>
      </c>
      <c r="F49">
        <v>13</v>
      </c>
      <c r="G49" t="s">
        <v>63</v>
      </c>
      <c r="H49" t="s">
        <v>58</v>
      </c>
      <c r="I49" t="s">
        <v>66</v>
      </c>
      <c r="J49" t="s">
        <v>39</v>
      </c>
      <c r="K49" t="s">
        <v>52</v>
      </c>
      <c r="L49">
        <v>0</v>
      </c>
      <c r="M49">
        <v>0</v>
      </c>
      <c r="N49">
        <v>50</v>
      </c>
      <c r="O49" t="s">
        <v>41</v>
      </c>
      <c r="P49" t="s">
        <v>42</v>
      </c>
      <c r="Q49">
        <f>IF(Tabela3[[#This Row],[Income]]="&lt;=50K",Tabela3[[#This Row],[Age]],NA())</f>
        <v>37</v>
      </c>
      <c r="R49">
        <f>IF(Tabela3[[#This Row],[Income]]="&lt;=50K",Tabela3[[#This Row],[education-num]],NA())</f>
        <v>13</v>
      </c>
      <c r="S49" t="e">
        <f>IF(Tabela3[[#This Row],[Income]]="&gt;50K",Tabela3[[#This Row],[Age]],NA())</f>
        <v>#N/A</v>
      </c>
      <c r="T49" t="e">
        <f>IF(Tabela3[[#This Row],[Income]]="&gt;50K",Tabela3[[#This Row],[education-num]],NA())</f>
        <v>#N/A</v>
      </c>
    </row>
    <row r="50" spans="1:20">
      <c r="A50">
        <v>49</v>
      </c>
      <c r="B50">
        <v>22</v>
      </c>
      <c r="C50" t="s">
        <v>34</v>
      </c>
      <c r="D50">
        <v>189950</v>
      </c>
      <c r="E50" t="s">
        <v>60</v>
      </c>
      <c r="F50">
        <v>13</v>
      </c>
      <c r="G50" t="s">
        <v>36</v>
      </c>
      <c r="H50" t="s">
        <v>61</v>
      </c>
      <c r="I50" t="s">
        <v>45</v>
      </c>
      <c r="J50" t="s">
        <v>39</v>
      </c>
      <c r="K50" t="s">
        <v>52</v>
      </c>
      <c r="L50">
        <v>0</v>
      </c>
      <c r="M50">
        <v>0</v>
      </c>
      <c r="N50">
        <v>55</v>
      </c>
      <c r="O50" t="s">
        <v>41</v>
      </c>
      <c r="P50" t="s">
        <v>42</v>
      </c>
      <c r="Q50">
        <f>IF(Tabela3[[#This Row],[Income]]="&lt;=50K",Tabela3[[#This Row],[Age]],NA())</f>
        <v>22</v>
      </c>
      <c r="R50">
        <f>IF(Tabela3[[#This Row],[Income]]="&lt;=50K",Tabela3[[#This Row],[education-num]],NA())</f>
        <v>13</v>
      </c>
      <c r="S50" t="e">
        <f>IF(Tabela3[[#This Row],[Income]]="&gt;50K",Tabela3[[#This Row],[Age]],NA())</f>
        <v>#N/A</v>
      </c>
      <c r="T50" t="e">
        <f>IF(Tabela3[[#This Row],[Income]]="&gt;50K",Tabela3[[#This Row],[education-num]],NA())</f>
        <v>#N/A</v>
      </c>
    </row>
    <row r="51" spans="1:20">
      <c r="A51">
        <v>50</v>
      </c>
      <c r="B51">
        <v>27</v>
      </c>
      <c r="C51" t="s">
        <v>34</v>
      </c>
      <c r="D51">
        <v>387776</v>
      </c>
      <c r="E51" t="s">
        <v>46</v>
      </c>
      <c r="F51">
        <v>10</v>
      </c>
      <c r="G51" t="s">
        <v>36</v>
      </c>
      <c r="H51" t="s">
        <v>37</v>
      </c>
      <c r="I51" t="s">
        <v>38</v>
      </c>
      <c r="J51" t="s">
        <v>39</v>
      </c>
      <c r="K51" t="s">
        <v>52</v>
      </c>
      <c r="L51">
        <v>0</v>
      </c>
      <c r="M51">
        <v>0</v>
      </c>
      <c r="N51">
        <v>40</v>
      </c>
      <c r="O51" t="s">
        <v>41</v>
      </c>
      <c r="P51" t="s">
        <v>42</v>
      </c>
      <c r="Q51">
        <f>IF(Tabela3[[#This Row],[Income]]="&lt;=50K",Tabela3[[#This Row],[Age]],NA())</f>
        <v>27</v>
      </c>
      <c r="R51">
        <f>IF(Tabela3[[#This Row],[Income]]="&lt;=50K",Tabela3[[#This Row],[education-num]],NA())</f>
        <v>10</v>
      </c>
      <c r="S51" t="e">
        <f>IF(Tabela3[[#This Row],[Income]]="&gt;50K",Tabela3[[#This Row],[Age]],NA())</f>
        <v>#N/A</v>
      </c>
      <c r="T51" t="e">
        <f>IF(Tabela3[[#This Row],[Income]]="&gt;50K",Tabela3[[#This Row],[education-num]],NA())</f>
        <v>#N/A</v>
      </c>
    </row>
    <row r="52" spans="1:20">
      <c r="A52">
        <v>51</v>
      </c>
      <c r="B52">
        <v>55</v>
      </c>
      <c r="C52" t="s">
        <v>83</v>
      </c>
      <c r="D52">
        <v>124137</v>
      </c>
      <c r="E52" t="s">
        <v>84</v>
      </c>
      <c r="F52">
        <v>15</v>
      </c>
      <c r="G52" t="s">
        <v>63</v>
      </c>
      <c r="H52" t="s">
        <v>61</v>
      </c>
      <c r="I52" t="s">
        <v>66</v>
      </c>
      <c r="J52" t="s">
        <v>39</v>
      </c>
      <c r="K52" t="s">
        <v>52</v>
      </c>
      <c r="L52">
        <v>0</v>
      </c>
      <c r="M52">
        <v>2415</v>
      </c>
      <c r="N52">
        <v>35</v>
      </c>
      <c r="O52" t="s">
        <v>85</v>
      </c>
      <c r="P52" t="s">
        <v>53</v>
      </c>
      <c r="Q52" t="e">
        <f>IF(Tabela3[[#This Row],[Income]]="&lt;=50K",Tabela3[[#This Row],[Age]],NA())</f>
        <v>#N/A</v>
      </c>
      <c r="R52" t="e">
        <f>IF(Tabela3[[#This Row],[Income]]="&lt;=50K",Tabela3[[#This Row],[education-num]],NA())</f>
        <v>#N/A</v>
      </c>
      <c r="S52">
        <f>IF(Tabela3[[#This Row],[Income]]="&gt;50K",Tabela3[[#This Row],[Age]],NA())</f>
        <v>55</v>
      </c>
      <c r="T52">
        <f>IF(Tabela3[[#This Row],[Income]]="&gt;50K",Tabela3[[#This Row],[education-num]],NA())</f>
        <v>15</v>
      </c>
    </row>
    <row r="53" spans="1:20">
      <c r="A53">
        <v>52</v>
      </c>
      <c r="B53">
        <v>39</v>
      </c>
      <c r="C53" t="s">
        <v>34</v>
      </c>
      <c r="D53">
        <v>172425</v>
      </c>
      <c r="E53" t="s">
        <v>78</v>
      </c>
      <c r="F53">
        <v>11</v>
      </c>
      <c r="G53" t="s">
        <v>63</v>
      </c>
      <c r="H53" t="s">
        <v>67</v>
      </c>
      <c r="I53" t="s">
        <v>65</v>
      </c>
      <c r="J53" t="s">
        <v>39</v>
      </c>
      <c r="K53" t="s">
        <v>40</v>
      </c>
      <c r="L53">
        <v>0</v>
      </c>
      <c r="M53">
        <v>0</v>
      </c>
      <c r="N53">
        <v>20</v>
      </c>
      <c r="O53" t="s">
        <v>41</v>
      </c>
      <c r="P53" t="s">
        <v>53</v>
      </c>
      <c r="Q53" t="e">
        <f>IF(Tabela3[[#This Row],[Income]]="&lt;=50K",Tabela3[[#This Row],[Age]],NA())</f>
        <v>#N/A</v>
      </c>
      <c r="R53" t="e">
        <f>IF(Tabela3[[#This Row],[Income]]="&lt;=50K",Tabela3[[#This Row],[education-num]],NA())</f>
        <v>#N/A</v>
      </c>
      <c r="S53">
        <f>IF(Tabela3[[#This Row],[Income]]="&gt;50K",Tabela3[[#This Row],[Age]],NA())</f>
        <v>39</v>
      </c>
      <c r="T53">
        <f>IF(Tabela3[[#This Row],[Income]]="&gt;50K",Tabela3[[#This Row],[education-num]],NA())</f>
        <v>11</v>
      </c>
    </row>
    <row r="54" spans="1:20">
      <c r="A54">
        <v>53</v>
      </c>
      <c r="B54">
        <v>53</v>
      </c>
      <c r="C54" t="s">
        <v>71</v>
      </c>
      <c r="D54">
        <v>181317</v>
      </c>
      <c r="E54" t="s">
        <v>62</v>
      </c>
      <c r="F54">
        <v>9</v>
      </c>
      <c r="G54" t="s">
        <v>63</v>
      </c>
      <c r="H54" t="s">
        <v>71</v>
      </c>
      <c r="I54" t="s">
        <v>66</v>
      </c>
      <c r="J54" t="s">
        <v>39</v>
      </c>
      <c r="K54" t="s">
        <v>52</v>
      </c>
      <c r="L54">
        <v>0</v>
      </c>
      <c r="M54">
        <v>0</v>
      </c>
      <c r="N54">
        <v>40</v>
      </c>
      <c r="O54" t="s">
        <v>41</v>
      </c>
      <c r="P54" t="s">
        <v>42</v>
      </c>
      <c r="Q54">
        <f>IF(Tabela3[[#This Row],[Income]]="&lt;=50K",Tabela3[[#This Row],[Age]],NA())</f>
        <v>53</v>
      </c>
      <c r="R54">
        <f>IF(Tabela3[[#This Row],[Income]]="&lt;=50K",Tabela3[[#This Row],[education-num]],NA())</f>
        <v>9</v>
      </c>
      <c r="S54" t="e">
        <f>IF(Tabela3[[#This Row],[Income]]="&gt;50K",Tabela3[[#This Row],[Age]],NA())</f>
        <v>#N/A</v>
      </c>
      <c r="T54" t="e">
        <f>IF(Tabela3[[#This Row],[Income]]="&gt;50K",Tabela3[[#This Row],[education-num]],NA())</f>
        <v>#N/A</v>
      </c>
    </row>
    <row r="55" spans="1:20">
      <c r="A55">
        <v>54</v>
      </c>
      <c r="B55">
        <v>24</v>
      </c>
      <c r="C55" t="s">
        <v>59</v>
      </c>
      <c r="D55">
        <v>166851</v>
      </c>
      <c r="E55" t="s">
        <v>73</v>
      </c>
      <c r="F55">
        <v>14</v>
      </c>
      <c r="G55" t="s">
        <v>36</v>
      </c>
      <c r="H55" t="s">
        <v>61</v>
      </c>
      <c r="I55" t="s">
        <v>45</v>
      </c>
      <c r="J55" t="s">
        <v>39</v>
      </c>
      <c r="K55" t="s">
        <v>52</v>
      </c>
      <c r="L55">
        <v>0</v>
      </c>
      <c r="M55">
        <v>0</v>
      </c>
      <c r="N55">
        <v>13</v>
      </c>
      <c r="O55" t="s">
        <v>41</v>
      </c>
      <c r="P55" t="s">
        <v>42</v>
      </c>
      <c r="Q55">
        <f>IF(Tabela3[[#This Row],[Income]]="&lt;=50K",Tabela3[[#This Row],[Age]],NA())</f>
        <v>24</v>
      </c>
      <c r="R55">
        <f>IF(Tabela3[[#This Row],[Income]]="&lt;=50K",Tabela3[[#This Row],[education-num]],NA())</f>
        <v>14</v>
      </c>
      <c r="S55" t="e">
        <f>IF(Tabela3[[#This Row],[Income]]="&gt;50K",Tabela3[[#This Row],[Age]],NA())</f>
        <v>#N/A</v>
      </c>
      <c r="T55" t="e">
        <f>IF(Tabela3[[#This Row],[Income]]="&gt;50K",Tabela3[[#This Row],[education-num]],NA())</f>
        <v>#N/A</v>
      </c>
    </row>
    <row r="56" spans="1:20">
      <c r="A56">
        <v>55</v>
      </c>
      <c r="B56">
        <v>24</v>
      </c>
      <c r="C56" t="s">
        <v>34</v>
      </c>
      <c r="D56">
        <v>145964</v>
      </c>
      <c r="E56" t="s">
        <v>60</v>
      </c>
      <c r="F56">
        <v>13</v>
      </c>
      <c r="G56" t="s">
        <v>36</v>
      </c>
      <c r="H56" t="s">
        <v>80</v>
      </c>
      <c r="I56" t="s">
        <v>45</v>
      </c>
      <c r="J56" t="s">
        <v>39</v>
      </c>
      <c r="K56" t="s">
        <v>52</v>
      </c>
      <c r="L56">
        <v>0</v>
      </c>
      <c r="M56">
        <v>0</v>
      </c>
      <c r="N56">
        <v>40</v>
      </c>
      <c r="O56" t="s">
        <v>41</v>
      </c>
      <c r="P56" t="s">
        <v>42</v>
      </c>
      <c r="Q56">
        <f>IF(Tabela3[[#This Row],[Income]]="&lt;=50K",Tabela3[[#This Row],[Age]],NA())</f>
        <v>24</v>
      </c>
      <c r="R56">
        <f>IF(Tabela3[[#This Row],[Income]]="&lt;=50K",Tabela3[[#This Row],[education-num]],NA())</f>
        <v>13</v>
      </c>
      <c r="S56" t="e">
        <f>IF(Tabela3[[#This Row],[Income]]="&gt;50K",Tabela3[[#This Row],[Age]],NA())</f>
        <v>#N/A</v>
      </c>
      <c r="T56" t="e">
        <f>IF(Tabela3[[#This Row],[Income]]="&gt;50K",Tabela3[[#This Row],[education-num]],NA())</f>
        <v>#N/A</v>
      </c>
    </row>
    <row r="57" spans="1:20">
      <c r="A57">
        <v>56</v>
      </c>
      <c r="B57">
        <v>21</v>
      </c>
      <c r="C57" t="s">
        <v>34</v>
      </c>
      <c r="D57">
        <v>34616</v>
      </c>
      <c r="E57" t="s">
        <v>46</v>
      </c>
      <c r="F57">
        <v>10</v>
      </c>
      <c r="G57" t="s">
        <v>36</v>
      </c>
      <c r="H57" t="s">
        <v>37</v>
      </c>
      <c r="I57" t="s">
        <v>38</v>
      </c>
      <c r="J57" t="s">
        <v>39</v>
      </c>
      <c r="K57" t="s">
        <v>40</v>
      </c>
      <c r="L57">
        <v>0</v>
      </c>
      <c r="M57">
        <v>0</v>
      </c>
      <c r="N57">
        <v>25</v>
      </c>
      <c r="O57" t="s">
        <v>41</v>
      </c>
      <c r="P57" t="s">
        <v>42</v>
      </c>
      <c r="Q57">
        <f>IF(Tabela3[[#This Row],[Income]]="&lt;=50K",Tabela3[[#This Row],[Age]],NA())</f>
        <v>21</v>
      </c>
      <c r="R57">
        <f>IF(Tabela3[[#This Row],[Income]]="&lt;=50K",Tabela3[[#This Row],[education-num]],NA())</f>
        <v>10</v>
      </c>
      <c r="S57" t="e">
        <f>IF(Tabela3[[#This Row],[Income]]="&gt;50K",Tabela3[[#This Row],[Age]],NA())</f>
        <v>#N/A</v>
      </c>
      <c r="T57" t="e">
        <f>IF(Tabela3[[#This Row],[Income]]="&gt;50K",Tabela3[[#This Row],[education-num]],NA())</f>
        <v>#N/A</v>
      </c>
    </row>
    <row r="58" spans="1:20">
      <c r="A58">
        <v>57</v>
      </c>
      <c r="B58">
        <v>30</v>
      </c>
      <c r="C58" t="s">
        <v>75</v>
      </c>
      <c r="D58">
        <v>68330</v>
      </c>
      <c r="E58" t="s">
        <v>60</v>
      </c>
      <c r="F58">
        <v>13</v>
      </c>
      <c r="G58" t="s">
        <v>36</v>
      </c>
      <c r="H58" t="s">
        <v>61</v>
      </c>
      <c r="I58" t="s">
        <v>45</v>
      </c>
      <c r="J58" t="s">
        <v>39</v>
      </c>
      <c r="K58" t="s">
        <v>52</v>
      </c>
      <c r="L58">
        <v>0</v>
      </c>
      <c r="M58">
        <v>0</v>
      </c>
      <c r="N58">
        <v>40</v>
      </c>
      <c r="O58" t="s">
        <v>41</v>
      </c>
      <c r="P58" t="s">
        <v>53</v>
      </c>
      <c r="Q58" t="e">
        <f>IF(Tabela3[[#This Row],[Income]]="&lt;=50K",Tabela3[[#This Row],[Age]],NA())</f>
        <v>#N/A</v>
      </c>
      <c r="R58" t="e">
        <f>IF(Tabela3[[#This Row],[Income]]="&lt;=50K",Tabela3[[#This Row],[education-num]],NA())</f>
        <v>#N/A</v>
      </c>
      <c r="S58">
        <f>IF(Tabela3[[#This Row],[Income]]="&gt;50K",Tabela3[[#This Row],[Age]],NA())</f>
        <v>30</v>
      </c>
      <c r="T58">
        <f>IF(Tabela3[[#This Row],[Income]]="&gt;50K",Tabela3[[#This Row],[education-num]],NA())</f>
        <v>13</v>
      </c>
    </row>
    <row r="59" spans="1:20">
      <c r="A59">
        <v>58</v>
      </c>
      <c r="B59">
        <v>58</v>
      </c>
      <c r="C59" t="s">
        <v>34</v>
      </c>
      <c r="D59">
        <v>205896</v>
      </c>
      <c r="E59" t="s">
        <v>62</v>
      </c>
      <c r="F59">
        <v>9</v>
      </c>
      <c r="G59" t="s">
        <v>49</v>
      </c>
      <c r="H59" t="s">
        <v>44</v>
      </c>
      <c r="I59" t="s">
        <v>79</v>
      </c>
      <c r="J59" t="s">
        <v>39</v>
      </c>
      <c r="K59" t="s">
        <v>40</v>
      </c>
      <c r="L59">
        <v>0</v>
      </c>
      <c r="M59">
        <v>0</v>
      </c>
      <c r="N59">
        <v>40</v>
      </c>
      <c r="O59" t="s">
        <v>41</v>
      </c>
      <c r="P59" t="s">
        <v>42</v>
      </c>
      <c r="Q59">
        <f>IF(Tabela3[[#This Row],[Income]]="&lt;=50K",Tabela3[[#This Row],[Age]],NA())</f>
        <v>58</v>
      </c>
      <c r="R59">
        <f>IF(Tabela3[[#This Row],[Income]]="&lt;=50K",Tabela3[[#This Row],[education-num]],NA())</f>
        <v>9</v>
      </c>
      <c r="S59" t="e">
        <f>IF(Tabela3[[#This Row],[Income]]="&gt;50K",Tabela3[[#This Row],[Age]],NA())</f>
        <v>#N/A</v>
      </c>
      <c r="T59" t="e">
        <f>IF(Tabela3[[#This Row],[Income]]="&gt;50K",Tabela3[[#This Row],[education-num]],NA())</f>
        <v>#N/A</v>
      </c>
    </row>
    <row r="60" spans="1:20">
      <c r="A60">
        <v>59</v>
      </c>
      <c r="B60">
        <v>41</v>
      </c>
      <c r="C60" t="s">
        <v>34</v>
      </c>
      <c r="D60">
        <v>194710</v>
      </c>
      <c r="E60" t="s">
        <v>62</v>
      </c>
      <c r="F60">
        <v>9</v>
      </c>
      <c r="G60" t="s">
        <v>36</v>
      </c>
      <c r="H60" t="s">
        <v>80</v>
      </c>
      <c r="I60" t="s">
        <v>45</v>
      </c>
      <c r="J60" t="s">
        <v>39</v>
      </c>
      <c r="K60" t="s">
        <v>40</v>
      </c>
      <c r="L60">
        <v>0</v>
      </c>
      <c r="M60">
        <v>0</v>
      </c>
      <c r="N60">
        <v>40</v>
      </c>
      <c r="O60" t="s">
        <v>41</v>
      </c>
      <c r="P60" t="s">
        <v>42</v>
      </c>
      <c r="Q60">
        <f>IF(Tabela3[[#This Row],[Income]]="&lt;=50K",Tabela3[[#This Row],[Age]],NA())</f>
        <v>41</v>
      </c>
      <c r="R60">
        <f>IF(Tabela3[[#This Row],[Income]]="&lt;=50K",Tabela3[[#This Row],[education-num]],NA())</f>
        <v>9</v>
      </c>
      <c r="S60" t="e">
        <f>IF(Tabela3[[#This Row],[Income]]="&gt;50K",Tabela3[[#This Row],[Age]],NA())</f>
        <v>#N/A</v>
      </c>
      <c r="T60" t="e">
        <f>IF(Tabela3[[#This Row],[Income]]="&gt;50K",Tabela3[[#This Row],[education-num]],NA())</f>
        <v>#N/A</v>
      </c>
    </row>
    <row r="61" spans="1:20">
      <c r="A61">
        <v>60</v>
      </c>
      <c r="B61">
        <v>17</v>
      </c>
      <c r="C61" t="s">
        <v>34</v>
      </c>
      <c r="D61">
        <v>295488</v>
      </c>
      <c r="E61" t="s">
        <v>35</v>
      </c>
      <c r="F61">
        <v>7</v>
      </c>
      <c r="G61" t="s">
        <v>36</v>
      </c>
      <c r="H61" t="s">
        <v>37</v>
      </c>
      <c r="I61" t="s">
        <v>38</v>
      </c>
      <c r="J61" t="s">
        <v>57</v>
      </c>
      <c r="K61" t="s">
        <v>40</v>
      </c>
      <c r="L61">
        <v>0</v>
      </c>
      <c r="M61">
        <v>0</v>
      </c>
      <c r="N61">
        <v>25</v>
      </c>
      <c r="O61" t="s">
        <v>41</v>
      </c>
      <c r="P61" t="s">
        <v>42</v>
      </c>
      <c r="Q61">
        <f>IF(Tabela3[[#This Row],[Income]]="&lt;=50K",Tabela3[[#This Row],[Age]],NA())</f>
        <v>17</v>
      </c>
      <c r="R61">
        <f>IF(Tabela3[[#This Row],[Income]]="&lt;=50K",Tabela3[[#This Row],[education-num]],NA())</f>
        <v>7</v>
      </c>
      <c r="S61" t="e">
        <f>IF(Tabela3[[#This Row],[Income]]="&gt;50K",Tabela3[[#This Row],[Age]],NA())</f>
        <v>#N/A</v>
      </c>
      <c r="T61" t="e">
        <f>IF(Tabela3[[#This Row],[Income]]="&gt;50K",Tabela3[[#This Row],[education-num]],NA())</f>
        <v>#N/A</v>
      </c>
    </row>
    <row r="62" spans="1:20">
      <c r="A62">
        <v>61</v>
      </c>
      <c r="B62">
        <v>31</v>
      </c>
      <c r="C62" t="s">
        <v>34</v>
      </c>
      <c r="D62">
        <v>169240</v>
      </c>
      <c r="E62" t="s">
        <v>62</v>
      </c>
      <c r="F62">
        <v>9</v>
      </c>
      <c r="G62" t="s">
        <v>36</v>
      </c>
      <c r="H62" t="s">
        <v>37</v>
      </c>
      <c r="I62" t="s">
        <v>45</v>
      </c>
      <c r="J62" t="s">
        <v>39</v>
      </c>
      <c r="K62" t="s">
        <v>40</v>
      </c>
      <c r="L62">
        <v>0</v>
      </c>
      <c r="M62">
        <v>0</v>
      </c>
      <c r="N62">
        <v>40</v>
      </c>
      <c r="O62" t="s">
        <v>41</v>
      </c>
      <c r="P62" t="s">
        <v>42</v>
      </c>
      <c r="Q62">
        <f>IF(Tabela3[[#This Row],[Income]]="&lt;=50K",Tabela3[[#This Row],[Age]],NA())</f>
        <v>31</v>
      </c>
      <c r="R62">
        <f>IF(Tabela3[[#This Row],[Income]]="&lt;=50K",Tabela3[[#This Row],[education-num]],NA())</f>
        <v>9</v>
      </c>
      <c r="S62" t="e">
        <f>IF(Tabela3[[#This Row],[Income]]="&gt;50K",Tabela3[[#This Row],[Age]],NA())</f>
        <v>#N/A</v>
      </c>
      <c r="T62" t="e">
        <f>IF(Tabela3[[#This Row],[Income]]="&gt;50K",Tabela3[[#This Row],[education-num]],NA())</f>
        <v>#N/A</v>
      </c>
    </row>
    <row r="63" spans="1:20">
      <c r="A63">
        <v>62</v>
      </c>
      <c r="B63">
        <v>48</v>
      </c>
      <c r="C63" t="s">
        <v>34</v>
      </c>
      <c r="D63">
        <v>186172</v>
      </c>
      <c r="E63" t="s">
        <v>60</v>
      </c>
      <c r="F63">
        <v>13</v>
      </c>
      <c r="G63" t="s">
        <v>63</v>
      </c>
      <c r="H63" t="s">
        <v>80</v>
      </c>
      <c r="I63" t="s">
        <v>66</v>
      </c>
      <c r="J63" t="s">
        <v>39</v>
      </c>
      <c r="K63" t="s">
        <v>52</v>
      </c>
      <c r="L63">
        <v>0</v>
      </c>
      <c r="M63">
        <v>0</v>
      </c>
      <c r="N63">
        <v>45</v>
      </c>
      <c r="O63" t="s">
        <v>41</v>
      </c>
      <c r="P63" t="s">
        <v>53</v>
      </c>
      <c r="Q63" t="e">
        <f>IF(Tabela3[[#This Row],[Income]]="&lt;=50K",Tabela3[[#This Row],[Age]],NA())</f>
        <v>#N/A</v>
      </c>
      <c r="R63" t="e">
        <f>IF(Tabela3[[#This Row],[Income]]="&lt;=50K",Tabela3[[#This Row],[education-num]],NA())</f>
        <v>#N/A</v>
      </c>
      <c r="S63">
        <f>IF(Tabela3[[#This Row],[Income]]="&gt;50K",Tabela3[[#This Row],[Age]],NA())</f>
        <v>48</v>
      </c>
      <c r="T63">
        <f>IF(Tabela3[[#This Row],[Income]]="&gt;50K",Tabela3[[#This Row],[education-num]],NA())</f>
        <v>13</v>
      </c>
    </row>
    <row r="64" spans="1:20">
      <c r="A64">
        <v>63</v>
      </c>
      <c r="B64">
        <v>42</v>
      </c>
      <c r="C64" t="s">
        <v>34</v>
      </c>
      <c r="D64">
        <v>200574</v>
      </c>
      <c r="E64" t="s">
        <v>46</v>
      </c>
      <c r="F64">
        <v>10</v>
      </c>
      <c r="G64" t="s">
        <v>63</v>
      </c>
      <c r="H64" t="s">
        <v>44</v>
      </c>
      <c r="I64" t="s">
        <v>66</v>
      </c>
      <c r="J64" t="s">
        <v>39</v>
      </c>
      <c r="K64" t="s">
        <v>52</v>
      </c>
      <c r="L64">
        <v>0</v>
      </c>
      <c r="M64">
        <v>0</v>
      </c>
      <c r="N64">
        <v>40</v>
      </c>
      <c r="O64" t="s">
        <v>41</v>
      </c>
      <c r="P64" t="s">
        <v>42</v>
      </c>
      <c r="Q64">
        <f>IF(Tabela3[[#This Row],[Income]]="&lt;=50K",Tabela3[[#This Row],[Age]],NA())</f>
        <v>42</v>
      </c>
      <c r="R64">
        <f>IF(Tabela3[[#This Row],[Income]]="&lt;=50K",Tabela3[[#This Row],[education-num]],NA())</f>
        <v>10</v>
      </c>
      <c r="S64" t="e">
        <f>IF(Tabela3[[#This Row],[Income]]="&gt;50K",Tabela3[[#This Row],[Age]],NA())</f>
        <v>#N/A</v>
      </c>
      <c r="T64" t="e">
        <f>IF(Tabela3[[#This Row],[Income]]="&gt;50K",Tabela3[[#This Row],[education-num]],NA())</f>
        <v>#N/A</v>
      </c>
    </row>
    <row r="65" spans="1:20">
      <c r="A65">
        <v>64</v>
      </c>
      <c r="B65">
        <v>26</v>
      </c>
      <c r="C65" t="s">
        <v>34</v>
      </c>
      <c r="D65">
        <v>198163</v>
      </c>
      <c r="E65" t="s">
        <v>73</v>
      </c>
      <c r="F65">
        <v>14</v>
      </c>
      <c r="G65" t="s">
        <v>63</v>
      </c>
      <c r="H65" t="s">
        <v>44</v>
      </c>
      <c r="I65" t="s">
        <v>65</v>
      </c>
      <c r="J65" t="s">
        <v>39</v>
      </c>
      <c r="K65" t="s">
        <v>40</v>
      </c>
      <c r="L65">
        <v>0</v>
      </c>
      <c r="M65">
        <v>0</v>
      </c>
      <c r="N65">
        <v>40</v>
      </c>
      <c r="O65" t="s">
        <v>41</v>
      </c>
      <c r="P65" t="s">
        <v>42</v>
      </c>
      <c r="Q65">
        <f>IF(Tabela3[[#This Row],[Income]]="&lt;=50K",Tabela3[[#This Row],[Age]],NA())</f>
        <v>26</v>
      </c>
      <c r="R65">
        <f>IF(Tabela3[[#This Row],[Income]]="&lt;=50K",Tabela3[[#This Row],[education-num]],NA())</f>
        <v>14</v>
      </c>
      <c r="S65" t="e">
        <f>IF(Tabela3[[#This Row],[Income]]="&gt;50K",Tabela3[[#This Row],[Age]],NA())</f>
        <v>#N/A</v>
      </c>
      <c r="T65" t="e">
        <f>IF(Tabela3[[#This Row],[Income]]="&gt;50K",Tabela3[[#This Row],[education-num]],NA())</f>
        <v>#N/A</v>
      </c>
    </row>
    <row r="66" spans="1:20">
      <c r="A66">
        <v>65</v>
      </c>
      <c r="B66">
        <v>33</v>
      </c>
      <c r="C66" t="s">
        <v>34</v>
      </c>
      <c r="D66">
        <v>144064</v>
      </c>
      <c r="E66" t="s">
        <v>60</v>
      </c>
      <c r="F66">
        <v>13</v>
      </c>
      <c r="G66" t="s">
        <v>63</v>
      </c>
      <c r="H66" t="s">
        <v>80</v>
      </c>
      <c r="I66" t="s">
        <v>66</v>
      </c>
      <c r="J66" t="s">
        <v>39</v>
      </c>
      <c r="K66" t="s">
        <v>52</v>
      </c>
      <c r="L66">
        <v>0</v>
      </c>
      <c r="M66">
        <v>0</v>
      </c>
      <c r="N66">
        <v>50</v>
      </c>
      <c r="O66" t="s">
        <v>41</v>
      </c>
      <c r="P66" t="s">
        <v>42</v>
      </c>
      <c r="Q66">
        <f>IF(Tabela3[[#This Row],[Income]]="&lt;=50K",Tabela3[[#This Row],[Age]],NA())</f>
        <v>33</v>
      </c>
      <c r="R66">
        <f>IF(Tabela3[[#This Row],[Income]]="&lt;=50K",Tabela3[[#This Row],[education-num]],NA())</f>
        <v>13</v>
      </c>
      <c r="S66" t="e">
        <f>IF(Tabela3[[#This Row],[Income]]="&gt;50K",Tabela3[[#This Row],[Age]],NA())</f>
        <v>#N/A</v>
      </c>
      <c r="T66" t="e">
        <f>IF(Tabela3[[#This Row],[Income]]="&gt;50K",Tabela3[[#This Row],[education-num]],NA())</f>
        <v>#N/A</v>
      </c>
    </row>
    <row r="67" spans="1:20">
      <c r="A67">
        <v>66</v>
      </c>
      <c r="B67">
        <v>40</v>
      </c>
      <c r="C67" t="s">
        <v>34</v>
      </c>
      <c r="D67">
        <v>220609</v>
      </c>
      <c r="E67" t="s">
        <v>46</v>
      </c>
      <c r="F67">
        <v>10</v>
      </c>
      <c r="G67" t="s">
        <v>49</v>
      </c>
      <c r="H67" t="s">
        <v>80</v>
      </c>
      <c r="I67" t="s">
        <v>45</v>
      </c>
      <c r="J67" t="s">
        <v>39</v>
      </c>
      <c r="K67" t="s">
        <v>40</v>
      </c>
      <c r="L67">
        <v>0</v>
      </c>
      <c r="M67">
        <v>0</v>
      </c>
      <c r="N67">
        <v>40</v>
      </c>
      <c r="O67" t="s">
        <v>41</v>
      </c>
      <c r="P67" t="s">
        <v>42</v>
      </c>
      <c r="Q67">
        <f>IF(Tabela3[[#This Row],[Income]]="&lt;=50K",Tabela3[[#This Row],[Age]],NA())</f>
        <v>40</v>
      </c>
      <c r="R67">
        <f>IF(Tabela3[[#This Row],[Income]]="&lt;=50K",Tabela3[[#This Row],[education-num]],NA())</f>
        <v>10</v>
      </c>
      <c r="S67" t="e">
        <f>IF(Tabela3[[#This Row],[Income]]="&gt;50K",Tabela3[[#This Row],[Age]],NA())</f>
        <v>#N/A</v>
      </c>
      <c r="T67" t="e">
        <f>IF(Tabela3[[#This Row],[Income]]="&gt;50K",Tabela3[[#This Row],[education-num]],NA())</f>
        <v>#N/A</v>
      </c>
    </row>
    <row r="68" spans="1:20">
      <c r="A68">
        <v>67</v>
      </c>
      <c r="B68">
        <v>51</v>
      </c>
      <c r="C68" t="s">
        <v>34</v>
      </c>
      <c r="D68">
        <v>24185</v>
      </c>
      <c r="E68" t="s">
        <v>60</v>
      </c>
      <c r="F68">
        <v>13</v>
      </c>
      <c r="G68" t="s">
        <v>63</v>
      </c>
      <c r="H68" t="s">
        <v>50</v>
      </c>
      <c r="I68" t="s">
        <v>66</v>
      </c>
      <c r="J68" t="s">
        <v>39</v>
      </c>
      <c r="K68" t="s">
        <v>52</v>
      </c>
      <c r="L68">
        <v>0</v>
      </c>
      <c r="M68">
        <v>0</v>
      </c>
      <c r="N68">
        <v>40</v>
      </c>
      <c r="O68" t="s">
        <v>41</v>
      </c>
      <c r="P68" t="s">
        <v>53</v>
      </c>
      <c r="Q68" t="e">
        <f>IF(Tabela3[[#This Row],[Income]]="&lt;=50K",Tabela3[[#This Row],[Age]],NA())</f>
        <v>#N/A</v>
      </c>
      <c r="R68" t="e">
        <f>IF(Tabela3[[#This Row],[Income]]="&lt;=50K",Tabela3[[#This Row],[education-num]],NA())</f>
        <v>#N/A</v>
      </c>
      <c r="S68">
        <f>IF(Tabela3[[#This Row],[Income]]="&gt;50K",Tabela3[[#This Row],[Age]],NA())</f>
        <v>51</v>
      </c>
      <c r="T68">
        <f>IF(Tabela3[[#This Row],[Income]]="&gt;50K",Tabela3[[#This Row],[education-num]],NA())</f>
        <v>13</v>
      </c>
    </row>
    <row r="69" spans="1:20">
      <c r="A69">
        <v>68</v>
      </c>
      <c r="B69">
        <v>35</v>
      </c>
      <c r="C69" t="s">
        <v>71</v>
      </c>
      <c r="D69">
        <v>169809</v>
      </c>
      <c r="E69" t="s">
        <v>60</v>
      </c>
      <c r="F69">
        <v>13</v>
      </c>
      <c r="G69" t="s">
        <v>63</v>
      </c>
      <c r="H69" t="s">
        <v>71</v>
      </c>
      <c r="I69" t="s">
        <v>66</v>
      </c>
      <c r="J69" t="s">
        <v>39</v>
      </c>
      <c r="K69" t="s">
        <v>52</v>
      </c>
      <c r="L69">
        <v>0</v>
      </c>
      <c r="M69">
        <v>0</v>
      </c>
      <c r="N69">
        <v>20</v>
      </c>
      <c r="O69" t="s">
        <v>41</v>
      </c>
      <c r="P69" t="s">
        <v>42</v>
      </c>
      <c r="Q69">
        <f>IF(Tabela3[[#This Row],[Income]]="&lt;=50K",Tabela3[[#This Row],[Age]],NA())</f>
        <v>35</v>
      </c>
      <c r="R69">
        <f>IF(Tabela3[[#This Row],[Income]]="&lt;=50K",Tabela3[[#This Row],[education-num]],NA())</f>
        <v>13</v>
      </c>
      <c r="S69" t="e">
        <f>IF(Tabela3[[#This Row],[Income]]="&gt;50K",Tabela3[[#This Row],[Age]],NA())</f>
        <v>#N/A</v>
      </c>
      <c r="T69" t="e">
        <f>IF(Tabela3[[#This Row],[Income]]="&gt;50K",Tabela3[[#This Row],[education-num]],NA())</f>
        <v>#N/A</v>
      </c>
    </row>
    <row r="70" spans="1:20">
      <c r="A70">
        <v>69</v>
      </c>
      <c r="B70">
        <v>44</v>
      </c>
      <c r="C70" t="s">
        <v>34</v>
      </c>
      <c r="D70">
        <v>248973</v>
      </c>
      <c r="E70" t="s">
        <v>60</v>
      </c>
      <c r="F70">
        <v>13</v>
      </c>
      <c r="G70" t="s">
        <v>49</v>
      </c>
      <c r="H70" t="s">
        <v>67</v>
      </c>
      <c r="I70" t="s">
        <v>45</v>
      </c>
      <c r="J70" t="s">
        <v>57</v>
      </c>
      <c r="K70" t="s">
        <v>52</v>
      </c>
      <c r="L70">
        <v>0</v>
      </c>
      <c r="M70">
        <v>0</v>
      </c>
      <c r="N70">
        <v>65</v>
      </c>
      <c r="O70" t="s">
        <v>41</v>
      </c>
      <c r="P70" t="s">
        <v>42</v>
      </c>
      <c r="Q70">
        <f>IF(Tabela3[[#This Row],[Income]]="&lt;=50K",Tabela3[[#This Row],[Age]],NA())</f>
        <v>44</v>
      </c>
      <c r="R70">
        <f>IF(Tabela3[[#This Row],[Income]]="&lt;=50K",Tabela3[[#This Row],[education-num]],NA())</f>
        <v>13</v>
      </c>
      <c r="S70" t="e">
        <f>IF(Tabela3[[#This Row],[Income]]="&gt;50K",Tabela3[[#This Row],[Age]],NA())</f>
        <v>#N/A</v>
      </c>
      <c r="T70" t="e">
        <f>IF(Tabela3[[#This Row],[Income]]="&gt;50K",Tabela3[[#This Row],[education-num]],NA())</f>
        <v>#N/A</v>
      </c>
    </row>
    <row r="71" spans="1:20">
      <c r="A71">
        <v>70</v>
      </c>
      <c r="B71">
        <v>58</v>
      </c>
      <c r="C71" t="s">
        <v>54</v>
      </c>
      <c r="D71">
        <v>310085</v>
      </c>
      <c r="E71" t="s">
        <v>77</v>
      </c>
      <c r="F71">
        <v>6</v>
      </c>
      <c r="G71" t="s">
        <v>63</v>
      </c>
      <c r="H71" t="s">
        <v>72</v>
      </c>
      <c r="I71" t="s">
        <v>66</v>
      </c>
      <c r="J71" t="s">
        <v>39</v>
      </c>
      <c r="K71" t="s">
        <v>52</v>
      </c>
      <c r="L71">
        <v>0</v>
      </c>
      <c r="M71">
        <v>0</v>
      </c>
      <c r="N71">
        <v>40</v>
      </c>
      <c r="O71" t="s">
        <v>41</v>
      </c>
      <c r="P71" t="s">
        <v>42</v>
      </c>
      <c r="Q71">
        <f>IF(Tabela3[[#This Row],[Income]]="&lt;=50K",Tabela3[[#This Row],[Age]],NA())</f>
        <v>58</v>
      </c>
      <c r="R71">
        <f>IF(Tabela3[[#This Row],[Income]]="&lt;=50K",Tabela3[[#This Row],[education-num]],NA())</f>
        <v>6</v>
      </c>
      <c r="S71" t="e">
        <f>IF(Tabela3[[#This Row],[Income]]="&gt;50K",Tabela3[[#This Row],[Age]],NA())</f>
        <v>#N/A</v>
      </c>
      <c r="T71" t="e">
        <f>IF(Tabela3[[#This Row],[Income]]="&gt;50K",Tabela3[[#This Row],[education-num]],NA())</f>
        <v>#N/A</v>
      </c>
    </row>
    <row r="72" spans="1:20">
      <c r="A72">
        <v>71</v>
      </c>
      <c r="B72">
        <v>73</v>
      </c>
      <c r="C72" t="s">
        <v>34</v>
      </c>
      <c r="D72">
        <v>123160</v>
      </c>
      <c r="E72" t="s">
        <v>77</v>
      </c>
      <c r="F72">
        <v>6</v>
      </c>
      <c r="G72" t="s">
        <v>81</v>
      </c>
      <c r="H72" t="s">
        <v>37</v>
      </c>
      <c r="I72" t="s">
        <v>45</v>
      </c>
      <c r="J72" t="s">
        <v>39</v>
      </c>
      <c r="K72" t="s">
        <v>40</v>
      </c>
      <c r="L72">
        <v>0</v>
      </c>
      <c r="M72">
        <v>0</v>
      </c>
      <c r="N72">
        <v>10</v>
      </c>
      <c r="O72" t="s">
        <v>41</v>
      </c>
      <c r="P72" t="s">
        <v>42</v>
      </c>
      <c r="Q72">
        <f>IF(Tabela3[[#This Row],[Income]]="&lt;=50K",Tabela3[[#This Row],[Age]],NA())</f>
        <v>73</v>
      </c>
      <c r="R72">
        <f>IF(Tabela3[[#This Row],[Income]]="&lt;=50K",Tabela3[[#This Row],[education-num]],NA())</f>
        <v>6</v>
      </c>
      <c r="S72" t="e">
        <f>IF(Tabela3[[#This Row],[Income]]="&gt;50K",Tabela3[[#This Row],[Age]],NA())</f>
        <v>#N/A</v>
      </c>
      <c r="T72" t="e">
        <f>IF(Tabela3[[#This Row],[Income]]="&gt;50K",Tabela3[[#This Row],[education-num]],NA())</f>
        <v>#N/A</v>
      </c>
    </row>
    <row r="73" spans="1:20">
      <c r="A73">
        <v>72</v>
      </c>
      <c r="B73">
        <v>36</v>
      </c>
      <c r="C73" t="s">
        <v>34</v>
      </c>
      <c r="D73">
        <v>166988</v>
      </c>
      <c r="E73" t="s">
        <v>60</v>
      </c>
      <c r="F73">
        <v>13</v>
      </c>
      <c r="G73" t="s">
        <v>63</v>
      </c>
      <c r="H73" t="s">
        <v>61</v>
      </c>
      <c r="I73" t="s">
        <v>65</v>
      </c>
      <c r="J73" t="s">
        <v>39</v>
      </c>
      <c r="K73" t="s">
        <v>40</v>
      </c>
      <c r="L73">
        <v>0</v>
      </c>
      <c r="M73">
        <v>0</v>
      </c>
      <c r="N73">
        <v>40</v>
      </c>
      <c r="O73" t="s">
        <v>41</v>
      </c>
      <c r="P73" t="s">
        <v>53</v>
      </c>
      <c r="Q73" t="e">
        <f>IF(Tabela3[[#This Row],[Income]]="&lt;=50K",Tabela3[[#This Row],[Age]],NA())</f>
        <v>#N/A</v>
      </c>
      <c r="R73" t="e">
        <f>IF(Tabela3[[#This Row],[Income]]="&lt;=50K",Tabela3[[#This Row],[education-num]],NA())</f>
        <v>#N/A</v>
      </c>
      <c r="S73">
        <f>IF(Tabela3[[#This Row],[Income]]="&gt;50K",Tabela3[[#This Row],[Age]],NA())</f>
        <v>36</v>
      </c>
      <c r="T73">
        <f>IF(Tabela3[[#This Row],[Income]]="&gt;50K",Tabela3[[#This Row],[education-num]],NA())</f>
        <v>13</v>
      </c>
    </row>
    <row r="74" spans="1:20">
      <c r="A74">
        <v>73</v>
      </c>
      <c r="B74">
        <v>23</v>
      </c>
      <c r="C74" t="s">
        <v>83</v>
      </c>
      <c r="D74">
        <v>214542</v>
      </c>
      <c r="E74" t="s">
        <v>46</v>
      </c>
      <c r="F74">
        <v>10</v>
      </c>
      <c r="G74" t="s">
        <v>36</v>
      </c>
      <c r="H74" t="s">
        <v>61</v>
      </c>
      <c r="I74" t="s">
        <v>45</v>
      </c>
      <c r="J74" t="s">
        <v>39</v>
      </c>
      <c r="K74" t="s">
        <v>52</v>
      </c>
      <c r="L74">
        <v>0</v>
      </c>
      <c r="M74">
        <v>0</v>
      </c>
      <c r="N74">
        <v>50</v>
      </c>
      <c r="O74" t="s">
        <v>41</v>
      </c>
      <c r="P74" t="s">
        <v>42</v>
      </c>
      <c r="Q74">
        <f>IF(Tabela3[[#This Row],[Income]]="&lt;=50K",Tabela3[[#This Row],[Age]],NA())</f>
        <v>23</v>
      </c>
      <c r="R74">
        <f>IF(Tabela3[[#This Row],[Income]]="&lt;=50K",Tabela3[[#This Row],[education-num]],NA())</f>
        <v>10</v>
      </c>
      <c r="S74" t="e">
        <f>IF(Tabela3[[#This Row],[Income]]="&gt;50K",Tabela3[[#This Row],[Age]],NA())</f>
        <v>#N/A</v>
      </c>
      <c r="T74" t="e">
        <f>IF(Tabela3[[#This Row],[Income]]="&gt;50K",Tabela3[[#This Row],[education-num]],NA())</f>
        <v>#N/A</v>
      </c>
    </row>
    <row r="75" spans="1:20">
      <c r="A75">
        <v>74</v>
      </c>
      <c r="B75">
        <v>59</v>
      </c>
      <c r="C75" t="s">
        <v>34</v>
      </c>
      <c r="D75">
        <v>146391</v>
      </c>
      <c r="E75" t="s">
        <v>78</v>
      </c>
      <c r="F75">
        <v>11</v>
      </c>
      <c r="G75" t="s">
        <v>63</v>
      </c>
      <c r="H75" t="s">
        <v>64</v>
      </c>
      <c r="I75" t="s">
        <v>66</v>
      </c>
      <c r="J75" t="s">
        <v>39</v>
      </c>
      <c r="K75" t="s">
        <v>52</v>
      </c>
      <c r="L75">
        <v>7298</v>
      </c>
      <c r="M75">
        <v>0</v>
      </c>
      <c r="N75">
        <v>40</v>
      </c>
      <c r="O75" t="s">
        <v>41</v>
      </c>
      <c r="P75" t="s">
        <v>53</v>
      </c>
      <c r="Q75" t="e">
        <f>IF(Tabela3[[#This Row],[Income]]="&lt;=50K",Tabela3[[#This Row],[Age]],NA())</f>
        <v>#N/A</v>
      </c>
      <c r="R75" t="e">
        <f>IF(Tabela3[[#This Row],[Income]]="&lt;=50K",Tabela3[[#This Row],[education-num]],NA())</f>
        <v>#N/A</v>
      </c>
      <c r="S75">
        <f>IF(Tabela3[[#This Row],[Income]]="&gt;50K",Tabela3[[#This Row],[Age]],NA())</f>
        <v>59</v>
      </c>
      <c r="T75">
        <f>IF(Tabela3[[#This Row],[Income]]="&gt;50K",Tabela3[[#This Row],[education-num]],NA())</f>
        <v>11</v>
      </c>
    </row>
    <row r="76" spans="1:20">
      <c r="A76">
        <v>75</v>
      </c>
      <c r="B76">
        <v>24</v>
      </c>
      <c r="C76" t="s">
        <v>34</v>
      </c>
      <c r="D76">
        <v>102493</v>
      </c>
      <c r="E76" t="s">
        <v>62</v>
      </c>
      <c r="F76">
        <v>9</v>
      </c>
      <c r="G76" t="s">
        <v>63</v>
      </c>
      <c r="H76" t="s">
        <v>68</v>
      </c>
      <c r="I76" t="s">
        <v>66</v>
      </c>
      <c r="J76" t="s">
        <v>39</v>
      </c>
      <c r="K76" t="s">
        <v>52</v>
      </c>
      <c r="L76">
        <v>0</v>
      </c>
      <c r="M76">
        <v>0</v>
      </c>
      <c r="N76">
        <v>40</v>
      </c>
      <c r="O76" t="s">
        <v>41</v>
      </c>
      <c r="P76" t="s">
        <v>42</v>
      </c>
      <c r="Q76">
        <f>IF(Tabela3[[#This Row],[Income]]="&lt;=50K",Tabela3[[#This Row],[Age]],NA())</f>
        <v>24</v>
      </c>
      <c r="R76">
        <f>IF(Tabela3[[#This Row],[Income]]="&lt;=50K",Tabela3[[#This Row],[education-num]],NA())</f>
        <v>9</v>
      </c>
      <c r="S76" t="e">
        <f>IF(Tabela3[[#This Row],[Income]]="&gt;50K",Tabela3[[#This Row],[Age]],NA())</f>
        <v>#N/A</v>
      </c>
      <c r="T76" t="e">
        <f>IF(Tabela3[[#This Row],[Income]]="&gt;50K",Tabela3[[#This Row],[education-num]],NA())</f>
        <v>#N/A</v>
      </c>
    </row>
    <row r="77" spans="1:20">
      <c r="A77">
        <v>76</v>
      </c>
      <c r="B77">
        <v>39</v>
      </c>
      <c r="C77" t="s">
        <v>71</v>
      </c>
      <c r="D77">
        <v>362685</v>
      </c>
      <c r="E77" t="s">
        <v>86</v>
      </c>
      <c r="F77">
        <v>1</v>
      </c>
      <c r="G77" t="s">
        <v>81</v>
      </c>
      <c r="H77" t="s">
        <v>71</v>
      </c>
      <c r="I77" t="s">
        <v>45</v>
      </c>
      <c r="J77" t="s">
        <v>39</v>
      </c>
      <c r="K77" t="s">
        <v>40</v>
      </c>
      <c r="L77">
        <v>0</v>
      </c>
      <c r="M77">
        <v>0</v>
      </c>
      <c r="N77">
        <v>20</v>
      </c>
      <c r="O77" t="s">
        <v>87</v>
      </c>
      <c r="P77" t="s">
        <v>42</v>
      </c>
      <c r="Q77">
        <f>IF(Tabela3[[#This Row],[Income]]="&lt;=50K",Tabela3[[#This Row],[Age]],NA())</f>
        <v>39</v>
      </c>
      <c r="R77">
        <f>IF(Tabela3[[#This Row],[Income]]="&lt;=50K",Tabela3[[#This Row],[education-num]],NA())</f>
        <v>1</v>
      </c>
      <c r="S77" t="e">
        <f>IF(Tabela3[[#This Row],[Income]]="&gt;50K",Tabela3[[#This Row],[Age]],NA())</f>
        <v>#N/A</v>
      </c>
      <c r="T77" t="e">
        <f>IF(Tabela3[[#This Row],[Income]]="&gt;50K",Tabela3[[#This Row],[education-num]],NA())</f>
        <v>#N/A</v>
      </c>
    </row>
    <row r="78" spans="1:20">
      <c r="A78">
        <v>77</v>
      </c>
      <c r="B78">
        <v>43</v>
      </c>
      <c r="C78" t="s">
        <v>34</v>
      </c>
      <c r="D78">
        <v>245842</v>
      </c>
      <c r="E78" t="s">
        <v>62</v>
      </c>
      <c r="F78">
        <v>9</v>
      </c>
      <c r="G78" t="s">
        <v>63</v>
      </c>
      <c r="H78" t="s">
        <v>56</v>
      </c>
      <c r="I78" t="s">
        <v>66</v>
      </c>
      <c r="J78" t="s">
        <v>39</v>
      </c>
      <c r="K78" t="s">
        <v>52</v>
      </c>
      <c r="L78">
        <v>0</v>
      </c>
      <c r="M78">
        <v>0</v>
      </c>
      <c r="N78">
        <v>44</v>
      </c>
      <c r="O78" t="s">
        <v>88</v>
      </c>
      <c r="P78" t="s">
        <v>42</v>
      </c>
      <c r="Q78">
        <f>IF(Tabela3[[#This Row],[Income]]="&lt;=50K",Tabela3[[#This Row],[Age]],NA())</f>
        <v>43</v>
      </c>
      <c r="R78">
        <f>IF(Tabela3[[#This Row],[Income]]="&lt;=50K",Tabela3[[#This Row],[education-num]],NA())</f>
        <v>9</v>
      </c>
      <c r="S78" t="e">
        <f>IF(Tabela3[[#This Row],[Income]]="&gt;50K",Tabela3[[#This Row],[Age]],NA())</f>
        <v>#N/A</v>
      </c>
      <c r="T78" t="e">
        <f>IF(Tabela3[[#This Row],[Income]]="&gt;50K",Tabela3[[#This Row],[education-num]],NA())</f>
        <v>#N/A</v>
      </c>
    </row>
    <row r="79" spans="1:20">
      <c r="A79">
        <v>78</v>
      </c>
      <c r="B79">
        <v>51</v>
      </c>
      <c r="C79" t="s">
        <v>34</v>
      </c>
      <c r="D79">
        <v>53197</v>
      </c>
      <c r="E79" t="s">
        <v>62</v>
      </c>
      <c r="F79">
        <v>9</v>
      </c>
      <c r="G79" t="s">
        <v>63</v>
      </c>
      <c r="H79" t="s">
        <v>50</v>
      </c>
      <c r="I79" t="s">
        <v>66</v>
      </c>
      <c r="J79" t="s">
        <v>39</v>
      </c>
      <c r="K79" t="s">
        <v>52</v>
      </c>
      <c r="L79">
        <v>0</v>
      </c>
      <c r="M79">
        <v>0</v>
      </c>
      <c r="N79">
        <v>40</v>
      </c>
      <c r="O79" t="s">
        <v>41</v>
      </c>
      <c r="P79" t="s">
        <v>42</v>
      </c>
      <c r="Q79">
        <f>IF(Tabela3[[#This Row],[Income]]="&lt;=50K",Tabela3[[#This Row],[Age]],NA())</f>
        <v>51</v>
      </c>
      <c r="R79">
        <f>IF(Tabela3[[#This Row],[Income]]="&lt;=50K",Tabela3[[#This Row],[education-num]],NA())</f>
        <v>9</v>
      </c>
      <c r="S79" t="e">
        <f>IF(Tabela3[[#This Row],[Income]]="&gt;50K",Tabela3[[#This Row],[Age]],NA())</f>
        <v>#N/A</v>
      </c>
      <c r="T79" t="e">
        <f>IF(Tabela3[[#This Row],[Income]]="&gt;50K",Tabela3[[#This Row],[education-num]],NA())</f>
        <v>#N/A</v>
      </c>
    </row>
    <row r="80" spans="1:20">
      <c r="A80">
        <v>79</v>
      </c>
      <c r="B80">
        <v>70</v>
      </c>
      <c r="C80" t="s">
        <v>34</v>
      </c>
      <c r="D80">
        <v>35494</v>
      </c>
      <c r="E80" t="s">
        <v>62</v>
      </c>
      <c r="F80">
        <v>9</v>
      </c>
      <c r="G80" t="s">
        <v>63</v>
      </c>
      <c r="H80" t="s">
        <v>80</v>
      </c>
      <c r="I80" t="s">
        <v>66</v>
      </c>
      <c r="J80" t="s">
        <v>39</v>
      </c>
      <c r="K80" t="s">
        <v>52</v>
      </c>
      <c r="L80">
        <v>0</v>
      </c>
      <c r="M80">
        <v>0</v>
      </c>
      <c r="N80">
        <v>30</v>
      </c>
      <c r="O80" t="s">
        <v>41</v>
      </c>
      <c r="P80" t="s">
        <v>42</v>
      </c>
      <c r="Q80">
        <f>IF(Tabela3[[#This Row],[Income]]="&lt;=50K",Tabela3[[#This Row],[Age]],NA())</f>
        <v>70</v>
      </c>
      <c r="R80">
        <f>IF(Tabela3[[#This Row],[Income]]="&lt;=50K",Tabela3[[#This Row],[education-num]],NA())</f>
        <v>9</v>
      </c>
      <c r="S80" t="e">
        <f>IF(Tabela3[[#This Row],[Income]]="&gt;50K",Tabela3[[#This Row],[Age]],NA())</f>
        <v>#N/A</v>
      </c>
      <c r="T80" t="e">
        <f>IF(Tabela3[[#This Row],[Income]]="&gt;50K",Tabela3[[#This Row],[education-num]],NA())</f>
        <v>#N/A</v>
      </c>
    </row>
    <row r="81" spans="1:20">
      <c r="A81">
        <v>80</v>
      </c>
      <c r="B81">
        <v>70</v>
      </c>
      <c r="C81" t="s">
        <v>34</v>
      </c>
      <c r="D81">
        <v>121993</v>
      </c>
      <c r="E81" t="s">
        <v>62</v>
      </c>
      <c r="F81">
        <v>9</v>
      </c>
      <c r="G81" t="s">
        <v>63</v>
      </c>
      <c r="H81" t="s">
        <v>67</v>
      </c>
      <c r="I81" t="s">
        <v>65</v>
      </c>
      <c r="J81" t="s">
        <v>39</v>
      </c>
      <c r="K81" t="s">
        <v>40</v>
      </c>
      <c r="L81">
        <v>0</v>
      </c>
      <c r="M81">
        <v>0</v>
      </c>
      <c r="N81">
        <v>5</v>
      </c>
      <c r="O81" t="s">
        <v>41</v>
      </c>
      <c r="P81" t="s">
        <v>42</v>
      </c>
      <c r="Q81">
        <f>IF(Tabela3[[#This Row],[Income]]="&lt;=50K",Tabela3[[#This Row],[Age]],NA())</f>
        <v>70</v>
      </c>
      <c r="R81">
        <f>IF(Tabela3[[#This Row],[Income]]="&lt;=50K",Tabela3[[#This Row],[education-num]],NA())</f>
        <v>9</v>
      </c>
      <c r="S81" t="e">
        <f>IF(Tabela3[[#This Row],[Income]]="&gt;50K",Tabela3[[#This Row],[Age]],NA())</f>
        <v>#N/A</v>
      </c>
      <c r="T81" t="e">
        <f>IF(Tabela3[[#This Row],[Income]]="&gt;50K",Tabela3[[#This Row],[education-num]],NA())</f>
        <v>#N/A</v>
      </c>
    </row>
    <row r="82" spans="1:20">
      <c r="A82">
        <v>81</v>
      </c>
      <c r="B82">
        <v>28</v>
      </c>
      <c r="C82" t="s">
        <v>54</v>
      </c>
      <c r="D82">
        <v>154863</v>
      </c>
      <c r="E82" t="s">
        <v>62</v>
      </c>
      <c r="F82">
        <v>9</v>
      </c>
      <c r="G82" t="s">
        <v>36</v>
      </c>
      <c r="H82" t="s">
        <v>89</v>
      </c>
      <c r="I82" t="s">
        <v>79</v>
      </c>
      <c r="J82" t="s">
        <v>57</v>
      </c>
      <c r="K82" t="s">
        <v>52</v>
      </c>
      <c r="L82">
        <v>0</v>
      </c>
      <c r="M82">
        <v>1876</v>
      </c>
      <c r="N82">
        <v>40</v>
      </c>
      <c r="O82" t="s">
        <v>41</v>
      </c>
      <c r="P82" t="s">
        <v>42</v>
      </c>
      <c r="Q82">
        <f>IF(Tabela3[[#This Row],[Income]]="&lt;=50K",Tabela3[[#This Row],[Age]],NA())</f>
        <v>28</v>
      </c>
      <c r="R82">
        <f>IF(Tabela3[[#This Row],[Income]]="&lt;=50K",Tabela3[[#This Row],[education-num]],NA())</f>
        <v>9</v>
      </c>
      <c r="S82" t="e">
        <f>IF(Tabela3[[#This Row],[Income]]="&gt;50K",Tabela3[[#This Row],[Age]],NA())</f>
        <v>#N/A</v>
      </c>
      <c r="T82" t="e">
        <f>IF(Tabela3[[#This Row],[Income]]="&gt;50K",Tabela3[[#This Row],[education-num]],NA())</f>
        <v>#N/A</v>
      </c>
    </row>
    <row r="83" spans="1:20">
      <c r="A83">
        <v>82</v>
      </c>
      <c r="B83">
        <v>19</v>
      </c>
      <c r="C83" t="s">
        <v>34</v>
      </c>
      <c r="D83">
        <v>38619</v>
      </c>
      <c r="E83" t="s">
        <v>46</v>
      </c>
      <c r="F83">
        <v>10</v>
      </c>
      <c r="G83" t="s">
        <v>36</v>
      </c>
      <c r="H83" t="s">
        <v>58</v>
      </c>
      <c r="I83" t="s">
        <v>38</v>
      </c>
      <c r="J83" t="s">
        <v>39</v>
      </c>
      <c r="K83" t="s">
        <v>52</v>
      </c>
      <c r="L83">
        <v>0</v>
      </c>
      <c r="M83">
        <v>0</v>
      </c>
      <c r="N83">
        <v>66</v>
      </c>
      <c r="O83" t="s">
        <v>41</v>
      </c>
      <c r="P83" t="s">
        <v>42</v>
      </c>
      <c r="Q83">
        <f>IF(Tabela3[[#This Row],[Income]]="&lt;=50K",Tabela3[[#This Row],[Age]],NA())</f>
        <v>19</v>
      </c>
      <c r="R83">
        <f>IF(Tabela3[[#This Row],[Income]]="&lt;=50K",Tabela3[[#This Row],[education-num]],NA())</f>
        <v>10</v>
      </c>
      <c r="S83" t="e">
        <f>IF(Tabela3[[#This Row],[Income]]="&gt;50K",Tabela3[[#This Row],[Age]],NA())</f>
        <v>#N/A</v>
      </c>
      <c r="T83" t="e">
        <f>IF(Tabela3[[#This Row],[Income]]="&gt;50K",Tabela3[[#This Row],[education-num]],NA())</f>
        <v>#N/A</v>
      </c>
    </row>
    <row r="84" spans="1:20">
      <c r="A84">
        <v>83</v>
      </c>
      <c r="B84">
        <v>51</v>
      </c>
      <c r="C84" t="s">
        <v>34</v>
      </c>
      <c r="D84">
        <v>186338</v>
      </c>
      <c r="E84" t="s">
        <v>62</v>
      </c>
      <c r="F84">
        <v>9</v>
      </c>
      <c r="G84" t="s">
        <v>63</v>
      </c>
      <c r="H84" t="s">
        <v>50</v>
      </c>
      <c r="I84" t="s">
        <v>66</v>
      </c>
      <c r="J84" t="s">
        <v>39</v>
      </c>
      <c r="K84" t="s">
        <v>52</v>
      </c>
      <c r="L84">
        <v>0</v>
      </c>
      <c r="M84">
        <v>0</v>
      </c>
      <c r="N84">
        <v>40</v>
      </c>
      <c r="O84" t="s">
        <v>41</v>
      </c>
      <c r="P84" t="s">
        <v>53</v>
      </c>
      <c r="Q84" t="e">
        <f>IF(Tabela3[[#This Row],[Income]]="&lt;=50K",Tabela3[[#This Row],[Age]],NA())</f>
        <v>#N/A</v>
      </c>
      <c r="R84" t="e">
        <f>IF(Tabela3[[#This Row],[Income]]="&lt;=50K",Tabela3[[#This Row],[education-num]],NA())</f>
        <v>#N/A</v>
      </c>
      <c r="S84">
        <f>IF(Tabela3[[#This Row],[Income]]="&gt;50K",Tabela3[[#This Row],[Age]],NA())</f>
        <v>51</v>
      </c>
      <c r="T84">
        <f>IF(Tabela3[[#This Row],[Income]]="&gt;50K",Tabela3[[#This Row],[education-num]],NA())</f>
        <v>9</v>
      </c>
    </row>
    <row r="85" spans="1:20">
      <c r="A85">
        <v>84</v>
      </c>
      <c r="B85">
        <v>47</v>
      </c>
      <c r="C85" t="s">
        <v>34</v>
      </c>
      <c r="D85">
        <v>76612</v>
      </c>
      <c r="E85" t="s">
        <v>62</v>
      </c>
      <c r="F85">
        <v>9</v>
      </c>
      <c r="G85" t="s">
        <v>63</v>
      </c>
      <c r="H85" t="s">
        <v>61</v>
      </c>
      <c r="I85" t="s">
        <v>66</v>
      </c>
      <c r="J85" t="s">
        <v>39</v>
      </c>
      <c r="K85" t="s">
        <v>52</v>
      </c>
      <c r="L85">
        <v>0</v>
      </c>
      <c r="M85">
        <v>0</v>
      </c>
      <c r="N85">
        <v>50</v>
      </c>
      <c r="O85" t="s">
        <v>41</v>
      </c>
      <c r="P85" t="s">
        <v>42</v>
      </c>
      <c r="Q85">
        <f>IF(Tabela3[[#This Row],[Income]]="&lt;=50K",Tabela3[[#This Row],[Age]],NA())</f>
        <v>47</v>
      </c>
      <c r="R85">
        <f>IF(Tabela3[[#This Row],[Income]]="&lt;=50K",Tabela3[[#This Row],[education-num]],NA())</f>
        <v>9</v>
      </c>
      <c r="S85" t="e">
        <f>IF(Tabela3[[#This Row],[Income]]="&gt;50K",Tabela3[[#This Row],[Age]],NA())</f>
        <v>#N/A</v>
      </c>
      <c r="T85" t="e">
        <f>IF(Tabela3[[#This Row],[Income]]="&gt;50K",Tabela3[[#This Row],[education-num]],NA())</f>
        <v>#N/A</v>
      </c>
    </row>
    <row r="86" spans="1:20">
      <c r="A86">
        <v>85</v>
      </c>
      <c r="B86">
        <v>28</v>
      </c>
      <c r="C86" t="s">
        <v>34</v>
      </c>
      <c r="D86">
        <v>210867</v>
      </c>
      <c r="E86" t="s">
        <v>35</v>
      </c>
      <c r="F86">
        <v>7</v>
      </c>
      <c r="G86" t="s">
        <v>49</v>
      </c>
      <c r="H86" t="s">
        <v>44</v>
      </c>
      <c r="I86" t="s">
        <v>38</v>
      </c>
      <c r="J86" t="s">
        <v>39</v>
      </c>
      <c r="K86" t="s">
        <v>52</v>
      </c>
      <c r="L86">
        <v>0</v>
      </c>
      <c r="M86">
        <v>0</v>
      </c>
      <c r="N86">
        <v>40</v>
      </c>
      <c r="O86" t="s">
        <v>41</v>
      </c>
      <c r="P86" t="s">
        <v>42</v>
      </c>
      <c r="Q86">
        <f>IF(Tabela3[[#This Row],[Income]]="&lt;=50K",Tabela3[[#This Row],[Age]],NA())</f>
        <v>28</v>
      </c>
      <c r="R86">
        <f>IF(Tabela3[[#This Row],[Income]]="&lt;=50K",Tabela3[[#This Row],[education-num]],NA())</f>
        <v>7</v>
      </c>
      <c r="S86" t="e">
        <f>IF(Tabela3[[#This Row],[Income]]="&gt;50K",Tabela3[[#This Row],[Age]],NA())</f>
        <v>#N/A</v>
      </c>
      <c r="T86" t="e">
        <f>IF(Tabela3[[#This Row],[Income]]="&gt;50K",Tabela3[[#This Row],[education-num]],NA())</f>
        <v>#N/A</v>
      </c>
    </row>
    <row r="87" spans="1:20">
      <c r="A87">
        <v>86</v>
      </c>
      <c r="B87">
        <v>41</v>
      </c>
      <c r="C87" t="s">
        <v>54</v>
      </c>
      <c r="D87">
        <v>52037</v>
      </c>
      <c r="E87" t="s">
        <v>46</v>
      </c>
      <c r="F87">
        <v>10</v>
      </c>
      <c r="G87" t="s">
        <v>49</v>
      </c>
      <c r="H87" t="s">
        <v>67</v>
      </c>
      <c r="I87" t="s">
        <v>69</v>
      </c>
      <c r="J87" t="s">
        <v>39</v>
      </c>
      <c r="K87" t="s">
        <v>40</v>
      </c>
      <c r="L87">
        <v>0</v>
      </c>
      <c r="M87">
        <v>0</v>
      </c>
      <c r="N87">
        <v>40</v>
      </c>
      <c r="O87" t="s">
        <v>41</v>
      </c>
      <c r="P87" t="s">
        <v>42</v>
      </c>
      <c r="Q87">
        <f>IF(Tabela3[[#This Row],[Income]]="&lt;=50K",Tabela3[[#This Row],[Age]],NA())</f>
        <v>41</v>
      </c>
      <c r="R87">
        <f>IF(Tabela3[[#This Row],[Income]]="&lt;=50K",Tabela3[[#This Row],[education-num]],NA())</f>
        <v>10</v>
      </c>
      <c r="S87" t="e">
        <f>IF(Tabela3[[#This Row],[Income]]="&gt;50K",Tabela3[[#This Row],[Age]],NA())</f>
        <v>#N/A</v>
      </c>
      <c r="T87" t="e">
        <f>IF(Tabela3[[#This Row],[Income]]="&gt;50K",Tabela3[[#This Row],[education-num]],NA())</f>
        <v>#N/A</v>
      </c>
    </row>
    <row r="88" spans="1:20">
      <c r="A88">
        <v>87</v>
      </c>
      <c r="B88">
        <v>31</v>
      </c>
      <c r="C88" t="s">
        <v>34</v>
      </c>
      <c r="D88">
        <v>45604</v>
      </c>
      <c r="E88" t="s">
        <v>62</v>
      </c>
      <c r="F88">
        <v>9</v>
      </c>
      <c r="G88" t="s">
        <v>63</v>
      </c>
      <c r="H88" t="s">
        <v>80</v>
      </c>
      <c r="I88" t="s">
        <v>66</v>
      </c>
      <c r="J88" t="s">
        <v>39</v>
      </c>
      <c r="K88" t="s">
        <v>52</v>
      </c>
      <c r="L88">
        <v>0</v>
      </c>
      <c r="M88">
        <v>0</v>
      </c>
      <c r="N88">
        <v>54</v>
      </c>
      <c r="O88" t="s">
        <v>41</v>
      </c>
      <c r="P88" t="s">
        <v>42</v>
      </c>
      <c r="Q88">
        <f>IF(Tabela3[[#This Row],[Income]]="&lt;=50K",Tabela3[[#This Row],[Age]],NA())</f>
        <v>31</v>
      </c>
      <c r="R88">
        <f>IF(Tabela3[[#This Row],[Income]]="&lt;=50K",Tabela3[[#This Row],[education-num]],NA())</f>
        <v>9</v>
      </c>
      <c r="S88" t="e">
        <f>IF(Tabela3[[#This Row],[Income]]="&gt;50K",Tabela3[[#This Row],[Age]],NA())</f>
        <v>#N/A</v>
      </c>
      <c r="T88" t="e">
        <f>IF(Tabela3[[#This Row],[Income]]="&gt;50K",Tabela3[[#This Row],[education-num]],NA())</f>
        <v>#N/A</v>
      </c>
    </row>
    <row r="89" spans="1:20">
      <c r="A89">
        <v>88</v>
      </c>
      <c r="B89">
        <v>38</v>
      </c>
      <c r="C89" t="s">
        <v>59</v>
      </c>
      <c r="D89">
        <v>31352</v>
      </c>
      <c r="E89" t="s">
        <v>46</v>
      </c>
      <c r="F89">
        <v>10</v>
      </c>
      <c r="G89" t="s">
        <v>49</v>
      </c>
      <c r="H89" t="s">
        <v>89</v>
      </c>
      <c r="I89" t="s">
        <v>69</v>
      </c>
      <c r="J89" t="s">
        <v>47</v>
      </c>
      <c r="K89" t="s">
        <v>40</v>
      </c>
      <c r="L89">
        <v>0</v>
      </c>
      <c r="M89">
        <v>0</v>
      </c>
      <c r="N89">
        <v>40</v>
      </c>
      <c r="O89" t="s">
        <v>41</v>
      </c>
      <c r="P89" t="s">
        <v>53</v>
      </c>
      <c r="Q89" t="e">
        <f>IF(Tabela3[[#This Row],[Income]]="&lt;=50K",Tabela3[[#This Row],[Age]],NA())</f>
        <v>#N/A</v>
      </c>
      <c r="R89" t="e">
        <f>IF(Tabela3[[#This Row],[Income]]="&lt;=50K",Tabela3[[#This Row],[education-num]],NA())</f>
        <v>#N/A</v>
      </c>
      <c r="S89">
        <f>IF(Tabela3[[#This Row],[Income]]="&gt;50K",Tabela3[[#This Row],[Age]],NA())</f>
        <v>38</v>
      </c>
      <c r="T89">
        <f>IF(Tabela3[[#This Row],[Income]]="&gt;50K",Tabela3[[#This Row],[education-num]],NA())</f>
        <v>10</v>
      </c>
    </row>
    <row r="90" spans="1:20">
      <c r="A90">
        <v>89</v>
      </c>
      <c r="B90">
        <v>21</v>
      </c>
      <c r="C90" t="s">
        <v>34</v>
      </c>
      <c r="D90">
        <v>452640</v>
      </c>
      <c r="E90" t="s">
        <v>62</v>
      </c>
      <c r="F90">
        <v>9</v>
      </c>
      <c r="G90" t="s">
        <v>36</v>
      </c>
      <c r="H90" t="s">
        <v>50</v>
      </c>
      <c r="I90" t="s">
        <v>45</v>
      </c>
      <c r="J90" t="s">
        <v>39</v>
      </c>
      <c r="K90" t="s">
        <v>52</v>
      </c>
      <c r="L90">
        <v>0</v>
      </c>
      <c r="M90">
        <v>0</v>
      </c>
      <c r="N90">
        <v>40</v>
      </c>
      <c r="O90" t="s">
        <v>41</v>
      </c>
      <c r="P90" t="s">
        <v>42</v>
      </c>
      <c r="Q90">
        <f>IF(Tabela3[[#This Row],[Income]]="&lt;=50K",Tabela3[[#This Row],[Age]],NA())</f>
        <v>21</v>
      </c>
      <c r="R90">
        <f>IF(Tabela3[[#This Row],[Income]]="&lt;=50K",Tabela3[[#This Row],[education-num]],NA())</f>
        <v>9</v>
      </c>
      <c r="S90" t="e">
        <f>IF(Tabela3[[#This Row],[Income]]="&gt;50K",Tabela3[[#This Row],[Age]],NA())</f>
        <v>#N/A</v>
      </c>
      <c r="T90" t="e">
        <f>IF(Tabela3[[#This Row],[Income]]="&gt;50K",Tabela3[[#This Row],[education-num]],NA())</f>
        <v>#N/A</v>
      </c>
    </row>
    <row r="91" spans="1:20">
      <c r="A91">
        <v>90</v>
      </c>
      <c r="B91">
        <v>44</v>
      </c>
      <c r="C91" t="s">
        <v>34</v>
      </c>
      <c r="D91">
        <v>111483</v>
      </c>
      <c r="E91" t="s">
        <v>62</v>
      </c>
      <c r="F91">
        <v>9</v>
      </c>
      <c r="G91" t="s">
        <v>36</v>
      </c>
      <c r="H91" t="s">
        <v>67</v>
      </c>
      <c r="I91" t="s">
        <v>38</v>
      </c>
      <c r="J91" t="s">
        <v>39</v>
      </c>
      <c r="K91" t="s">
        <v>52</v>
      </c>
      <c r="L91">
        <v>0</v>
      </c>
      <c r="M91">
        <v>1504</v>
      </c>
      <c r="N91">
        <v>50</v>
      </c>
      <c r="O91" t="s">
        <v>41</v>
      </c>
      <c r="P91" t="s">
        <v>42</v>
      </c>
      <c r="Q91">
        <f>IF(Tabela3[[#This Row],[Income]]="&lt;=50K",Tabela3[[#This Row],[Age]],NA())</f>
        <v>44</v>
      </c>
      <c r="R91">
        <f>IF(Tabela3[[#This Row],[Income]]="&lt;=50K",Tabela3[[#This Row],[education-num]],NA())</f>
        <v>9</v>
      </c>
      <c r="S91" t="e">
        <f>IF(Tabela3[[#This Row],[Income]]="&gt;50K",Tabela3[[#This Row],[Age]],NA())</f>
        <v>#N/A</v>
      </c>
      <c r="T91" t="e">
        <f>IF(Tabela3[[#This Row],[Income]]="&gt;50K",Tabela3[[#This Row],[education-num]],NA())</f>
        <v>#N/A</v>
      </c>
    </row>
    <row r="92" spans="1:20">
      <c r="A92">
        <v>91</v>
      </c>
      <c r="B92">
        <v>29</v>
      </c>
      <c r="C92" t="s">
        <v>34</v>
      </c>
      <c r="D92">
        <v>52636</v>
      </c>
      <c r="E92" t="s">
        <v>62</v>
      </c>
      <c r="F92">
        <v>9</v>
      </c>
      <c r="G92" t="s">
        <v>63</v>
      </c>
      <c r="H92" t="s">
        <v>72</v>
      </c>
      <c r="I92" t="s">
        <v>66</v>
      </c>
      <c r="J92" t="s">
        <v>39</v>
      </c>
      <c r="K92" t="s">
        <v>52</v>
      </c>
      <c r="L92">
        <v>0</v>
      </c>
      <c r="M92">
        <v>0</v>
      </c>
      <c r="N92">
        <v>40</v>
      </c>
      <c r="O92" t="s">
        <v>41</v>
      </c>
      <c r="P92" t="s">
        <v>42</v>
      </c>
      <c r="Q92">
        <f>IF(Tabela3[[#This Row],[Income]]="&lt;=50K",Tabela3[[#This Row],[Age]],NA())</f>
        <v>29</v>
      </c>
      <c r="R92">
        <f>IF(Tabela3[[#This Row],[Income]]="&lt;=50K",Tabela3[[#This Row],[education-num]],NA())</f>
        <v>9</v>
      </c>
      <c r="S92" t="e">
        <f>IF(Tabela3[[#This Row],[Income]]="&gt;50K",Tabela3[[#This Row],[Age]],NA())</f>
        <v>#N/A</v>
      </c>
      <c r="T92" t="e">
        <f>IF(Tabela3[[#This Row],[Income]]="&gt;50K",Tabela3[[#This Row],[education-num]],NA())</f>
        <v>#N/A</v>
      </c>
    </row>
    <row r="93" spans="1:20">
      <c r="A93">
        <v>92</v>
      </c>
      <c r="B93">
        <v>25</v>
      </c>
      <c r="C93" t="s">
        <v>34</v>
      </c>
      <c r="D93">
        <v>267012</v>
      </c>
      <c r="E93" t="s">
        <v>78</v>
      </c>
      <c r="F93">
        <v>11</v>
      </c>
      <c r="G93" t="s">
        <v>36</v>
      </c>
      <c r="H93" t="s">
        <v>44</v>
      </c>
      <c r="I93" t="s">
        <v>45</v>
      </c>
      <c r="J93" t="s">
        <v>39</v>
      </c>
      <c r="K93" t="s">
        <v>52</v>
      </c>
      <c r="L93">
        <v>0</v>
      </c>
      <c r="M93">
        <v>0</v>
      </c>
      <c r="N93">
        <v>45</v>
      </c>
      <c r="O93" t="s">
        <v>41</v>
      </c>
      <c r="P93" t="s">
        <v>42</v>
      </c>
      <c r="Q93">
        <f>IF(Tabela3[[#This Row],[Income]]="&lt;=50K",Tabela3[[#This Row],[Age]],NA())</f>
        <v>25</v>
      </c>
      <c r="R93">
        <f>IF(Tabela3[[#This Row],[Income]]="&lt;=50K",Tabela3[[#This Row],[education-num]],NA())</f>
        <v>11</v>
      </c>
      <c r="S93" t="e">
        <f>IF(Tabela3[[#This Row],[Income]]="&gt;50K",Tabela3[[#This Row],[Age]],NA())</f>
        <v>#N/A</v>
      </c>
      <c r="T93" t="e">
        <f>IF(Tabela3[[#This Row],[Income]]="&gt;50K",Tabela3[[#This Row],[education-num]],NA())</f>
        <v>#N/A</v>
      </c>
    </row>
    <row r="94" spans="1:20">
      <c r="A94">
        <v>93</v>
      </c>
      <c r="B94">
        <v>20</v>
      </c>
      <c r="C94" t="s">
        <v>71</v>
      </c>
      <c r="D94">
        <v>24395</v>
      </c>
      <c r="E94" t="s">
        <v>46</v>
      </c>
      <c r="F94">
        <v>10</v>
      </c>
      <c r="G94" t="s">
        <v>36</v>
      </c>
      <c r="H94" t="s">
        <v>71</v>
      </c>
      <c r="I94" t="s">
        <v>69</v>
      </c>
      <c r="J94" t="s">
        <v>39</v>
      </c>
      <c r="K94" t="s">
        <v>40</v>
      </c>
      <c r="L94">
        <v>0</v>
      </c>
      <c r="M94">
        <v>0</v>
      </c>
      <c r="N94">
        <v>20</v>
      </c>
      <c r="O94" t="s">
        <v>41</v>
      </c>
      <c r="P94" t="s">
        <v>42</v>
      </c>
      <c r="Q94">
        <f>IF(Tabela3[[#This Row],[Income]]="&lt;=50K",Tabela3[[#This Row],[Age]],NA())</f>
        <v>20</v>
      </c>
      <c r="R94">
        <f>IF(Tabela3[[#This Row],[Income]]="&lt;=50K",Tabela3[[#This Row],[education-num]],NA())</f>
        <v>10</v>
      </c>
      <c r="S94" t="e">
        <f>IF(Tabela3[[#This Row],[Income]]="&gt;50K",Tabela3[[#This Row],[Age]],NA())</f>
        <v>#N/A</v>
      </c>
      <c r="T94" t="e">
        <f>IF(Tabela3[[#This Row],[Income]]="&gt;50K",Tabela3[[#This Row],[education-num]],NA())</f>
        <v>#N/A</v>
      </c>
    </row>
    <row r="95" spans="1:20">
      <c r="A95">
        <v>94</v>
      </c>
      <c r="B95">
        <v>43</v>
      </c>
      <c r="C95" t="s">
        <v>34</v>
      </c>
      <c r="D95">
        <v>191149</v>
      </c>
      <c r="E95" t="s">
        <v>62</v>
      </c>
      <c r="F95">
        <v>9</v>
      </c>
      <c r="G95" t="s">
        <v>49</v>
      </c>
      <c r="H95" t="s">
        <v>80</v>
      </c>
      <c r="I95" t="s">
        <v>45</v>
      </c>
      <c r="J95" t="s">
        <v>39</v>
      </c>
      <c r="K95" t="s">
        <v>40</v>
      </c>
      <c r="L95">
        <v>0</v>
      </c>
      <c r="M95">
        <v>0</v>
      </c>
      <c r="N95">
        <v>40</v>
      </c>
      <c r="O95" t="s">
        <v>41</v>
      </c>
      <c r="P95" t="s">
        <v>42</v>
      </c>
      <c r="Q95">
        <f>IF(Tabela3[[#This Row],[Income]]="&lt;=50K",Tabela3[[#This Row],[Age]],NA())</f>
        <v>43</v>
      </c>
      <c r="R95">
        <f>IF(Tabela3[[#This Row],[Income]]="&lt;=50K",Tabela3[[#This Row],[education-num]],NA())</f>
        <v>9</v>
      </c>
      <c r="S95" t="e">
        <f>IF(Tabela3[[#This Row],[Income]]="&gt;50K",Tabela3[[#This Row],[Age]],NA())</f>
        <v>#N/A</v>
      </c>
      <c r="T95" t="e">
        <f>IF(Tabela3[[#This Row],[Income]]="&gt;50K",Tabela3[[#This Row],[education-num]],NA())</f>
        <v>#N/A</v>
      </c>
    </row>
    <row r="96" spans="1:20">
      <c r="A96">
        <v>95</v>
      </c>
      <c r="B96">
        <v>27</v>
      </c>
      <c r="C96" t="s">
        <v>75</v>
      </c>
      <c r="D96">
        <v>285432</v>
      </c>
      <c r="E96" t="s">
        <v>43</v>
      </c>
      <c r="F96">
        <v>12</v>
      </c>
      <c r="G96" t="s">
        <v>36</v>
      </c>
      <c r="H96" t="s">
        <v>72</v>
      </c>
      <c r="I96" t="s">
        <v>45</v>
      </c>
      <c r="J96" t="s">
        <v>57</v>
      </c>
      <c r="K96" t="s">
        <v>52</v>
      </c>
      <c r="L96">
        <v>0</v>
      </c>
      <c r="M96">
        <v>0</v>
      </c>
      <c r="N96">
        <v>40</v>
      </c>
      <c r="O96" t="s">
        <v>41</v>
      </c>
      <c r="P96" t="s">
        <v>42</v>
      </c>
      <c r="Q96">
        <f>IF(Tabela3[[#This Row],[Income]]="&lt;=50K",Tabela3[[#This Row],[Age]],NA())</f>
        <v>27</v>
      </c>
      <c r="R96">
        <f>IF(Tabela3[[#This Row],[Income]]="&lt;=50K",Tabela3[[#This Row],[education-num]],NA())</f>
        <v>12</v>
      </c>
      <c r="S96" t="e">
        <f>IF(Tabela3[[#This Row],[Income]]="&gt;50K",Tabela3[[#This Row],[Age]],NA())</f>
        <v>#N/A</v>
      </c>
      <c r="T96" t="e">
        <f>IF(Tabela3[[#This Row],[Income]]="&gt;50K",Tabela3[[#This Row],[education-num]],NA())</f>
        <v>#N/A</v>
      </c>
    </row>
    <row r="97" spans="1:20">
      <c r="A97">
        <v>96</v>
      </c>
      <c r="B97">
        <v>32</v>
      </c>
      <c r="C97" t="s">
        <v>75</v>
      </c>
      <c r="D97">
        <v>125856</v>
      </c>
      <c r="E97" t="s">
        <v>62</v>
      </c>
      <c r="F97">
        <v>9</v>
      </c>
      <c r="G97" t="s">
        <v>49</v>
      </c>
      <c r="H97" t="s">
        <v>50</v>
      </c>
      <c r="I97" t="s">
        <v>69</v>
      </c>
      <c r="J97" t="s">
        <v>39</v>
      </c>
      <c r="K97" t="s">
        <v>52</v>
      </c>
      <c r="L97">
        <v>0</v>
      </c>
      <c r="M97">
        <v>0</v>
      </c>
      <c r="N97">
        <v>40</v>
      </c>
      <c r="O97" t="s">
        <v>41</v>
      </c>
      <c r="P97" t="s">
        <v>42</v>
      </c>
      <c r="Q97">
        <f>IF(Tabela3[[#This Row],[Income]]="&lt;=50K",Tabela3[[#This Row],[Age]],NA())</f>
        <v>32</v>
      </c>
      <c r="R97">
        <f>IF(Tabela3[[#This Row],[Income]]="&lt;=50K",Tabela3[[#This Row],[education-num]],NA())</f>
        <v>9</v>
      </c>
      <c r="S97" t="e">
        <f>IF(Tabela3[[#This Row],[Income]]="&gt;50K",Tabela3[[#This Row],[Age]],NA())</f>
        <v>#N/A</v>
      </c>
      <c r="T97" t="e">
        <f>IF(Tabela3[[#This Row],[Income]]="&gt;50K",Tabela3[[#This Row],[education-num]],NA())</f>
        <v>#N/A</v>
      </c>
    </row>
    <row r="98" spans="1:20">
      <c r="A98">
        <v>97</v>
      </c>
      <c r="B98">
        <v>29</v>
      </c>
      <c r="C98" t="s">
        <v>34</v>
      </c>
      <c r="D98">
        <v>114224</v>
      </c>
      <c r="E98" t="s">
        <v>60</v>
      </c>
      <c r="F98">
        <v>13</v>
      </c>
      <c r="G98" t="s">
        <v>63</v>
      </c>
      <c r="H98" t="s">
        <v>61</v>
      </c>
      <c r="I98" t="s">
        <v>66</v>
      </c>
      <c r="J98" t="s">
        <v>39</v>
      </c>
      <c r="K98" t="s">
        <v>52</v>
      </c>
      <c r="L98">
        <v>0</v>
      </c>
      <c r="M98">
        <v>0</v>
      </c>
      <c r="N98">
        <v>40</v>
      </c>
      <c r="O98" t="s">
        <v>41</v>
      </c>
      <c r="P98" t="s">
        <v>53</v>
      </c>
      <c r="Q98" t="e">
        <f>IF(Tabela3[[#This Row],[Income]]="&lt;=50K",Tabela3[[#This Row],[Age]],NA())</f>
        <v>#N/A</v>
      </c>
      <c r="R98" t="e">
        <f>IF(Tabela3[[#This Row],[Income]]="&lt;=50K",Tabela3[[#This Row],[education-num]],NA())</f>
        <v>#N/A</v>
      </c>
      <c r="S98">
        <f>IF(Tabela3[[#This Row],[Income]]="&gt;50K",Tabela3[[#This Row],[Age]],NA())</f>
        <v>29</v>
      </c>
      <c r="T98">
        <f>IF(Tabela3[[#This Row],[Income]]="&gt;50K",Tabela3[[#This Row],[education-num]],NA())</f>
        <v>13</v>
      </c>
    </row>
    <row r="99" spans="1:20">
      <c r="A99">
        <v>98</v>
      </c>
      <c r="B99">
        <v>34</v>
      </c>
      <c r="C99" t="s">
        <v>83</v>
      </c>
      <c r="D99">
        <v>207668</v>
      </c>
      <c r="E99" t="s">
        <v>62</v>
      </c>
      <c r="F99">
        <v>9</v>
      </c>
      <c r="G99" t="s">
        <v>63</v>
      </c>
      <c r="H99" t="s">
        <v>50</v>
      </c>
      <c r="I99" t="s">
        <v>66</v>
      </c>
      <c r="J99" t="s">
        <v>39</v>
      </c>
      <c r="K99" t="s">
        <v>52</v>
      </c>
      <c r="L99">
        <v>0</v>
      </c>
      <c r="M99">
        <v>0</v>
      </c>
      <c r="N99">
        <v>54</v>
      </c>
      <c r="O99" t="s">
        <v>71</v>
      </c>
      <c r="P99" t="s">
        <v>53</v>
      </c>
      <c r="Q99" t="e">
        <f>IF(Tabela3[[#This Row],[Income]]="&lt;=50K",Tabela3[[#This Row],[Age]],NA())</f>
        <v>#N/A</v>
      </c>
      <c r="R99" t="e">
        <f>IF(Tabela3[[#This Row],[Income]]="&lt;=50K",Tabela3[[#This Row],[education-num]],NA())</f>
        <v>#N/A</v>
      </c>
      <c r="S99">
        <f>IF(Tabela3[[#This Row],[Income]]="&gt;50K",Tabela3[[#This Row],[Age]],NA())</f>
        <v>34</v>
      </c>
      <c r="T99">
        <f>IF(Tabela3[[#This Row],[Income]]="&gt;50K",Tabela3[[#This Row],[education-num]],NA())</f>
        <v>9</v>
      </c>
    </row>
    <row r="100" spans="1:20">
      <c r="A100">
        <v>99</v>
      </c>
      <c r="B100">
        <v>42</v>
      </c>
      <c r="C100" t="s">
        <v>74</v>
      </c>
      <c r="D100">
        <v>174216</v>
      </c>
      <c r="E100" t="s">
        <v>84</v>
      </c>
      <c r="F100">
        <v>15</v>
      </c>
      <c r="G100" t="s">
        <v>63</v>
      </c>
      <c r="H100" t="s">
        <v>61</v>
      </c>
      <c r="I100" t="s">
        <v>66</v>
      </c>
      <c r="J100" t="s">
        <v>39</v>
      </c>
      <c r="K100" t="s">
        <v>52</v>
      </c>
      <c r="L100">
        <v>0</v>
      </c>
      <c r="M100">
        <v>0</v>
      </c>
      <c r="N100">
        <v>38</v>
      </c>
      <c r="O100" t="s">
        <v>41</v>
      </c>
      <c r="P100" t="s">
        <v>53</v>
      </c>
      <c r="Q100" t="e">
        <f>IF(Tabela3[[#This Row],[Income]]="&lt;=50K",Tabela3[[#This Row],[Age]],NA())</f>
        <v>#N/A</v>
      </c>
      <c r="R100" t="e">
        <f>IF(Tabela3[[#This Row],[Income]]="&lt;=50K",Tabela3[[#This Row],[education-num]],NA())</f>
        <v>#N/A</v>
      </c>
      <c r="S100">
        <f>IF(Tabela3[[#This Row],[Income]]="&gt;50K",Tabela3[[#This Row],[Age]],NA())</f>
        <v>42</v>
      </c>
      <c r="T100">
        <f>IF(Tabela3[[#This Row],[Income]]="&gt;50K",Tabela3[[#This Row],[education-num]],NA())</f>
        <v>15</v>
      </c>
    </row>
    <row r="101" spans="1:20">
      <c r="A101">
        <v>100</v>
      </c>
      <c r="B101">
        <v>39</v>
      </c>
      <c r="C101" t="s">
        <v>34</v>
      </c>
      <c r="D101">
        <v>172538</v>
      </c>
      <c r="E101" t="s">
        <v>62</v>
      </c>
      <c r="F101">
        <v>9</v>
      </c>
      <c r="G101" t="s">
        <v>63</v>
      </c>
      <c r="H101" t="s">
        <v>61</v>
      </c>
      <c r="I101" t="s">
        <v>66</v>
      </c>
      <c r="J101" t="s">
        <v>39</v>
      </c>
      <c r="K101" t="s">
        <v>52</v>
      </c>
      <c r="L101">
        <v>0</v>
      </c>
      <c r="M101">
        <v>0</v>
      </c>
      <c r="N101">
        <v>50</v>
      </c>
      <c r="O101" t="s">
        <v>41</v>
      </c>
      <c r="P101" t="s">
        <v>53</v>
      </c>
      <c r="Q101" t="e">
        <f>IF(Tabela3[[#This Row],[Income]]="&lt;=50K",Tabela3[[#This Row],[Age]],NA())</f>
        <v>#N/A</v>
      </c>
      <c r="R101" t="e">
        <f>IF(Tabela3[[#This Row],[Income]]="&lt;=50K",Tabela3[[#This Row],[education-num]],NA())</f>
        <v>#N/A</v>
      </c>
      <c r="S101">
        <f>IF(Tabela3[[#This Row],[Income]]="&gt;50K",Tabela3[[#This Row],[Age]],NA())</f>
        <v>39</v>
      </c>
      <c r="T101">
        <f>IF(Tabela3[[#This Row],[Income]]="&gt;50K",Tabela3[[#This Row],[education-num]],NA())</f>
        <v>9</v>
      </c>
    </row>
    <row r="102" spans="1:20">
      <c r="A102">
        <v>101</v>
      </c>
      <c r="B102">
        <v>42</v>
      </c>
      <c r="C102" t="s">
        <v>59</v>
      </c>
      <c r="D102">
        <v>55764</v>
      </c>
      <c r="E102" t="s">
        <v>43</v>
      </c>
      <c r="F102">
        <v>12</v>
      </c>
      <c r="G102" t="s">
        <v>49</v>
      </c>
      <c r="H102" t="s">
        <v>61</v>
      </c>
      <c r="I102" t="s">
        <v>45</v>
      </c>
      <c r="J102" t="s">
        <v>57</v>
      </c>
      <c r="K102" t="s">
        <v>52</v>
      </c>
      <c r="L102">
        <v>0</v>
      </c>
      <c r="M102">
        <v>0</v>
      </c>
      <c r="N102">
        <v>40</v>
      </c>
      <c r="O102" t="s">
        <v>41</v>
      </c>
      <c r="P102" t="s">
        <v>42</v>
      </c>
      <c r="Q102">
        <f>IF(Tabela3[[#This Row],[Income]]="&lt;=50K",Tabela3[[#This Row],[Age]],NA())</f>
        <v>42</v>
      </c>
      <c r="R102">
        <f>IF(Tabela3[[#This Row],[Income]]="&lt;=50K",Tabela3[[#This Row],[education-num]],NA())</f>
        <v>12</v>
      </c>
      <c r="S102" t="e">
        <f>IF(Tabela3[[#This Row],[Income]]="&gt;50K",Tabela3[[#This Row],[Age]],NA())</f>
        <v>#N/A</v>
      </c>
      <c r="T102" t="e">
        <f>IF(Tabela3[[#This Row],[Income]]="&gt;50K",Tabela3[[#This Row],[education-num]],NA())</f>
        <v>#N/A</v>
      </c>
    </row>
    <row r="103" spans="1:20">
      <c r="A103">
        <v>102</v>
      </c>
      <c r="B103">
        <v>25</v>
      </c>
      <c r="C103" t="s">
        <v>34</v>
      </c>
      <c r="D103">
        <v>252752</v>
      </c>
      <c r="E103" t="s">
        <v>46</v>
      </c>
      <c r="F103">
        <v>10</v>
      </c>
      <c r="G103" t="s">
        <v>36</v>
      </c>
      <c r="H103" t="s">
        <v>61</v>
      </c>
      <c r="I103" t="s">
        <v>45</v>
      </c>
      <c r="J103" t="s">
        <v>39</v>
      </c>
      <c r="K103" t="s">
        <v>40</v>
      </c>
      <c r="L103">
        <v>0</v>
      </c>
      <c r="M103">
        <v>0</v>
      </c>
      <c r="N103">
        <v>8</v>
      </c>
      <c r="O103" t="s">
        <v>41</v>
      </c>
      <c r="P103" t="s">
        <v>42</v>
      </c>
      <c r="Q103">
        <f>IF(Tabela3[[#This Row],[Income]]="&lt;=50K",Tabela3[[#This Row],[Age]],NA())</f>
        <v>25</v>
      </c>
      <c r="R103">
        <f>IF(Tabela3[[#This Row],[Income]]="&lt;=50K",Tabela3[[#This Row],[education-num]],NA())</f>
        <v>10</v>
      </c>
      <c r="S103" t="e">
        <f>IF(Tabela3[[#This Row],[Income]]="&gt;50K",Tabela3[[#This Row],[Age]],NA())</f>
        <v>#N/A</v>
      </c>
      <c r="T103" t="e">
        <f>IF(Tabela3[[#This Row],[Income]]="&gt;50K",Tabela3[[#This Row],[education-num]],NA())</f>
        <v>#N/A</v>
      </c>
    </row>
    <row r="104" spans="1:20">
      <c r="A104">
        <v>103</v>
      </c>
      <c r="B104">
        <v>52</v>
      </c>
      <c r="C104" t="s">
        <v>34</v>
      </c>
      <c r="D104">
        <v>270142</v>
      </c>
      <c r="E104" t="s">
        <v>78</v>
      </c>
      <c r="F104">
        <v>11</v>
      </c>
      <c r="G104" t="s">
        <v>55</v>
      </c>
      <c r="H104" t="s">
        <v>80</v>
      </c>
      <c r="I104" t="s">
        <v>69</v>
      </c>
      <c r="J104" t="s">
        <v>57</v>
      </c>
      <c r="K104" t="s">
        <v>40</v>
      </c>
      <c r="L104">
        <v>0</v>
      </c>
      <c r="M104">
        <v>0</v>
      </c>
      <c r="N104">
        <v>60</v>
      </c>
      <c r="O104" t="s">
        <v>41</v>
      </c>
      <c r="P104" t="s">
        <v>42</v>
      </c>
      <c r="Q104">
        <f>IF(Tabela3[[#This Row],[Income]]="&lt;=50K",Tabela3[[#This Row],[Age]],NA())</f>
        <v>52</v>
      </c>
      <c r="R104">
        <f>IF(Tabela3[[#This Row],[Income]]="&lt;=50K",Tabela3[[#This Row],[education-num]],NA())</f>
        <v>11</v>
      </c>
      <c r="S104" t="e">
        <f>IF(Tabela3[[#This Row],[Income]]="&gt;50K",Tabela3[[#This Row],[Age]],NA())</f>
        <v>#N/A</v>
      </c>
      <c r="T104" t="e">
        <f>IF(Tabela3[[#This Row],[Income]]="&gt;50K",Tabela3[[#This Row],[education-num]],NA())</f>
        <v>#N/A</v>
      </c>
    </row>
    <row r="105" spans="1:20">
      <c r="A105">
        <v>104</v>
      </c>
      <c r="B105">
        <v>26</v>
      </c>
      <c r="C105" t="s">
        <v>34</v>
      </c>
      <c r="D105">
        <v>132661</v>
      </c>
      <c r="E105" t="s">
        <v>62</v>
      </c>
      <c r="F105">
        <v>9</v>
      </c>
      <c r="G105" t="s">
        <v>63</v>
      </c>
      <c r="H105" t="s">
        <v>80</v>
      </c>
      <c r="I105" t="s">
        <v>65</v>
      </c>
      <c r="J105" t="s">
        <v>39</v>
      </c>
      <c r="K105" t="s">
        <v>40</v>
      </c>
      <c r="L105">
        <v>5013</v>
      </c>
      <c r="M105">
        <v>0</v>
      </c>
      <c r="N105">
        <v>40</v>
      </c>
      <c r="O105" t="s">
        <v>41</v>
      </c>
      <c r="P105" t="s">
        <v>42</v>
      </c>
      <c r="Q105">
        <f>IF(Tabela3[[#This Row],[Income]]="&lt;=50K",Tabela3[[#This Row],[Age]],NA())</f>
        <v>26</v>
      </c>
      <c r="R105">
        <f>IF(Tabela3[[#This Row],[Income]]="&lt;=50K",Tabela3[[#This Row],[education-num]],NA())</f>
        <v>9</v>
      </c>
      <c r="S105" t="e">
        <f>IF(Tabela3[[#This Row],[Income]]="&gt;50K",Tabela3[[#This Row],[Age]],NA())</f>
        <v>#N/A</v>
      </c>
      <c r="T105" t="e">
        <f>IF(Tabela3[[#This Row],[Income]]="&gt;50K",Tabela3[[#This Row],[education-num]],NA())</f>
        <v>#N/A</v>
      </c>
    </row>
    <row r="106" spans="1:20">
      <c r="A106">
        <v>105</v>
      </c>
      <c r="B106">
        <v>57</v>
      </c>
      <c r="C106" t="s">
        <v>54</v>
      </c>
      <c r="D106">
        <v>44273</v>
      </c>
      <c r="E106" t="s">
        <v>62</v>
      </c>
      <c r="F106">
        <v>9</v>
      </c>
      <c r="G106" t="s">
        <v>81</v>
      </c>
      <c r="H106" t="s">
        <v>72</v>
      </c>
      <c r="I106" t="s">
        <v>45</v>
      </c>
      <c r="J106" t="s">
        <v>39</v>
      </c>
      <c r="K106" t="s">
        <v>40</v>
      </c>
      <c r="L106">
        <v>0</v>
      </c>
      <c r="M106">
        <v>0</v>
      </c>
      <c r="N106">
        <v>40</v>
      </c>
      <c r="O106" t="s">
        <v>41</v>
      </c>
      <c r="P106" t="s">
        <v>42</v>
      </c>
      <c r="Q106">
        <f>IF(Tabela3[[#This Row],[Income]]="&lt;=50K",Tabela3[[#This Row],[Age]],NA())</f>
        <v>57</v>
      </c>
      <c r="R106">
        <f>IF(Tabela3[[#This Row],[Income]]="&lt;=50K",Tabela3[[#This Row],[education-num]],NA())</f>
        <v>9</v>
      </c>
      <c r="S106" t="e">
        <f>IF(Tabela3[[#This Row],[Income]]="&gt;50K",Tabela3[[#This Row],[Age]],NA())</f>
        <v>#N/A</v>
      </c>
      <c r="T106" t="e">
        <f>IF(Tabela3[[#This Row],[Income]]="&gt;50K",Tabela3[[#This Row],[education-num]],NA())</f>
        <v>#N/A</v>
      </c>
    </row>
    <row r="107" spans="1:20">
      <c r="A107">
        <v>106</v>
      </c>
      <c r="B107">
        <v>28</v>
      </c>
      <c r="C107" t="s">
        <v>34</v>
      </c>
      <c r="D107">
        <v>56179</v>
      </c>
      <c r="E107" t="s">
        <v>46</v>
      </c>
      <c r="F107">
        <v>10</v>
      </c>
      <c r="G107" t="s">
        <v>36</v>
      </c>
      <c r="H107" t="s">
        <v>80</v>
      </c>
      <c r="I107" t="s">
        <v>45</v>
      </c>
      <c r="J107" t="s">
        <v>39</v>
      </c>
      <c r="K107" t="s">
        <v>52</v>
      </c>
      <c r="L107">
        <v>2174</v>
      </c>
      <c r="M107">
        <v>0</v>
      </c>
      <c r="N107">
        <v>55</v>
      </c>
      <c r="O107" t="s">
        <v>41</v>
      </c>
      <c r="P107" t="s">
        <v>42</v>
      </c>
      <c r="Q107">
        <f>IF(Tabela3[[#This Row],[Income]]="&lt;=50K",Tabela3[[#This Row],[Age]],NA())</f>
        <v>28</v>
      </c>
      <c r="R107">
        <f>IF(Tabela3[[#This Row],[Income]]="&lt;=50K",Tabela3[[#This Row],[education-num]],NA())</f>
        <v>10</v>
      </c>
      <c r="S107" t="e">
        <f>IF(Tabela3[[#This Row],[Income]]="&gt;50K",Tabela3[[#This Row],[Age]],NA())</f>
        <v>#N/A</v>
      </c>
      <c r="T107" t="e">
        <f>IF(Tabela3[[#This Row],[Income]]="&gt;50K",Tabela3[[#This Row],[education-num]],NA())</f>
        <v>#N/A</v>
      </c>
    </row>
    <row r="108" spans="1:20">
      <c r="A108">
        <v>107</v>
      </c>
      <c r="B108">
        <v>28</v>
      </c>
      <c r="C108" t="s">
        <v>34</v>
      </c>
      <c r="D108">
        <v>149734</v>
      </c>
      <c r="E108" t="s">
        <v>62</v>
      </c>
      <c r="F108">
        <v>9</v>
      </c>
      <c r="G108" t="s">
        <v>36</v>
      </c>
      <c r="H108" t="s">
        <v>37</v>
      </c>
      <c r="I108" t="s">
        <v>69</v>
      </c>
      <c r="J108" t="s">
        <v>57</v>
      </c>
      <c r="K108" t="s">
        <v>40</v>
      </c>
      <c r="L108">
        <v>0</v>
      </c>
      <c r="M108">
        <v>0</v>
      </c>
      <c r="N108">
        <v>52</v>
      </c>
      <c r="O108" t="s">
        <v>41</v>
      </c>
      <c r="P108" t="s">
        <v>42</v>
      </c>
      <c r="Q108">
        <f>IF(Tabela3[[#This Row],[Income]]="&lt;=50K",Tabela3[[#This Row],[Age]],NA())</f>
        <v>28</v>
      </c>
      <c r="R108">
        <f>IF(Tabela3[[#This Row],[Income]]="&lt;=50K",Tabela3[[#This Row],[education-num]],NA())</f>
        <v>9</v>
      </c>
      <c r="S108" t="e">
        <f>IF(Tabela3[[#This Row],[Income]]="&gt;50K",Tabela3[[#This Row],[Age]],NA())</f>
        <v>#N/A</v>
      </c>
      <c r="T108" t="e">
        <f>IF(Tabela3[[#This Row],[Income]]="&gt;50K",Tabela3[[#This Row],[education-num]],NA())</f>
        <v>#N/A</v>
      </c>
    </row>
    <row r="109" spans="1:20">
      <c r="A109">
        <v>108</v>
      </c>
      <c r="B109">
        <v>59</v>
      </c>
      <c r="C109" t="s">
        <v>34</v>
      </c>
      <c r="D109">
        <v>194290</v>
      </c>
      <c r="E109" t="s">
        <v>62</v>
      </c>
      <c r="F109">
        <v>9</v>
      </c>
      <c r="G109" t="s">
        <v>63</v>
      </c>
      <c r="H109" t="s">
        <v>58</v>
      </c>
      <c r="I109" t="s">
        <v>66</v>
      </c>
      <c r="J109" t="s">
        <v>39</v>
      </c>
      <c r="K109" t="s">
        <v>52</v>
      </c>
      <c r="L109">
        <v>0</v>
      </c>
      <c r="M109">
        <v>0</v>
      </c>
      <c r="N109">
        <v>48</v>
      </c>
      <c r="O109" t="s">
        <v>41</v>
      </c>
      <c r="P109" t="s">
        <v>42</v>
      </c>
      <c r="Q109">
        <f>IF(Tabela3[[#This Row],[Income]]="&lt;=50K",Tabela3[[#This Row],[Age]],NA())</f>
        <v>59</v>
      </c>
      <c r="R109">
        <f>IF(Tabela3[[#This Row],[Income]]="&lt;=50K",Tabela3[[#This Row],[education-num]],NA())</f>
        <v>9</v>
      </c>
      <c r="S109" t="e">
        <f>IF(Tabela3[[#This Row],[Income]]="&gt;50K",Tabela3[[#This Row],[Age]],NA())</f>
        <v>#N/A</v>
      </c>
      <c r="T109" t="e">
        <f>IF(Tabela3[[#This Row],[Income]]="&gt;50K",Tabela3[[#This Row],[education-num]],NA())</f>
        <v>#N/A</v>
      </c>
    </row>
    <row r="110" spans="1:20">
      <c r="A110">
        <v>109</v>
      </c>
      <c r="B110">
        <v>61</v>
      </c>
      <c r="C110" t="s">
        <v>71</v>
      </c>
      <c r="D110">
        <v>226989</v>
      </c>
      <c r="E110" t="s">
        <v>46</v>
      </c>
      <c r="F110">
        <v>10</v>
      </c>
      <c r="G110" t="s">
        <v>90</v>
      </c>
      <c r="H110" t="s">
        <v>71</v>
      </c>
      <c r="I110" t="s">
        <v>45</v>
      </c>
      <c r="J110" t="s">
        <v>39</v>
      </c>
      <c r="K110" t="s">
        <v>52</v>
      </c>
      <c r="L110">
        <v>0</v>
      </c>
      <c r="M110">
        <v>0</v>
      </c>
      <c r="N110">
        <v>40</v>
      </c>
      <c r="O110" t="s">
        <v>41</v>
      </c>
      <c r="P110" t="s">
        <v>42</v>
      </c>
      <c r="Q110">
        <f>IF(Tabela3[[#This Row],[Income]]="&lt;=50K",Tabela3[[#This Row],[Age]],NA())</f>
        <v>61</v>
      </c>
      <c r="R110">
        <f>IF(Tabela3[[#This Row],[Income]]="&lt;=50K",Tabela3[[#This Row],[education-num]],NA())</f>
        <v>10</v>
      </c>
      <c r="S110" t="e">
        <f>IF(Tabela3[[#This Row],[Income]]="&gt;50K",Tabela3[[#This Row],[Age]],NA())</f>
        <v>#N/A</v>
      </c>
      <c r="T110" t="e">
        <f>IF(Tabela3[[#This Row],[Income]]="&gt;50K",Tabela3[[#This Row],[education-num]],NA())</f>
        <v>#N/A</v>
      </c>
    </row>
    <row r="111" spans="1:20">
      <c r="A111">
        <v>110</v>
      </c>
      <c r="B111">
        <v>21</v>
      </c>
      <c r="C111" t="s">
        <v>34</v>
      </c>
      <c r="D111">
        <v>146499</v>
      </c>
      <c r="E111" t="s">
        <v>78</v>
      </c>
      <c r="F111">
        <v>11</v>
      </c>
      <c r="G111" t="s">
        <v>63</v>
      </c>
      <c r="H111" t="s">
        <v>67</v>
      </c>
      <c r="I111" t="s">
        <v>79</v>
      </c>
      <c r="J111" t="s">
        <v>39</v>
      </c>
      <c r="K111" t="s">
        <v>40</v>
      </c>
      <c r="L111">
        <v>0</v>
      </c>
      <c r="M111">
        <v>1579</v>
      </c>
      <c r="N111">
        <v>40</v>
      </c>
      <c r="O111" t="s">
        <v>41</v>
      </c>
      <c r="P111" t="s">
        <v>42</v>
      </c>
      <c r="Q111">
        <f>IF(Tabela3[[#This Row],[Income]]="&lt;=50K",Tabela3[[#This Row],[Age]],NA())</f>
        <v>21</v>
      </c>
      <c r="R111">
        <f>IF(Tabela3[[#This Row],[Income]]="&lt;=50K",Tabela3[[#This Row],[education-num]],NA())</f>
        <v>11</v>
      </c>
      <c r="S111" t="e">
        <f>IF(Tabela3[[#This Row],[Income]]="&gt;50K",Tabela3[[#This Row],[Age]],NA())</f>
        <v>#N/A</v>
      </c>
      <c r="T111" t="e">
        <f>IF(Tabela3[[#This Row],[Income]]="&gt;50K",Tabela3[[#This Row],[education-num]],NA())</f>
        <v>#N/A</v>
      </c>
    </row>
    <row r="112" spans="1:20">
      <c r="A112">
        <v>111</v>
      </c>
      <c r="B112">
        <v>19</v>
      </c>
      <c r="C112" t="s">
        <v>74</v>
      </c>
      <c r="D112">
        <v>30800</v>
      </c>
      <c r="E112" t="s">
        <v>77</v>
      </c>
      <c r="F112">
        <v>6</v>
      </c>
      <c r="G112" t="s">
        <v>90</v>
      </c>
      <c r="H112" t="s">
        <v>67</v>
      </c>
      <c r="I112" t="s">
        <v>69</v>
      </c>
      <c r="J112" t="s">
        <v>47</v>
      </c>
      <c r="K112" t="s">
        <v>40</v>
      </c>
      <c r="L112">
        <v>0</v>
      </c>
      <c r="M112">
        <v>0</v>
      </c>
      <c r="N112">
        <v>40</v>
      </c>
      <c r="O112" t="s">
        <v>41</v>
      </c>
      <c r="P112" t="s">
        <v>42</v>
      </c>
      <c r="Q112">
        <f>IF(Tabela3[[#This Row],[Income]]="&lt;=50K",Tabela3[[#This Row],[Age]],NA())</f>
        <v>19</v>
      </c>
      <c r="R112">
        <f>IF(Tabela3[[#This Row],[Income]]="&lt;=50K",Tabela3[[#This Row],[education-num]],NA())</f>
        <v>6</v>
      </c>
      <c r="S112" t="e">
        <f>IF(Tabela3[[#This Row],[Income]]="&gt;50K",Tabela3[[#This Row],[Age]],NA())</f>
        <v>#N/A</v>
      </c>
      <c r="T112" t="e">
        <f>IF(Tabela3[[#This Row],[Income]]="&gt;50K",Tabela3[[#This Row],[education-num]],NA())</f>
        <v>#N/A</v>
      </c>
    </row>
    <row r="113" spans="1:20">
      <c r="A113">
        <v>112</v>
      </c>
      <c r="B113">
        <v>28</v>
      </c>
      <c r="C113" t="s">
        <v>34</v>
      </c>
      <c r="D113">
        <v>96337</v>
      </c>
      <c r="E113" t="s">
        <v>46</v>
      </c>
      <c r="F113">
        <v>10</v>
      </c>
      <c r="G113" t="s">
        <v>36</v>
      </c>
      <c r="H113" t="s">
        <v>67</v>
      </c>
      <c r="I113" t="s">
        <v>45</v>
      </c>
      <c r="J113" t="s">
        <v>39</v>
      </c>
      <c r="K113" t="s">
        <v>40</v>
      </c>
      <c r="L113">
        <v>0</v>
      </c>
      <c r="M113">
        <v>0</v>
      </c>
      <c r="N113">
        <v>40</v>
      </c>
      <c r="O113" t="s">
        <v>41</v>
      </c>
      <c r="P113" t="s">
        <v>42</v>
      </c>
      <c r="Q113">
        <f>IF(Tabela3[[#This Row],[Income]]="&lt;=50K",Tabela3[[#This Row],[Age]],NA())</f>
        <v>28</v>
      </c>
      <c r="R113">
        <f>IF(Tabela3[[#This Row],[Income]]="&lt;=50K",Tabela3[[#This Row],[education-num]],NA())</f>
        <v>10</v>
      </c>
      <c r="S113" t="e">
        <f>IF(Tabela3[[#This Row],[Income]]="&gt;50K",Tabela3[[#This Row],[Age]],NA())</f>
        <v>#N/A</v>
      </c>
      <c r="T113" t="e">
        <f>IF(Tabela3[[#This Row],[Income]]="&gt;50K",Tabela3[[#This Row],[education-num]],NA())</f>
        <v>#N/A</v>
      </c>
    </row>
    <row r="114" spans="1:20">
      <c r="A114">
        <v>113</v>
      </c>
      <c r="B114">
        <v>39</v>
      </c>
      <c r="C114" t="s">
        <v>54</v>
      </c>
      <c r="D114">
        <v>139364</v>
      </c>
      <c r="E114" t="s">
        <v>60</v>
      </c>
      <c r="F114">
        <v>13</v>
      </c>
      <c r="G114" t="s">
        <v>63</v>
      </c>
      <c r="H114" t="s">
        <v>61</v>
      </c>
      <c r="I114" t="s">
        <v>66</v>
      </c>
      <c r="J114" t="s">
        <v>39</v>
      </c>
      <c r="K114" t="s">
        <v>52</v>
      </c>
      <c r="L114">
        <v>0</v>
      </c>
      <c r="M114">
        <v>0</v>
      </c>
      <c r="N114">
        <v>35</v>
      </c>
      <c r="O114" t="s">
        <v>41</v>
      </c>
      <c r="P114" t="s">
        <v>53</v>
      </c>
      <c r="Q114" t="e">
        <f>IF(Tabela3[[#This Row],[Income]]="&lt;=50K",Tabela3[[#This Row],[Age]],NA())</f>
        <v>#N/A</v>
      </c>
      <c r="R114" t="e">
        <f>IF(Tabela3[[#This Row],[Income]]="&lt;=50K",Tabela3[[#This Row],[education-num]],NA())</f>
        <v>#N/A</v>
      </c>
      <c r="S114">
        <f>IF(Tabela3[[#This Row],[Income]]="&gt;50K",Tabela3[[#This Row],[Age]],NA())</f>
        <v>39</v>
      </c>
      <c r="T114">
        <f>IF(Tabela3[[#This Row],[Income]]="&gt;50K",Tabela3[[#This Row],[education-num]],NA())</f>
        <v>13</v>
      </c>
    </row>
    <row r="115" spans="1:20">
      <c r="A115">
        <v>114</v>
      </c>
      <c r="B115">
        <v>64</v>
      </c>
      <c r="C115" t="s">
        <v>71</v>
      </c>
      <c r="D115">
        <v>286732</v>
      </c>
      <c r="E115" t="s">
        <v>91</v>
      </c>
      <c r="F115">
        <v>4</v>
      </c>
      <c r="G115" t="s">
        <v>81</v>
      </c>
      <c r="H115" t="s">
        <v>71</v>
      </c>
      <c r="I115" t="s">
        <v>45</v>
      </c>
      <c r="J115" t="s">
        <v>39</v>
      </c>
      <c r="K115" t="s">
        <v>40</v>
      </c>
      <c r="L115">
        <v>0</v>
      </c>
      <c r="M115">
        <v>0</v>
      </c>
      <c r="N115">
        <v>40</v>
      </c>
      <c r="O115" t="s">
        <v>41</v>
      </c>
      <c r="P115" t="s">
        <v>42</v>
      </c>
      <c r="Q115">
        <f>IF(Tabela3[[#This Row],[Income]]="&lt;=50K",Tabela3[[#This Row],[Age]],NA())</f>
        <v>64</v>
      </c>
      <c r="R115">
        <f>IF(Tabela3[[#This Row],[Income]]="&lt;=50K",Tabela3[[#This Row],[education-num]],NA())</f>
        <v>4</v>
      </c>
      <c r="S115" t="e">
        <f>IF(Tabela3[[#This Row],[Income]]="&gt;50K",Tabela3[[#This Row],[Age]],NA())</f>
        <v>#N/A</v>
      </c>
      <c r="T115" t="e">
        <f>IF(Tabela3[[#This Row],[Income]]="&gt;50K",Tabela3[[#This Row],[education-num]],NA())</f>
        <v>#N/A</v>
      </c>
    </row>
    <row r="116" spans="1:20">
      <c r="A116">
        <v>115</v>
      </c>
      <c r="B116">
        <v>28</v>
      </c>
      <c r="C116" t="s">
        <v>34</v>
      </c>
      <c r="D116">
        <v>308709</v>
      </c>
      <c r="E116" t="s">
        <v>60</v>
      </c>
      <c r="F116">
        <v>13</v>
      </c>
      <c r="G116" t="s">
        <v>36</v>
      </c>
      <c r="H116" t="s">
        <v>44</v>
      </c>
      <c r="I116" t="s">
        <v>45</v>
      </c>
      <c r="J116" t="s">
        <v>39</v>
      </c>
      <c r="K116" t="s">
        <v>40</v>
      </c>
      <c r="L116">
        <v>0</v>
      </c>
      <c r="M116">
        <v>0</v>
      </c>
      <c r="N116">
        <v>48</v>
      </c>
      <c r="O116" t="s">
        <v>41</v>
      </c>
      <c r="P116" t="s">
        <v>42</v>
      </c>
      <c r="Q116">
        <f>IF(Tabela3[[#This Row],[Income]]="&lt;=50K",Tabela3[[#This Row],[Age]],NA())</f>
        <v>28</v>
      </c>
      <c r="R116">
        <f>IF(Tabela3[[#This Row],[Income]]="&lt;=50K",Tabela3[[#This Row],[education-num]],NA())</f>
        <v>13</v>
      </c>
      <c r="S116" t="e">
        <f>IF(Tabela3[[#This Row],[Income]]="&gt;50K",Tabela3[[#This Row],[Age]],NA())</f>
        <v>#N/A</v>
      </c>
      <c r="T116" t="e">
        <f>IF(Tabela3[[#This Row],[Income]]="&gt;50K",Tabela3[[#This Row],[education-num]],NA())</f>
        <v>#N/A</v>
      </c>
    </row>
    <row r="117" spans="1:20">
      <c r="A117">
        <v>116</v>
      </c>
      <c r="B117">
        <v>42</v>
      </c>
      <c r="C117" t="s">
        <v>34</v>
      </c>
      <c r="D117">
        <v>236110</v>
      </c>
      <c r="E117" t="s">
        <v>48</v>
      </c>
      <c r="F117">
        <v>3</v>
      </c>
      <c r="G117" t="s">
        <v>90</v>
      </c>
      <c r="H117" t="s">
        <v>50</v>
      </c>
      <c r="I117" t="s">
        <v>45</v>
      </c>
      <c r="J117" t="s">
        <v>39</v>
      </c>
      <c r="K117" t="s">
        <v>52</v>
      </c>
      <c r="L117">
        <v>0</v>
      </c>
      <c r="M117">
        <v>0</v>
      </c>
      <c r="N117">
        <v>40</v>
      </c>
      <c r="O117" t="s">
        <v>92</v>
      </c>
      <c r="P117" t="s">
        <v>42</v>
      </c>
      <c r="Q117">
        <f>IF(Tabela3[[#This Row],[Income]]="&lt;=50K",Tabela3[[#This Row],[Age]],NA())</f>
        <v>42</v>
      </c>
      <c r="R117">
        <f>IF(Tabela3[[#This Row],[Income]]="&lt;=50K",Tabela3[[#This Row],[education-num]],NA())</f>
        <v>3</v>
      </c>
      <c r="S117" t="e">
        <f>IF(Tabela3[[#This Row],[Income]]="&gt;50K",Tabela3[[#This Row],[Age]],NA())</f>
        <v>#N/A</v>
      </c>
      <c r="T117" t="e">
        <f>IF(Tabela3[[#This Row],[Income]]="&gt;50K",Tabela3[[#This Row],[education-num]],NA())</f>
        <v>#N/A</v>
      </c>
    </row>
    <row r="118" spans="1:20">
      <c r="A118">
        <v>117</v>
      </c>
      <c r="B118">
        <v>35</v>
      </c>
      <c r="C118" t="s">
        <v>34</v>
      </c>
      <c r="D118">
        <v>112271</v>
      </c>
      <c r="E118" t="s">
        <v>73</v>
      </c>
      <c r="F118">
        <v>14</v>
      </c>
      <c r="G118" t="s">
        <v>63</v>
      </c>
      <c r="H118" t="s">
        <v>67</v>
      </c>
      <c r="I118" t="s">
        <v>66</v>
      </c>
      <c r="J118" t="s">
        <v>39</v>
      </c>
      <c r="K118" t="s">
        <v>52</v>
      </c>
      <c r="L118">
        <v>0</v>
      </c>
      <c r="M118">
        <v>0</v>
      </c>
      <c r="N118">
        <v>40</v>
      </c>
      <c r="O118" t="s">
        <v>41</v>
      </c>
      <c r="P118" t="s">
        <v>42</v>
      </c>
      <c r="Q118">
        <f>IF(Tabela3[[#This Row],[Income]]="&lt;=50K",Tabela3[[#This Row],[Age]],NA())</f>
        <v>35</v>
      </c>
      <c r="R118">
        <f>IF(Tabela3[[#This Row],[Income]]="&lt;=50K",Tabela3[[#This Row],[education-num]],NA())</f>
        <v>14</v>
      </c>
      <c r="S118" t="e">
        <f>IF(Tabela3[[#This Row],[Income]]="&gt;50K",Tabela3[[#This Row],[Age]],NA())</f>
        <v>#N/A</v>
      </c>
      <c r="T118" t="e">
        <f>IF(Tabela3[[#This Row],[Income]]="&gt;50K",Tabela3[[#This Row],[education-num]],NA())</f>
        <v>#N/A</v>
      </c>
    </row>
    <row r="119" spans="1:20">
      <c r="A119">
        <v>118</v>
      </c>
      <c r="B119">
        <v>23</v>
      </c>
      <c r="C119" t="s">
        <v>34</v>
      </c>
      <c r="D119">
        <v>224954</v>
      </c>
      <c r="E119" t="s">
        <v>46</v>
      </c>
      <c r="F119">
        <v>10</v>
      </c>
      <c r="G119" t="s">
        <v>36</v>
      </c>
      <c r="H119" t="s">
        <v>56</v>
      </c>
      <c r="I119" t="s">
        <v>38</v>
      </c>
      <c r="J119" t="s">
        <v>39</v>
      </c>
      <c r="K119" t="s">
        <v>52</v>
      </c>
      <c r="L119">
        <v>0</v>
      </c>
      <c r="M119">
        <v>0</v>
      </c>
      <c r="N119">
        <v>25</v>
      </c>
      <c r="O119" t="s">
        <v>41</v>
      </c>
      <c r="P119" t="s">
        <v>42</v>
      </c>
      <c r="Q119">
        <f>IF(Tabela3[[#This Row],[Income]]="&lt;=50K",Tabela3[[#This Row],[Age]],NA())</f>
        <v>23</v>
      </c>
      <c r="R119">
        <f>IF(Tabela3[[#This Row],[Income]]="&lt;=50K",Tabela3[[#This Row],[education-num]],NA())</f>
        <v>10</v>
      </c>
      <c r="S119" t="e">
        <f>IF(Tabela3[[#This Row],[Income]]="&gt;50K",Tabela3[[#This Row],[Age]],NA())</f>
        <v>#N/A</v>
      </c>
      <c r="T119" t="e">
        <f>IF(Tabela3[[#This Row],[Income]]="&gt;50K",Tabela3[[#This Row],[education-num]],NA())</f>
        <v>#N/A</v>
      </c>
    </row>
    <row r="120" spans="1:20">
      <c r="A120">
        <v>119</v>
      </c>
      <c r="B120">
        <v>63</v>
      </c>
      <c r="C120" t="s">
        <v>34</v>
      </c>
      <c r="D120">
        <v>68872</v>
      </c>
      <c r="E120" t="s">
        <v>62</v>
      </c>
      <c r="F120">
        <v>9</v>
      </c>
      <c r="G120" t="s">
        <v>63</v>
      </c>
      <c r="H120" t="s">
        <v>72</v>
      </c>
      <c r="I120" t="s">
        <v>65</v>
      </c>
      <c r="J120" t="s">
        <v>70</v>
      </c>
      <c r="K120" t="s">
        <v>40</v>
      </c>
      <c r="L120">
        <v>0</v>
      </c>
      <c r="M120">
        <v>0</v>
      </c>
      <c r="N120">
        <v>20</v>
      </c>
      <c r="O120" t="s">
        <v>41</v>
      </c>
      <c r="P120" t="s">
        <v>42</v>
      </c>
      <c r="Q120">
        <f>IF(Tabela3[[#This Row],[Income]]="&lt;=50K",Tabela3[[#This Row],[Age]],NA())</f>
        <v>63</v>
      </c>
      <c r="R120">
        <f>IF(Tabela3[[#This Row],[Income]]="&lt;=50K",Tabela3[[#This Row],[education-num]],NA())</f>
        <v>9</v>
      </c>
      <c r="S120" t="e">
        <f>IF(Tabela3[[#This Row],[Income]]="&gt;50K",Tabela3[[#This Row],[Age]],NA())</f>
        <v>#N/A</v>
      </c>
      <c r="T120" t="e">
        <f>IF(Tabela3[[#This Row],[Income]]="&gt;50K",Tabela3[[#This Row],[education-num]],NA())</f>
        <v>#N/A</v>
      </c>
    </row>
    <row r="121" spans="1:20">
      <c r="A121">
        <v>120</v>
      </c>
      <c r="B121">
        <v>53</v>
      </c>
      <c r="C121" t="s">
        <v>34</v>
      </c>
      <c r="D121">
        <v>152373</v>
      </c>
      <c r="E121" t="s">
        <v>46</v>
      </c>
      <c r="F121">
        <v>10</v>
      </c>
      <c r="G121" t="s">
        <v>49</v>
      </c>
      <c r="H121" t="s">
        <v>50</v>
      </c>
      <c r="I121" t="s">
        <v>45</v>
      </c>
      <c r="J121" t="s">
        <v>39</v>
      </c>
      <c r="K121" t="s">
        <v>52</v>
      </c>
      <c r="L121">
        <v>0</v>
      </c>
      <c r="M121">
        <v>0</v>
      </c>
      <c r="N121">
        <v>48</v>
      </c>
      <c r="O121" t="s">
        <v>41</v>
      </c>
      <c r="P121" t="s">
        <v>53</v>
      </c>
      <c r="Q121" t="e">
        <f>IF(Tabela3[[#This Row],[Income]]="&lt;=50K",Tabela3[[#This Row],[Age]],NA())</f>
        <v>#N/A</v>
      </c>
      <c r="R121" t="e">
        <f>IF(Tabela3[[#This Row],[Income]]="&lt;=50K",Tabela3[[#This Row],[education-num]],NA())</f>
        <v>#N/A</v>
      </c>
      <c r="S121">
        <f>IF(Tabela3[[#This Row],[Income]]="&gt;50K",Tabela3[[#This Row],[Age]],NA())</f>
        <v>53</v>
      </c>
      <c r="T121">
        <f>IF(Tabela3[[#This Row],[Income]]="&gt;50K",Tabela3[[#This Row],[education-num]],NA())</f>
        <v>10</v>
      </c>
    </row>
    <row r="122" spans="1:20">
      <c r="A122">
        <v>121</v>
      </c>
      <c r="B122">
        <v>56</v>
      </c>
      <c r="C122" t="s">
        <v>74</v>
      </c>
      <c r="D122">
        <v>258752</v>
      </c>
      <c r="E122" t="s">
        <v>60</v>
      </c>
      <c r="F122">
        <v>13</v>
      </c>
      <c r="G122" t="s">
        <v>63</v>
      </c>
      <c r="H122" t="s">
        <v>80</v>
      </c>
      <c r="I122" t="s">
        <v>66</v>
      </c>
      <c r="J122" t="s">
        <v>39</v>
      </c>
      <c r="K122" t="s">
        <v>52</v>
      </c>
      <c r="L122">
        <v>0</v>
      </c>
      <c r="M122">
        <v>0</v>
      </c>
      <c r="N122">
        <v>60</v>
      </c>
      <c r="O122" t="s">
        <v>41</v>
      </c>
      <c r="P122" t="s">
        <v>42</v>
      </c>
      <c r="Q122">
        <f>IF(Tabela3[[#This Row],[Income]]="&lt;=50K",Tabela3[[#This Row],[Age]],NA())</f>
        <v>56</v>
      </c>
      <c r="R122">
        <f>IF(Tabela3[[#This Row],[Income]]="&lt;=50K",Tabela3[[#This Row],[education-num]],NA())</f>
        <v>13</v>
      </c>
      <c r="S122" t="e">
        <f>IF(Tabela3[[#This Row],[Income]]="&gt;50K",Tabela3[[#This Row],[Age]],NA())</f>
        <v>#N/A</v>
      </c>
      <c r="T122" t="e">
        <f>IF(Tabela3[[#This Row],[Income]]="&gt;50K",Tabela3[[#This Row],[education-num]],NA())</f>
        <v>#N/A</v>
      </c>
    </row>
    <row r="123" spans="1:20">
      <c r="A123">
        <v>122</v>
      </c>
      <c r="B123">
        <v>49</v>
      </c>
      <c r="C123" t="s">
        <v>34</v>
      </c>
      <c r="D123">
        <v>115784</v>
      </c>
      <c r="E123" t="s">
        <v>62</v>
      </c>
      <c r="F123">
        <v>9</v>
      </c>
      <c r="G123" t="s">
        <v>63</v>
      </c>
      <c r="H123" t="s">
        <v>56</v>
      </c>
      <c r="I123" t="s">
        <v>66</v>
      </c>
      <c r="J123" t="s">
        <v>39</v>
      </c>
      <c r="K123" t="s">
        <v>52</v>
      </c>
      <c r="L123">
        <v>0</v>
      </c>
      <c r="M123">
        <v>0</v>
      </c>
      <c r="N123">
        <v>40</v>
      </c>
      <c r="O123" t="s">
        <v>41</v>
      </c>
      <c r="P123" t="s">
        <v>42</v>
      </c>
      <c r="Q123">
        <f>IF(Tabela3[[#This Row],[Income]]="&lt;=50K",Tabela3[[#This Row],[Age]],NA())</f>
        <v>49</v>
      </c>
      <c r="R123">
        <f>IF(Tabela3[[#This Row],[Income]]="&lt;=50K",Tabela3[[#This Row],[education-num]],NA())</f>
        <v>9</v>
      </c>
      <c r="S123" t="e">
        <f>IF(Tabela3[[#This Row],[Income]]="&gt;50K",Tabela3[[#This Row],[Age]],NA())</f>
        <v>#N/A</v>
      </c>
      <c r="T123" t="e">
        <f>IF(Tabela3[[#This Row],[Income]]="&gt;50K",Tabela3[[#This Row],[education-num]],NA())</f>
        <v>#N/A</v>
      </c>
    </row>
    <row r="124" spans="1:20">
      <c r="A124">
        <v>123</v>
      </c>
      <c r="B124">
        <v>47</v>
      </c>
      <c r="C124" t="s">
        <v>34</v>
      </c>
      <c r="D124">
        <v>80924</v>
      </c>
      <c r="E124" t="s">
        <v>46</v>
      </c>
      <c r="F124">
        <v>10</v>
      </c>
      <c r="G124" t="s">
        <v>81</v>
      </c>
      <c r="H124" t="s">
        <v>37</v>
      </c>
      <c r="I124" t="s">
        <v>45</v>
      </c>
      <c r="J124" t="s">
        <v>39</v>
      </c>
      <c r="K124" t="s">
        <v>40</v>
      </c>
      <c r="L124">
        <v>0</v>
      </c>
      <c r="M124">
        <v>0</v>
      </c>
      <c r="N124">
        <v>35</v>
      </c>
      <c r="O124" t="s">
        <v>41</v>
      </c>
      <c r="P124" t="s">
        <v>42</v>
      </c>
      <c r="Q124">
        <f>IF(Tabela3[[#This Row],[Income]]="&lt;=50K",Tabela3[[#This Row],[Age]],NA())</f>
        <v>47</v>
      </c>
      <c r="R124">
        <f>IF(Tabela3[[#This Row],[Income]]="&lt;=50K",Tabela3[[#This Row],[education-num]],NA())</f>
        <v>10</v>
      </c>
      <c r="S124" t="e">
        <f>IF(Tabela3[[#This Row],[Income]]="&gt;50K",Tabela3[[#This Row],[Age]],NA())</f>
        <v>#N/A</v>
      </c>
      <c r="T124" t="e">
        <f>IF(Tabela3[[#This Row],[Income]]="&gt;50K",Tabela3[[#This Row],[education-num]],NA())</f>
        <v>#N/A</v>
      </c>
    </row>
    <row r="125" spans="1:20">
      <c r="A125">
        <v>124</v>
      </c>
      <c r="B125">
        <v>22</v>
      </c>
      <c r="C125" t="s">
        <v>34</v>
      </c>
      <c r="D125">
        <v>203240</v>
      </c>
      <c r="E125" t="s">
        <v>77</v>
      </c>
      <c r="F125">
        <v>6</v>
      </c>
      <c r="G125" t="s">
        <v>36</v>
      </c>
      <c r="H125" t="s">
        <v>67</v>
      </c>
      <c r="I125" t="s">
        <v>45</v>
      </c>
      <c r="J125" t="s">
        <v>39</v>
      </c>
      <c r="K125" t="s">
        <v>40</v>
      </c>
      <c r="L125">
        <v>0</v>
      </c>
      <c r="M125">
        <v>0</v>
      </c>
      <c r="N125">
        <v>40</v>
      </c>
      <c r="O125" t="s">
        <v>41</v>
      </c>
      <c r="P125" t="s">
        <v>42</v>
      </c>
      <c r="Q125">
        <f>IF(Tabela3[[#This Row],[Income]]="&lt;=50K",Tabela3[[#This Row],[Age]],NA())</f>
        <v>22</v>
      </c>
      <c r="R125">
        <f>IF(Tabela3[[#This Row],[Income]]="&lt;=50K",Tabela3[[#This Row],[education-num]],NA())</f>
        <v>6</v>
      </c>
      <c r="S125" t="e">
        <f>IF(Tabela3[[#This Row],[Income]]="&gt;50K",Tabela3[[#This Row],[Age]],NA())</f>
        <v>#N/A</v>
      </c>
      <c r="T125" t="e">
        <f>IF(Tabela3[[#This Row],[Income]]="&gt;50K",Tabela3[[#This Row],[education-num]],NA())</f>
        <v>#N/A</v>
      </c>
    </row>
    <row r="126" spans="1:20">
      <c r="A126">
        <v>125</v>
      </c>
      <c r="B126">
        <v>20</v>
      </c>
      <c r="C126" t="s">
        <v>34</v>
      </c>
      <c r="D126">
        <v>105312</v>
      </c>
      <c r="E126" t="s">
        <v>46</v>
      </c>
      <c r="F126">
        <v>10</v>
      </c>
      <c r="G126" t="s">
        <v>36</v>
      </c>
      <c r="H126" t="s">
        <v>44</v>
      </c>
      <c r="I126" t="s">
        <v>38</v>
      </c>
      <c r="J126" t="s">
        <v>39</v>
      </c>
      <c r="K126" t="s">
        <v>40</v>
      </c>
      <c r="L126">
        <v>0</v>
      </c>
      <c r="M126">
        <v>0</v>
      </c>
      <c r="N126">
        <v>18</v>
      </c>
      <c r="O126" t="s">
        <v>41</v>
      </c>
      <c r="P126" t="s">
        <v>42</v>
      </c>
      <c r="Q126">
        <f>IF(Tabela3[[#This Row],[Income]]="&lt;=50K",Tabela3[[#This Row],[Age]],NA())</f>
        <v>20</v>
      </c>
      <c r="R126">
        <f>IF(Tabela3[[#This Row],[Income]]="&lt;=50K",Tabela3[[#This Row],[education-num]],NA())</f>
        <v>10</v>
      </c>
      <c r="S126" t="e">
        <f>IF(Tabela3[[#This Row],[Income]]="&gt;50K",Tabela3[[#This Row],[Age]],NA())</f>
        <v>#N/A</v>
      </c>
      <c r="T126" t="e">
        <f>IF(Tabela3[[#This Row],[Income]]="&gt;50K",Tabela3[[#This Row],[education-num]],NA())</f>
        <v>#N/A</v>
      </c>
    </row>
    <row r="127" spans="1:20">
      <c r="A127">
        <v>126</v>
      </c>
      <c r="B127">
        <v>18</v>
      </c>
      <c r="C127" t="s">
        <v>34</v>
      </c>
      <c r="D127">
        <v>71792</v>
      </c>
      <c r="E127" t="s">
        <v>62</v>
      </c>
      <c r="F127">
        <v>9</v>
      </c>
      <c r="G127" t="s">
        <v>36</v>
      </c>
      <c r="H127" t="s">
        <v>44</v>
      </c>
      <c r="I127" t="s">
        <v>38</v>
      </c>
      <c r="J127" t="s">
        <v>70</v>
      </c>
      <c r="K127" t="s">
        <v>40</v>
      </c>
      <c r="L127">
        <v>0</v>
      </c>
      <c r="M127">
        <v>0</v>
      </c>
      <c r="N127">
        <v>40</v>
      </c>
      <c r="O127" t="s">
        <v>41</v>
      </c>
      <c r="P127" t="s">
        <v>42</v>
      </c>
      <c r="Q127">
        <f>IF(Tabela3[[#This Row],[Income]]="&lt;=50K",Tabela3[[#This Row],[Age]],NA())</f>
        <v>18</v>
      </c>
      <c r="R127">
        <f>IF(Tabela3[[#This Row],[Income]]="&lt;=50K",Tabela3[[#This Row],[education-num]],NA())</f>
        <v>9</v>
      </c>
      <c r="S127" t="e">
        <f>IF(Tabela3[[#This Row],[Income]]="&gt;50K",Tabela3[[#This Row],[Age]],NA())</f>
        <v>#N/A</v>
      </c>
      <c r="T127" t="e">
        <f>IF(Tabela3[[#This Row],[Income]]="&gt;50K",Tabela3[[#This Row],[education-num]],NA())</f>
        <v>#N/A</v>
      </c>
    </row>
    <row r="128" spans="1:20">
      <c r="A128">
        <v>127</v>
      </c>
      <c r="B128">
        <v>31</v>
      </c>
      <c r="C128" t="s">
        <v>34</v>
      </c>
      <c r="D128">
        <v>114324</v>
      </c>
      <c r="E128" t="s">
        <v>78</v>
      </c>
      <c r="F128">
        <v>11</v>
      </c>
      <c r="G128" t="s">
        <v>36</v>
      </c>
      <c r="H128" t="s">
        <v>37</v>
      </c>
      <c r="I128" t="s">
        <v>45</v>
      </c>
      <c r="J128" t="s">
        <v>57</v>
      </c>
      <c r="K128" t="s">
        <v>40</v>
      </c>
      <c r="L128">
        <v>0</v>
      </c>
      <c r="M128">
        <v>0</v>
      </c>
      <c r="N128">
        <v>40</v>
      </c>
      <c r="O128" t="s">
        <v>41</v>
      </c>
      <c r="P128" t="s">
        <v>42</v>
      </c>
      <c r="Q128">
        <f>IF(Tabela3[[#This Row],[Income]]="&lt;=50K",Tabela3[[#This Row],[Age]],NA())</f>
        <v>31</v>
      </c>
      <c r="R128">
        <f>IF(Tabela3[[#This Row],[Income]]="&lt;=50K",Tabela3[[#This Row],[education-num]],NA())</f>
        <v>11</v>
      </c>
      <c r="S128" t="e">
        <f>IF(Tabela3[[#This Row],[Income]]="&gt;50K",Tabela3[[#This Row],[Age]],NA())</f>
        <v>#N/A</v>
      </c>
      <c r="T128" t="e">
        <f>IF(Tabela3[[#This Row],[Income]]="&gt;50K",Tabela3[[#This Row],[education-num]],NA())</f>
        <v>#N/A</v>
      </c>
    </row>
    <row r="129" spans="1:20">
      <c r="A129">
        <v>128</v>
      </c>
      <c r="B129">
        <v>51</v>
      </c>
      <c r="C129" t="s">
        <v>34</v>
      </c>
      <c r="D129">
        <v>30008</v>
      </c>
      <c r="E129" t="s">
        <v>62</v>
      </c>
      <c r="F129">
        <v>9</v>
      </c>
      <c r="G129" t="s">
        <v>63</v>
      </c>
      <c r="H129" t="s">
        <v>72</v>
      </c>
      <c r="I129" t="s">
        <v>66</v>
      </c>
      <c r="J129" t="s">
        <v>39</v>
      </c>
      <c r="K129" t="s">
        <v>52</v>
      </c>
      <c r="L129">
        <v>0</v>
      </c>
      <c r="M129">
        <v>0</v>
      </c>
      <c r="N129">
        <v>60</v>
      </c>
      <c r="O129" t="s">
        <v>41</v>
      </c>
      <c r="P129" t="s">
        <v>42</v>
      </c>
      <c r="Q129">
        <f>IF(Tabela3[[#This Row],[Income]]="&lt;=50K",Tabela3[[#This Row],[Age]],NA())</f>
        <v>51</v>
      </c>
      <c r="R129">
        <f>IF(Tabela3[[#This Row],[Income]]="&lt;=50K",Tabela3[[#This Row],[education-num]],NA())</f>
        <v>9</v>
      </c>
      <c r="S129" t="e">
        <f>IF(Tabela3[[#This Row],[Income]]="&gt;50K",Tabela3[[#This Row],[Age]],NA())</f>
        <v>#N/A</v>
      </c>
      <c r="T129" t="e">
        <f>IF(Tabela3[[#This Row],[Income]]="&gt;50K",Tabela3[[#This Row],[education-num]],NA())</f>
        <v>#N/A</v>
      </c>
    </row>
    <row r="130" spans="1:20">
      <c r="A130">
        <v>129</v>
      </c>
      <c r="B130">
        <v>90</v>
      </c>
      <c r="C130" t="s">
        <v>74</v>
      </c>
      <c r="D130">
        <v>155981</v>
      </c>
      <c r="E130" t="s">
        <v>60</v>
      </c>
      <c r="F130">
        <v>13</v>
      </c>
      <c r="G130" t="s">
        <v>63</v>
      </c>
      <c r="H130" t="s">
        <v>61</v>
      </c>
      <c r="I130" t="s">
        <v>66</v>
      </c>
      <c r="J130" t="s">
        <v>39</v>
      </c>
      <c r="K130" t="s">
        <v>52</v>
      </c>
      <c r="L130">
        <v>10566</v>
      </c>
      <c r="M130">
        <v>0</v>
      </c>
      <c r="N130">
        <v>50</v>
      </c>
      <c r="O130" t="s">
        <v>41</v>
      </c>
      <c r="P130" t="s">
        <v>42</v>
      </c>
      <c r="Q130">
        <f>IF(Tabela3[[#This Row],[Income]]="&lt;=50K",Tabela3[[#This Row],[Age]],NA())</f>
        <v>90</v>
      </c>
      <c r="R130">
        <f>IF(Tabela3[[#This Row],[Income]]="&lt;=50K",Tabela3[[#This Row],[education-num]],NA())</f>
        <v>13</v>
      </c>
      <c r="S130" t="e">
        <f>IF(Tabela3[[#This Row],[Income]]="&gt;50K",Tabela3[[#This Row],[Age]],NA())</f>
        <v>#N/A</v>
      </c>
      <c r="T130" t="e">
        <f>IF(Tabela3[[#This Row],[Income]]="&gt;50K",Tabela3[[#This Row],[education-num]],NA())</f>
        <v>#N/A</v>
      </c>
    </row>
    <row r="131" spans="1:20">
      <c r="A131">
        <v>130</v>
      </c>
      <c r="B131">
        <v>26</v>
      </c>
      <c r="C131" t="s">
        <v>34</v>
      </c>
      <c r="D131">
        <v>133373</v>
      </c>
      <c r="E131" t="s">
        <v>46</v>
      </c>
      <c r="F131">
        <v>10</v>
      </c>
      <c r="G131" t="s">
        <v>36</v>
      </c>
      <c r="H131" t="s">
        <v>44</v>
      </c>
      <c r="I131" t="s">
        <v>38</v>
      </c>
      <c r="J131" t="s">
        <v>39</v>
      </c>
      <c r="K131" t="s">
        <v>52</v>
      </c>
      <c r="L131">
        <v>0</v>
      </c>
      <c r="M131">
        <v>0</v>
      </c>
      <c r="N131">
        <v>42</v>
      </c>
      <c r="O131" t="s">
        <v>41</v>
      </c>
      <c r="P131" t="s">
        <v>42</v>
      </c>
      <c r="Q131">
        <f>IF(Tabela3[[#This Row],[Income]]="&lt;=50K",Tabela3[[#This Row],[Age]],NA())</f>
        <v>26</v>
      </c>
      <c r="R131">
        <f>IF(Tabela3[[#This Row],[Income]]="&lt;=50K",Tabela3[[#This Row],[education-num]],NA())</f>
        <v>10</v>
      </c>
      <c r="S131" t="e">
        <f>IF(Tabela3[[#This Row],[Income]]="&gt;50K",Tabela3[[#This Row],[Age]],NA())</f>
        <v>#N/A</v>
      </c>
      <c r="T131" t="e">
        <f>IF(Tabela3[[#This Row],[Income]]="&gt;50K",Tabela3[[#This Row],[education-num]],NA())</f>
        <v>#N/A</v>
      </c>
    </row>
    <row r="132" spans="1:20">
      <c r="A132">
        <v>131</v>
      </c>
      <c r="B132">
        <v>51</v>
      </c>
      <c r="C132" t="s">
        <v>74</v>
      </c>
      <c r="D132">
        <v>256963</v>
      </c>
      <c r="E132" t="s">
        <v>46</v>
      </c>
      <c r="F132">
        <v>10</v>
      </c>
      <c r="G132" t="s">
        <v>63</v>
      </c>
      <c r="H132" t="s">
        <v>44</v>
      </c>
      <c r="I132" t="s">
        <v>66</v>
      </c>
      <c r="J132" t="s">
        <v>39</v>
      </c>
      <c r="K132" t="s">
        <v>52</v>
      </c>
      <c r="L132">
        <v>0</v>
      </c>
      <c r="M132">
        <v>0</v>
      </c>
      <c r="N132">
        <v>60</v>
      </c>
      <c r="O132" t="s">
        <v>41</v>
      </c>
      <c r="P132" t="s">
        <v>42</v>
      </c>
      <c r="Q132">
        <f>IF(Tabela3[[#This Row],[Income]]="&lt;=50K",Tabela3[[#This Row],[Age]],NA())</f>
        <v>51</v>
      </c>
      <c r="R132">
        <f>IF(Tabela3[[#This Row],[Income]]="&lt;=50K",Tabela3[[#This Row],[education-num]],NA())</f>
        <v>10</v>
      </c>
      <c r="S132" t="e">
        <f>IF(Tabela3[[#This Row],[Income]]="&gt;50K",Tabela3[[#This Row],[Age]],NA())</f>
        <v>#N/A</v>
      </c>
      <c r="T132" t="e">
        <f>IF(Tabela3[[#This Row],[Income]]="&gt;50K",Tabela3[[#This Row],[education-num]],NA())</f>
        <v>#N/A</v>
      </c>
    </row>
    <row r="133" spans="1:20">
      <c r="A133">
        <v>132</v>
      </c>
      <c r="B133">
        <v>34</v>
      </c>
      <c r="C133" t="s">
        <v>54</v>
      </c>
      <c r="D133">
        <v>167063</v>
      </c>
      <c r="E133" t="s">
        <v>62</v>
      </c>
      <c r="F133">
        <v>9</v>
      </c>
      <c r="G133" t="s">
        <v>36</v>
      </c>
      <c r="H133" t="s">
        <v>89</v>
      </c>
      <c r="I133" t="s">
        <v>38</v>
      </c>
      <c r="J133" t="s">
        <v>39</v>
      </c>
      <c r="K133" t="s">
        <v>52</v>
      </c>
      <c r="L133">
        <v>0</v>
      </c>
      <c r="M133">
        <v>0</v>
      </c>
      <c r="N133">
        <v>40</v>
      </c>
      <c r="O133" t="s">
        <v>41</v>
      </c>
      <c r="P133" t="s">
        <v>42</v>
      </c>
      <c r="Q133">
        <f>IF(Tabela3[[#This Row],[Income]]="&lt;=50K",Tabela3[[#This Row],[Age]],NA())</f>
        <v>34</v>
      </c>
      <c r="R133">
        <f>IF(Tabela3[[#This Row],[Income]]="&lt;=50K",Tabela3[[#This Row],[education-num]],NA())</f>
        <v>9</v>
      </c>
      <c r="S133" t="e">
        <f>IF(Tabela3[[#This Row],[Income]]="&gt;50K",Tabela3[[#This Row],[Age]],NA())</f>
        <v>#N/A</v>
      </c>
      <c r="T133" t="e">
        <f>IF(Tabela3[[#This Row],[Income]]="&gt;50K",Tabela3[[#This Row],[education-num]],NA())</f>
        <v>#N/A</v>
      </c>
    </row>
    <row r="134" spans="1:20">
      <c r="A134">
        <v>133</v>
      </c>
      <c r="B134">
        <v>48</v>
      </c>
      <c r="C134" t="s">
        <v>83</v>
      </c>
      <c r="D134">
        <v>155664</v>
      </c>
      <c r="E134" t="s">
        <v>84</v>
      </c>
      <c r="F134">
        <v>15</v>
      </c>
      <c r="G134" t="s">
        <v>63</v>
      </c>
      <c r="H134" t="s">
        <v>61</v>
      </c>
      <c r="I134" t="s">
        <v>66</v>
      </c>
      <c r="J134" t="s">
        <v>39</v>
      </c>
      <c r="K134" t="s">
        <v>52</v>
      </c>
      <c r="L134">
        <v>0</v>
      </c>
      <c r="M134">
        <v>0</v>
      </c>
      <c r="N134">
        <v>60</v>
      </c>
      <c r="O134" t="s">
        <v>41</v>
      </c>
      <c r="P134" t="s">
        <v>53</v>
      </c>
      <c r="Q134" t="e">
        <f>IF(Tabela3[[#This Row],[Income]]="&lt;=50K",Tabela3[[#This Row],[Age]],NA())</f>
        <v>#N/A</v>
      </c>
      <c r="R134" t="e">
        <f>IF(Tabela3[[#This Row],[Income]]="&lt;=50K",Tabela3[[#This Row],[education-num]],NA())</f>
        <v>#N/A</v>
      </c>
      <c r="S134">
        <f>IF(Tabela3[[#This Row],[Income]]="&gt;50K",Tabela3[[#This Row],[Age]],NA())</f>
        <v>48</v>
      </c>
      <c r="T134">
        <f>IF(Tabela3[[#This Row],[Income]]="&gt;50K",Tabela3[[#This Row],[education-num]],NA())</f>
        <v>15</v>
      </c>
    </row>
    <row r="135" spans="1:20">
      <c r="A135">
        <v>134</v>
      </c>
      <c r="B135">
        <v>64</v>
      </c>
      <c r="C135" t="s">
        <v>34</v>
      </c>
      <c r="D135">
        <v>149044</v>
      </c>
      <c r="E135" t="s">
        <v>73</v>
      </c>
      <c r="F135">
        <v>14</v>
      </c>
      <c r="G135" t="s">
        <v>63</v>
      </c>
      <c r="H135" t="s">
        <v>61</v>
      </c>
      <c r="I135" t="s">
        <v>66</v>
      </c>
      <c r="J135" t="s">
        <v>70</v>
      </c>
      <c r="K135" t="s">
        <v>52</v>
      </c>
      <c r="L135">
        <v>0</v>
      </c>
      <c r="M135">
        <v>2057</v>
      </c>
      <c r="N135">
        <v>60</v>
      </c>
      <c r="O135" t="s">
        <v>93</v>
      </c>
      <c r="P135" t="s">
        <v>42</v>
      </c>
      <c r="Q135">
        <f>IF(Tabela3[[#This Row],[Income]]="&lt;=50K",Tabela3[[#This Row],[Age]],NA())</f>
        <v>64</v>
      </c>
      <c r="R135">
        <f>IF(Tabela3[[#This Row],[Income]]="&lt;=50K",Tabela3[[#This Row],[education-num]],NA())</f>
        <v>14</v>
      </c>
      <c r="S135" t="e">
        <f>IF(Tabela3[[#This Row],[Income]]="&gt;50K",Tabela3[[#This Row],[Age]],NA())</f>
        <v>#N/A</v>
      </c>
      <c r="T135" t="e">
        <f>IF(Tabela3[[#This Row],[Income]]="&gt;50K",Tabela3[[#This Row],[education-num]],NA())</f>
        <v>#N/A</v>
      </c>
    </row>
    <row r="136" spans="1:20">
      <c r="A136">
        <v>135</v>
      </c>
      <c r="B136">
        <v>33</v>
      </c>
      <c r="C136" t="s">
        <v>34</v>
      </c>
      <c r="D136">
        <v>67072</v>
      </c>
      <c r="E136" t="s">
        <v>62</v>
      </c>
      <c r="F136">
        <v>9</v>
      </c>
      <c r="G136" t="s">
        <v>63</v>
      </c>
      <c r="H136" t="s">
        <v>44</v>
      </c>
      <c r="I136" t="s">
        <v>66</v>
      </c>
      <c r="J136" t="s">
        <v>39</v>
      </c>
      <c r="K136" t="s">
        <v>52</v>
      </c>
      <c r="L136">
        <v>0</v>
      </c>
      <c r="M136">
        <v>0</v>
      </c>
      <c r="N136">
        <v>50</v>
      </c>
      <c r="O136" t="s">
        <v>41</v>
      </c>
      <c r="P136" t="s">
        <v>53</v>
      </c>
      <c r="Q136" t="e">
        <f>IF(Tabela3[[#This Row],[Income]]="&lt;=50K",Tabela3[[#This Row],[Age]],NA())</f>
        <v>#N/A</v>
      </c>
      <c r="R136" t="e">
        <f>IF(Tabela3[[#This Row],[Income]]="&lt;=50K",Tabela3[[#This Row],[education-num]],NA())</f>
        <v>#N/A</v>
      </c>
      <c r="S136">
        <f>IF(Tabela3[[#This Row],[Income]]="&gt;50K",Tabela3[[#This Row],[Age]],NA())</f>
        <v>33</v>
      </c>
      <c r="T136">
        <f>IF(Tabela3[[#This Row],[Income]]="&gt;50K",Tabela3[[#This Row],[education-num]],NA())</f>
        <v>9</v>
      </c>
    </row>
    <row r="137" spans="1:20">
      <c r="A137">
        <v>136</v>
      </c>
      <c r="B137">
        <v>20</v>
      </c>
      <c r="C137" t="s">
        <v>34</v>
      </c>
      <c r="D137">
        <v>115824</v>
      </c>
      <c r="E137" t="s">
        <v>35</v>
      </c>
      <c r="F137">
        <v>7</v>
      </c>
      <c r="G137" t="s">
        <v>63</v>
      </c>
      <c r="H137" t="s">
        <v>68</v>
      </c>
      <c r="I137" t="s">
        <v>66</v>
      </c>
      <c r="J137" t="s">
        <v>39</v>
      </c>
      <c r="K137" t="s">
        <v>52</v>
      </c>
      <c r="L137">
        <v>0</v>
      </c>
      <c r="M137">
        <v>1573</v>
      </c>
      <c r="N137">
        <v>40</v>
      </c>
      <c r="O137" t="s">
        <v>41</v>
      </c>
      <c r="P137" t="s">
        <v>42</v>
      </c>
      <c r="Q137">
        <f>IF(Tabela3[[#This Row],[Income]]="&lt;=50K",Tabela3[[#This Row],[Age]],NA())</f>
        <v>20</v>
      </c>
      <c r="R137">
        <f>IF(Tabela3[[#This Row],[Income]]="&lt;=50K",Tabela3[[#This Row],[education-num]],NA())</f>
        <v>7</v>
      </c>
      <c r="S137" t="e">
        <f>IF(Tabela3[[#This Row],[Income]]="&gt;50K",Tabela3[[#This Row],[Age]],NA())</f>
        <v>#N/A</v>
      </c>
      <c r="T137" t="e">
        <f>IF(Tabela3[[#This Row],[Income]]="&gt;50K",Tabela3[[#This Row],[education-num]],NA())</f>
        <v>#N/A</v>
      </c>
    </row>
    <row r="138" spans="1:20">
      <c r="A138">
        <v>137</v>
      </c>
      <c r="B138">
        <v>37</v>
      </c>
      <c r="C138" t="s">
        <v>59</v>
      </c>
      <c r="D138">
        <v>191779</v>
      </c>
      <c r="E138" t="s">
        <v>46</v>
      </c>
      <c r="F138">
        <v>10</v>
      </c>
      <c r="G138" t="s">
        <v>63</v>
      </c>
      <c r="H138" t="s">
        <v>50</v>
      </c>
      <c r="I138" t="s">
        <v>66</v>
      </c>
      <c r="J138" t="s">
        <v>39</v>
      </c>
      <c r="K138" t="s">
        <v>52</v>
      </c>
      <c r="L138">
        <v>0</v>
      </c>
      <c r="M138">
        <v>0</v>
      </c>
      <c r="N138">
        <v>40</v>
      </c>
      <c r="O138" t="s">
        <v>41</v>
      </c>
      <c r="P138" t="s">
        <v>42</v>
      </c>
      <c r="Q138">
        <f>IF(Tabela3[[#This Row],[Income]]="&lt;=50K",Tabela3[[#This Row],[Age]],NA())</f>
        <v>37</v>
      </c>
      <c r="R138">
        <f>IF(Tabela3[[#This Row],[Income]]="&lt;=50K",Tabela3[[#This Row],[education-num]],NA())</f>
        <v>10</v>
      </c>
      <c r="S138" t="e">
        <f>IF(Tabela3[[#This Row],[Income]]="&gt;50K",Tabela3[[#This Row],[Age]],NA())</f>
        <v>#N/A</v>
      </c>
      <c r="T138" t="e">
        <f>IF(Tabela3[[#This Row],[Income]]="&gt;50K",Tabela3[[#This Row],[education-num]],NA())</f>
        <v>#N/A</v>
      </c>
    </row>
    <row r="139" spans="1:20">
      <c r="A139">
        <v>138</v>
      </c>
      <c r="B139">
        <v>23</v>
      </c>
      <c r="C139" t="s">
        <v>34</v>
      </c>
      <c r="D139">
        <v>33105</v>
      </c>
      <c r="E139" t="s">
        <v>46</v>
      </c>
      <c r="F139">
        <v>10</v>
      </c>
      <c r="G139" t="s">
        <v>36</v>
      </c>
      <c r="H139" t="s">
        <v>68</v>
      </c>
      <c r="I139" t="s">
        <v>38</v>
      </c>
      <c r="J139" t="s">
        <v>47</v>
      </c>
      <c r="K139" t="s">
        <v>52</v>
      </c>
      <c r="L139">
        <v>0</v>
      </c>
      <c r="M139">
        <v>0</v>
      </c>
      <c r="N139">
        <v>40</v>
      </c>
      <c r="O139" t="s">
        <v>41</v>
      </c>
      <c r="P139" t="s">
        <v>42</v>
      </c>
      <c r="Q139">
        <f>IF(Tabela3[[#This Row],[Income]]="&lt;=50K",Tabela3[[#This Row],[Age]],NA())</f>
        <v>23</v>
      </c>
      <c r="R139">
        <f>IF(Tabela3[[#This Row],[Income]]="&lt;=50K",Tabela3[[#This Row],[education-num]],NA())</f>
        <v>10</v>
      </c>
      <c r="S139" t="e">
        <f>IF(Tabela3[[#This Row],[Income]]="&gt;50K",Tabela3[[#This Row],[Age]],NA())</f>
        <v>#N/A</v>
      </c>
      <c r="T139" t="e">
        <f>IF(Tabela3[[#This Row],[Income]]="&gt;50K",Tabela3[[#This Row],[education-num]],NA())</f>
        <v>#N/A</v>
      </c>
    </row>
    <row r="140" spans="1:20">
      <c r="A140">
        <v>139</v>
      </c>
      <c r="B140">
        <v>30</v>
      </c>
      <c r="C140" t="s">
        <v>71</v>
      </c>
      <c r="D140">
        <v>203834</v>
      </c>
      <c r="E140" t="s">
        <v>60</v>
      </c>
      <c r="F140">
        <v>13</v>
      </c>
      <c r="G140" t="s">
        <v>36</v>
      </c>
      <c r="H140" t="s">
        <v>71</v>
      </c>
      <c r="I140" t="s">
        <v>45</v>
      </c>
      <c r="J140" t="s">
        <v>70</v>
      </c>
      <c r="K140" t="s">
        <v>40</v>
      </c>
      <c r="L140">
        <v>0</v>
      </c>
      <c r="M140">
        <v>0</v>
      </c>
      <c r="N140">
        <v>50</v>
      </c>
      <c r="O140" t="s">
        <v>94</v>
      </c>
      <c r="P140" t="s">
        <v>42</v>
      </c>
      <c r="Q140">
        <f>IF(Tabela3[[#This Row],[Income]]="&lt;=50K",Tabela3[[#This Row],[Age]],NA())</f>
        <v>30</v>
      </c>
      <c r="R140">
        <f>IF(Tabela3[[#This Row],[Income]]="&lt;=50K",Tabela3[[#This Row],[education-num]],NA())</f>
        <v>13</v>
      </c>
      <c r="S140" t="e">
        <f>IF(Tabela3[[#This Row],[Income]]="&gt;50K",Tabela3[[#This Row],[Age]],NA())</f>
        <v>#N/A</v>
      </c>
      <c r="T140" t="e">
        <f>IF(Tabela3[[#This Row],[Income]]="&gt;50K",Tabela3[[#This Row],[education-num]],NA())</f>
        <v>#N/A</v>
      </c>
    </row>
    <row r="141" spans="1:20">
      <c r="A141">
        <v>140</v>
      </c>
      <c r="B141">
        <v>45</v>
      </c>
      <c r="C141" t="s">
        <v>34</v>
      </c>
      <c r="D141">
        <v>110171</v>
      </c>
      <c r="E141" t="s">
        <v>62</v>
      </c>
      <c r="F141">
        <v>9</v>
      </c>
      <c r="G141" t="s">
        <v>36</v>
      </c>
      <c r="H141" t="s">
        <v>68</v>
      </c>
      <c r="I141" t="s">
        <v>45</v>
      </c>
      <c r="J141" t="s">
        <v>39</v>
      </c>
      <c r="K141" t="s">
        <v>52</v>
      </c>
      <c r="L141">
        <v>0</v>
      </c>
      <c r="M141">
        <v>0</v>
      </c>
      <c r="N141">
        <v>40</v>
      </c>
      <c r="O141" t="s">
        <v>41</v>
      </c>
      <c r="P141" t="s">
        <v>42</v>
      </c>
      <c r="Q141">
        <f>IF(Tabela3[[#This Row],[Income]]="&lt;=50K",Tabela3[[#This Row],[Age]],NA())</f>
        <v>45</v>
      </c>
      <c r="R141">
        <f>IF(Tabela3[[#This Row],[Income]]="&lt;=50K",Tabela3[[#This Row],[education-num]],NA())</f>
        <v>9</v>
      </c>
      <c r="S141" t="e">
        <f>IF(Tabela3[[#This Row],[Income]]="&gt;50K",Tabela3[[#This Row],[Age]],NA())</f>
        <v>#N/A</v>
      </c>
      <c r="T141" t="e">
        <f>IF(Tabela3[[#This Row],[Income]]="&gt;50K",Tabela3[[#This Row],[education-num]],NA())</f>
        <v>#N/A</v>
      </c>
    </row>
    <row r="142" spans="1:20">
      <c r="A142">
        <v>141</v>
      </c>
      <c r="B142">
        <v>41</v>
      </c>
      <c r="C142" t="s">
        <v>34</v>
      </c>
      <c r="D142">
        <v>166813</v>
      </c>
      <c r="E142" t="s">
        <v>46</v>
      </c>
      <c r="F142">
        <v>10</v>
      </c>
      <c r="G142" t="s">
        <v>63</v>
      </c>
      <c r="H142" t="s">
        <v>44</v>
      </c>
      <c r="I142" t="s">
        <v>66</v>
      </c>
      <c r="J142" t="s">
        <v>39</v>
      </c>
      <c r="K142" t="s">
        <v>52</v>
      </c>
      <c r="L142">
        <v>0</v>
      </c>
      <c r="M142">
        <v>0</v>
      </c>
      <c r="N142">
        <v>55</v>
      </c>
      <c r="O142" t="s">
        <v>41</v>
      </c>
      <c r="P142" t="s">
        <v>42</v>
      </c>
      <c r="Q142">
        <f>IF(Tabela3[[#This Row],[Income]]="&lt;=50K",Tabela3[[#This Row],[Age]],NA())</f>
        <v>41</v>
      </c>
      <c r="R142">
        <f>IF(Tabela3[[#This Row],[Income]]="&lt;=50K",Tabela3[[#This Row],[education-num]],NA())</f>
        <v>10</v>
      </c>
      <c r="S142" t="e">
        <f>IF(Tabela3[[#This Row],[Income]]="&gt;50K",Tabela3[[#This Row],[Age]],NA())</f>
        <v>#N/A</v>
      </c>
      <c r="T142" t="e">
        <f>IF(Tabela3[[#This Row],[Income]]="&gt;50K",Tabela3[[#This Row],[education-num]],NA())</f>
        <v>#N/A</v>
      </c>
    </row>
    <row r="143" spans="1:20">
      <c r="A143">
        <v>142</v>
      </c>
      <c r="B143">
        <v>32</v>
      </c>
      <c r="C143" t="s">
        <v>34</v>
      </c>
      <c r="D143">
        <v>32732</v>
      </c>
      <c r="E143" t="s">
        <v>62</v>
      </c>
      <c r="F143">
        <v>9</v>
      </c>
      <c r="G143" t="s">
        <v>63</v>
      </c>
      <c r="H143" t="s">
        <v>61</v>
      </c>
      <c r="I143" t="s">
        <v>66</v>
      </c>
      <c r="J143" t="s">
        <v>39</v>
      </c>
      <c r="K143" t="s">
        <v>52</v>
      </c>
      <c r="L143">
        <v>0</v>
      </c>
      <c r="M143">
        <v>0</v>
      </c>
      <c r="N143">
        <v>50</v>
      </c>
      <c r="O143" t="s">
        <v>41</v>
      </c>
      <c r="P143" t="s">
        <v>42</v>
      </c>
      <c r="Q143">
        <f>IF(Tabela3[[#This Row],[Income]]="&lt;=50K",Tabela3[[#This Row],[Age]],NA())</f>
        <v>32</v>
      </c>
      <c r="R143">
        <f>IF(Tabela3[[#This Row],[Income]]="&lt;=50K",Tabela3[[#This Row],[education-num]],NA())</f>
        <v>9</v>
      </c>
      <c r="S143" t="e">
        <f>IF(Tabela3[[#This Row],[Income]]="&gt;50K",Tabela3[[#This Row],[Age]],NA())</f>
        <v>#N/A</v>
      </c>
      <c r="T143" t="e">
        <f>IF(Tabela3[[#This Row],[Income]]="&gt;50K",Tabela3[[#This Row],[education-num]],NA())</f>
        <v>#N/A</v>
      </c>
    </row>
    <row r="144" spans="1:20">
      <c r="A144">
        <v>143</v>
      </c>
      <c r="B144">
        <v>39</v>
      </c>
      <c r="C144" t="s">
        <v>34</v>
      </c>
      <c r="D144">
        <v>269722</v>
      </c>
      <c r="E144" t="s">
        <v>60</v>
      </c>
      <c r="F144">
        <v>13</v>
      </c>
      <c r="G144" t="s">
        <v>63</v>
      </c>
      <c r="H144" t="s">
        <v>80</v>
      </c>
      <c r="I144" t="s">
        <v>66</v>
      </c>
      <c r="J144" t="s">
        <v>39</v>
      </c>
      <c r="K144" t="s">
        <v>52</v>
      </c>
      <c r="L144">
        <v>0</v>
      </c>
      <c r="M144">
        <v>0</v>
      </c>
      <c r="N144">
        <v>70</v>
      </c>
      <c r="O144" t="s">
        <v>41</v>
      </c>
      <c r="P144" t="s">
        <v>42</v>
      </c>
      <c r="Q144">
        <f>IF(Tabela3[[#This Row],[Income]]="&lt;=50K",Tabela3[[#This Row],[Age]],NA())</f>
        <v>39</v>
      </c>
      <c r="R144">
        <f>IF(Tabela3[[#This Row],[Income]]="&lt;=50K",Tabela3[[#This Row],[education-num]],NA())</f>
        <v>13</v>
      </c>
      <c r="S144" t="e">
        <f>IF(Tabela3[[#This Row],[Income]]="&gt;50K",Tabela3[[#This Row],[Age]],NA())</f>
        <v>#N/A</v>
      </c>
      <c r="T144" t="e">
        <f>IF(Tabela3[[#This Row],[Income]]="&gt;50K",Tabela3[[#This Row],[education-num]],NA())</f>
        <v>#N/A</v>
      </c>
    </row>
    <row r="145" spans="1:20">
      <c r="A145">
        <v>144</v>
      </c>
      <c r="B145">
        <v>45</v>
      </c>
      <c r="C145" t="s">
        <v>34</v>
      </c>
      <c r="D145">
        <v>327886</v>
      </c>
      <c r="E145" t="s">
        <v>84</v>
      </c>
      <c r="F145">
        <v>15</v>
      </c>
      <c r="G145" t="s">
        <v>36</v>
      </c>
      <c r="H145" t="s">
        <v>61</v>
      </c>
      <c r="I145" t="s">
        <v>45</v>
      </c>
      <c r="J145" t="s">
        <v>39</v>
      </c>
      <c r="K145" t="s">
        <v>52</v>
      </c>
      <c r="L145">
        <v>0</v>
      </c>
      <c r="M145">
        <v>0</v>
      </c>
      <c r="N145">
        <v>40</v>
      </c>
      <c r="O145" t="s">
        <v>41</v>
      </c>
      <c r="P145" t="s">
        <v>53</v>
      </c>
      <c r="Q145" t="e">
        <f>IF(Tabela3[[#This Row],[Income]]="&lt;=50K",Tabela3[[#This Row],[Age]],NA())</f>
        <v>#N/A</v>
      </c>
      <c r="R145" t="e">
        <f>IF(Tabela3[[#This Row],[Income]]="&lt;=50K",Tabela3[[#This Row],[education-num]],NA())</f>
        <v>#N/A</v>
      </c>
      <c r="S145">
        <f>IF(Tabela3[[#This Row],[Income]]="&gt;50K",Tabela3[[#This Row],[Age]],NA())</f>
        <v>45</v>
      </c>
      <c r="T145">
        <f>IF(Tabela3[[#This Row],[Income]]="&gt;50K",Tabela3[[#This Row],[education-num]],NA())</f>
        <v>15</v>
      </c>
    </row>
    <row r="146" spans="1:20">
      <c r="A146">
        <v>145</v>
      </c>
      <c r="B146">
        <v>46</v>
      </c>
      <c r="C146" t="s">
        <v>34</v>
      </c>
      <c r="D146">
        <v>28419</v>
      </c>
      <c r="E146" t="s">
        <v>78</v>
      </c>
      <c r="F146">
        <v>11</v>
      </c>
      <c r="G146" t="s">
        <v>36</v>
      </c>
      <c r="H146" t="s">
        <v>72</v>
      </c>
      <c r="I146" t="s">
        <v>45</v>
      </c>
      <c r="J146" t="s">
        <v>39</v>
      </c>
      <c r="K146" t="s">
        <v>52</v>
      </c>
      <c r="L146">
        <v>0</v>
      </c>
      <c r="M146">
        <v>0</v>
      </c>
      <c r="N146">
        <v>50</v>
      </c>
      <c r="O146" t="s">
        <v>41</v>
      </c>
      <c r="P146" t="s">
        <v>42</v>
      </c>
      <c r="Q146">
        <f>IF(Tabela3[[#This Row],[Income]]="&lt;=50K",Tabela3[[#This Row],[Age]],NA())</f>
        <v>46</v>
      </c>
      <c r="R146">
        <f>IF(Tabela3[[#This Row],[Income]]="&lt;=50K",Tabela3[[#This Row],[education-num]],NA())</f>
        <v>11</v>
      </c>
      <c r="S146" t="e">
        <f>IF(Tabela3[[#This Row],[Income]]="&gt;50K",Tabela3[[#This Row],[Age]],NA())</f>
        <v>#N/A</v>
      </c>
      <c r="T146" t="e">
        <f>IF(Tabela3[[#This Row],[Income]]="&gt;50K",Tabela3[[#This Row],[education-num]],NA())</f>
        <v>#N/A</v>
      </c>
    </row>
    <row r="147" spans="1:20">
      <c r="A147">
        <v>146</v>
      </c>
      <c r="B147">
        <v>34</v>
      </c>
      <c r="C147" t="s">
        <v>34</v>
      </c>
      <c r="D147">
        <v>213722</v>
      </c>
      <c r="E147" t="s">
        <v>62</v>
      </c>
      <c r="F147">
        <v>9</v>
      </c>
      <c r="G147" t="s">
        <v>36</v>
      </c>
      <c r="H147" t="s">
        <v>68</v>
      </c>
      <c r="I147" t="s">
        <v>38</v>
      </c>
      <c r="J147" t="s">
        <v>39</v>
      </c>
      <c r="K147" t="s">
        <v>52</v>
      </c>
      <c r="L147">
        <v>0</v>
      </c>
      <c r="M147">
        <v>0</v>
      </c>
      <c r="N147">
        <v>40</v>
      </c>
      <c r="O147" t="s">
        <v>41</v>
      </c>
      <c r="P147" t="s">
        <v>42</v>
      </c>
      <c r="Q147">
        <f>IF(Tabela3[[#This Row],[Income]]="&lt;=50K",Tabela3[[#This Row],[Age]],NA())</f>
        <v>34</v>
      </c>
      <c r="R147">
        <f>IF(Tabela3[[#This Row],[Income]]="&lt;=50K",Tabela3[[#This Row],[education-num]],NA())</f>
        <v>9</v>
      </c>
      <c r="S147" t="e">
        <f>IF(Tabela3[[#This Row],[Income]]="&gt;50K",Tabela3[[#This Row],[Age]],NA())</f>
        <v>#N/A</v>
      </c>
      <c r="T147" t="e">
        <f>IF(Tabela3[[#This Row],[Income]]="&gt;50K",Tabela3[[#This Row],[education-num]],NA())</f>
        <v>#N/A</v>
      </c>
    </row>
    <row r="148" spans="1:20">
      <c r="A148">
        <v>147</v>
      </c>
      <c r="B148">
        <v>54</v>
      </c>
      <c r="C148" t="s">
        <v>34</v>
      </c>
      <c r="D148">
        <v>94055</v>
      </c>
      <c r="E148" t="s">
        <v>60</v>
      </c>
      <c r="F148">
        <v>13</v>
      </c>
      <c r="G148" t="s">
        <v>63</v>
      </c>
      <c r="H148" t="s">
        <v>37</v>
      </c>
      <c r="I148" t="s">
        <v>66</v>
      </c>
      <c r="J148" t="s">
        <v>39</v>
      </c>
      <c r="K148" t="s">
        <v>52</v>
      </c>
      <c r="L148">
        <v>0</v>
      </c>
      <c r="M148">
        <v>0</v>
      </c>
      <c r="N148">
        <v>40</v>
      </c>
      <c r="O148" t="s">
        <v>41</v>
      </c>
      <c r="P148" t="s">
        <v>42</v>
      </c>
      <c r="Q148">
        <f>IF(Tabela3[[#This Row],[Income]]="&lt;=50K",Tabela3[[#This Row],[Age]],NA())</f>
        <v>54</v>
      </c>
      <c r="R148">
        <f>IF(Tabela3[[#This Row],[Income]]="&lt;=50K",Tabela3[[#This Row],[education-num]],NA())</f>
        <v>13</v>
      </c>
      <c r="S148" t="e">
        <f>IF(Tabela3[[#This Row],[Income]]="&gt;50K",Tabela3[[#This Row],[Age]],NA())</f>
        <v>#N/A</v>
      </c>
      <c r="T148" t="e">
        <f>IF(Tabela3[[#This Row],[Income]]="&gt;50K",Tabela3[[#This Row],[education-num]],NA())</f>
        <v>#N/A</v>
      </c>
    </row>
    <row r="149" spans="1:20">
      <c r="A149">
        <v>148</v>
      </c>
      <c r="B149">
        <v>64</v>
      </c>
      <c r="C149" t="s">
        <v>54</v>
      </c>
      <c r="D149">
        <v>202984</v>
      </c>
      <c r="E149" t="s">
        <v>62</v>
      </c>
      <c r="F149">
        <v>9</v>
      </c>
      <c r="G149" t="s">
        <v>63</v>
      </c>
      <c r="H149" t="s">
        <v>50</v>
      </c>
      <c r="I149" t="s">
        <v>66</v>
      </c>
      <c r="J149" t="s">
        <v>39</v>
      </c>
      <c r="K149" t="s">
        <v>52</v>
      </c>
      <c r="L149">
        <v>3137</v>
      </c>
      <c r="M149">
        <v>0</v>
      </c>
      <c r="N149">
        <v>40</v>
      </c>
      <c r="O149" t="s">
        <v>41</v>
      </c>
      <c r="P149" t="s">
        <v>42</v>
      </c>
      <c r="Q149">
        <f>IF(Tabela3[[#This Row],[Income]]="&lt;=50K",Tabela3[[#This Row],[Age]],NA())</f>
        <v>64</v>
      </c>
      <c r="R149">
        <f>IF(Tabela3[[#This Row],[Income]]="&lt;=50K",Tabela3[[#This Row],[education-num]],NA())</f>
        <v>9</v>
      </c>
      <c r="S149" t="e">
        <f>IF(Tabela3[[#This Row],[Income]]="&gt;50K",Tabela3[[#This Row],[Age]],NA())</f>
        <v>#N/A</v>
      </c>
      <c r="T149" t="e">
        <f>IF(Tabela3[[#This Row],[Income]]="&gt;50K",Tabela3[[#This Row],[education-num]],NA())</f>
        <v>#N/A</v>
      </c>
    </row>
    <row r="150" spans="1:20">
      <c r="A150">
        <v>149</v>
      </c>
      <c r="B150">
        <v>36</v>
      </c>
      <c r="C150" t="s">
        <v>34</v>
      </c>
      <c r="D150">
        <v>128382</v>
      </c>
      <c r="E150" t="s">
        <v>46</v>
      </c>
      <c r="F150">
        <v>10</v>
      </c>
      <c r="G150" t="s">
        <v>36</v>
      </c>
      <c r="H150" t="s">
        <v>56</v>
      </c>
      <c r="I150" t="s">
        <v>69</v>
      </c>
      <c r="J150" t="s">
        <v>39</v>
      </c>
      <c r="K150" t="s">
        <v>52</v>
      </c>
      <c r="L150">
        <v>0</v>
      </c>
      <c r="M150">
        <v>0</v>
      </c>
      <c r="N150">
        <v>45</v>
      </c>
      <c r="O150" t="s">
        <v>41</v>
      </c>
      <c r="P150" t="s">
        <v>42</v>
      </c>
      <c r="Q150">
        <f>IF(Tabela3[[#This Row],[Income]]="&lt;=50K",Tabela3[[#This Row],[Age]],NA())</f>
        <v>36</v>
      </c>
      <c r="R150">
        <f>IF(Tabela3[[#This Row],[Income]]="&lt;=50K",Tabela3[[#This Row],[education-num]],NA())</f>
        <v>10</v>
      </c>
      <c r="S150" t="e">
        <f>IF(Tabela3[[#This Row],[Income]]="&gt;50K",Tabela3[[#This Row],[Age]],NA())</f>
        <v>#N/A</v>
      </c>
      <c r="T150" t="e">
        <f>IF(Tabela3[[#This Row],[Income]]="&gt;50K",Tabela3[[#This Row],[education-num]],NA())</f>
        <v>#N/A</v>
      </c>
    </row>
    <row r="151" spans="1:20">
      <c r="A151">
        <v>150</v>
      </c>
      <c r="B151">
        <v>38</v>
      </c>
      <c r="C151" t="s">
        <v>34</v>
      </c>
      <c r="D151">
        <v>193026</v>
      </c>
      <c r="E151" t="s">
        <v>62</v>
      </c>
      <c r="F151">
        <v>9</v>
      </c>
      <c r="G151" t="s">
        <v>36</v>
      </c>
      <c r="H151" t="s">
        <v>37</v>
      </c>
      <c r="I151" t="s">
        <v>69</v>
      </c>
      <c r="J151" t="s">
        <v>39</v>
      </c>
      <c r="K151" t="s">
        <v>52</v>
      </c>
      <c r="L151">
        <v>0</v>
      </c>
      <c r="M151">
        <v>1408</v>
      </c>
      <c r="N151">
        <v>40</v>
      </c>
      <c r="O151" t="s">
        <v>71</v>
      </c>
      <c r="P151" t="s">
        <v>42</v>
      </c>
      <c r="Q151">
        <f>IF(Tabela3[[#This Row],[Income]]="&lt;=50K",Tabela3[[#This Row],[Age]],NA())</f>
        <v>38</v>
      </c>
      <c r="R151">
        <f>IF(Tabela3[[#This Row],[Income]]="&lt;=50K",Tabela3[[#This Row],[education-num]],NA())</f>
        <v>9</v>
      </c>
      <c r="S151" t="e">
        <f>IF(Tabela3[[#This Row],[Income]]="&gt;50K",Tabela3[[#This Row],[Age]],NA())</f>
        <v>#N/A</v>
      </c>
      <c r="T151" t="e">
        <f>IF(Tabela3[[#This Row],[Income]]="&gt;50K",Tabela3[[#This Row],[education-num]],NA())</f>
        <v>#N/A</v>
      </c>
    </row>
    <row r="152" spans="1:20">
      <c r="A152">
        <v>151</v>
      </c>
      <c r="B152">
        <v>62</v>
      </c>
      <c r="C152" t="s">
        <v>71</v>
      </c>
      <c r="D152">
        <v>225657</v>
      </c>
      <c r="E152" t="s">
        <v>62</v>
      </c>
      <c r="F152">
        <v>9</v>
      </c>
      <c r="G152" t="s">
        <v>63</v>
      </c>
      <c r="H152" t="s">
        <v>71</v>
      </c>
      <c r="I152" t="s">
        <v>66</v>
      </c>
      <c r="J152" t="s">
        <v>39</v>
      </c>
      <c r="K152" t="s">
        <v>52</v>
      </c>
      <c r="L152">
        <v>0</v>
      </c>
      <c r="M152">
        <v>0</v>
      </c>
      <c r="N152">
        <v>24</v>
      </c>
      <c r="O152" t="s">
        <v>41</v>
      </c>
      <c r="P152" t="s">
        <v>42</v>
      </c>
      <c r="Q152">
        <f>IF(Tabela3[[#This Row],[Income]]="&lt;=50K",Tabela3[[#This Row],[Age]],NA())</f>
        <v>62</v>
      </c>
      <c r="R152">
        <f>IF(Tabela3[[#This Row],[Income]]="&lt;=50K",Tabela3[[#This Row],[education-num]],NA())</f>
        <v>9</v>
      </c>
      <c r="S152" t="e">
        <f>IF(Tabela3[[#This Row],[Income]]="&gt;50K",Tabela3[[#This Row],[Age]],NA())</f>
        <v>#N/A</v>
      </c>
      <c r="T152" t="e">
        <f>IF(Tabela3[[#This Row],[Income]]="&gt;50K",Tabela3[[#This Row],[education-num]],NA())</f>
        <v>#N/A</v>
      </c>
    </row>
    <row r="153" spans="1:20">
      <c r="A153">
        <v>152</v>
      </c>
      <c r="B153">
        <v>56</v>
      </c>
      <c r="C153" t="s">
        <v>34</v>
      </c>
      <c r="D153">
        <v>85018</v>
      </c>
      <c r="E153" t="s">
        <v>62</v>
      </c>
      <c r="F153">
        <v>9</v>
      </c>
      <c r="G153" t="s">
        <v>36</v>
      </c>
      <c r="H153" t="s">
        <v>67</v>
      </c>
      <c r="I153" t="s">
        <v>45</v>
      </c>
      <c r="J153" t="s">
        <v>39</v>
      </c>
      <c r="K153" t="s">
        <v>40</v>
      </c>
      <c r="L153">
        <v>0</v>
      </c>
      <c r="M153">
        <v>0</v>
      </c>
      <c r="N153">
        <v>40</v>
      </c>
      <c r="O153" t="s">
        <v>41</v>
      </c>
      <c r="P153" t="s">
        <v>42</v>
      </c>
      <c r="Q153">
        <f>IF(Tabela3[[#This Row],[Income]]="&lt;=50K",Tabela3[[#This Row],[Age]],NA())</f>
        <v>56</v>
      </c>
      <c r="R153">
        <f>IF(Tabela3[[#This Row],[Income]]="&lt;=50K",Tabela3[[#This Row],[education-num]],NA())</f>
        <v>9</v>
      </c>
      <c r="S153" t="e">
        <f>IF(Tabela3[[#This Row],[Income]]="&gt;50K",Tabela3[[#This Row],[Age]],NA())</f>
        <v>#N/A</v>
      </c>
      <c r="T153" t="e">
        <f>IF(Tabela3[[#This Row],[Income]]="&gt;50K",Tabela3[[#This Row],[education-num]],NA())</f>
        <v>#N/A</v>
      </c>
    </row>
    <row r="154" spans="1:20">
      <c r="A154">
        <v>153</v>
      </c>
      <c r="B154">
        <v>26</v>
      </c>
      <c r="C154" t="s">
        <v>34</v>
      </c>
      <c r="D154">
        <v>224361</v>
      </c>
      <c r="E154" t="s">
        <v>62</v>
      </c>
      <c r="F154">
        <v>9</v>
      </c>
      <c r="G154" t="s">
        <v>36</v>
      </c>
      <c r="H154" t="s">
        <v>80</v>
      </c>
      <c r="I154" t="s">
        <v>45</v>
      </c>
      <c r="J154" t="s">
        <v>39</v>
      </c>
      <c r="K154" t="s">
        <v>52</v>
      </c>
      <c r="L154">
        <v>0</v>
      </c>
      <c r="M154">
        <v>0</v>
      </c>
      <c r="N154">
        <v>40</v>
      </c>
      <c r="O154" t="s">
        <v>41</v>
      </c>
      <c r="P154" t="s">
        <v>42</v>
      </c>
      <c r="Q154">
        <f>IF(Tabela3[[#This Row],[Income]]="&lt;=50K",Tabela3[[#This Row],[Age]],NA())</f>
        <v>26</v>
      </c>
      <c r="R154">
        <f>IF(Tabela3[[#This Row],[Income]]="&lt;=50K",Tabela3[[#This Row],[education-num]],NA())</f>
        <v>9</v>
      </c>
      <c r="S154" t="e">
        <f>IF(Tabela3[[#This Row],[Income]]="&gt;50K",Tabela3[[#This Row],[Age]],NA())</f>
        <v>#N/A</v>
      </c>
      <c r="T154" t="e">
        <f>IF(Tabela3[[#This Row],[Income]]="&gt;50K",Tabela3[[#This Row],[education-num]],NA())</f>
        <v>#N/A</v>
      </c>
    </row>
    <row r="155" spans="1:20">
      <c r="A155">
        <v>154</v>
      </c>
      <c r="B155">
        <v>63</v>
      </c>
      <c r="C155" t="s">
        <v>34</v>
      </c>
      <c r="D155">
        <v>118798</v>
      </c>
      <c r="E155" t="s">
        <v>62</v>
      </c>
      <c r="F155">
        <v>9</v>
      </c>
      <c r="G155" t="s">
        <v>63</v>
      </c>
      <c r="H155" t="s">
        <v>50</v>
      </c>
      <c r="I155" t="s">
        <v>66</v>
      </c>
      <c r="J155" t="s">
        <v>39</v>
      </c>
      <c r="K155" t="s">
        <v>52</v>
      </c>
      <c r="L155">
        <v>99999</v>
      </c>
      <c r="M155">
        <v>0</v>
      </c>
      <c r="N155">
        <v>40</v>
      </c>
      <c r="O155" t="s">
        <v>41</v>
      </c>
      <c r="P155" t="s">
        <v>53</v>
      </c>
      <c r="Q155" t="e">
        <f>IF(Tabela3[[#This Row],[Income]]="&lt;=50K",Tabela3[[#This Row],[Age]],NA())</f>
        <v>#N/A</v>
      </c>
      <c r="R155" t="e">
        <f>IF(Tabela3[[#This Row],[Income]]="&lt;=50K",Tabela3[[#This Row],[education-num]],NA())</f>
        <v>#N/A</v>
      </c>
      <c r="S155">
        <f>IF(Tabela3[[#This Row],[Income]]="&gt;50K",Tabela3[[#This Row],[Age]],NA())</f>
        <v>63</v>
      </c>
      <c r="T155">
        <f>IF(Tabela3[[#This Row],[Income]]="&gt;50K",Tabela3[[#This Row],[education-num]],NA())</f>
        <v>9</v>
      </c>
    </row>
    <row r="156" spans="1:20">
      <c r="A156">
        <v>155</v>
      </c>
      <c r="B156">
        <v>38</v>
      </c>
      <c r="C156" t="s">
        <v>75</v>
      </c>
      <c r="D156">
        <v>122493</v>
      </c>
      <c r="E156" t="s">
        <v>60</v>
      </c>
      <c r="F156">
        <v>13</v>
      </c>
      <c r="G156" t="s">
        <v>63</v>
      </c>
      <c r="H156" t="s">
        <v>61</v>
      </c>
      <c r="I156" t="s">
        <v>66</v>
      </c>
      <c r="J156" t="s">
        <v>39</v>
      </c>
      <c r="K156" t="s">
        <v>52</v>
      </c>
      <c r="L156">
        <v>4064</v>
      </c>
      <c r="M156">
        <v>0</v>
      </c>
      <c r="N156">
        <v>40</v>
      </c>
      <c r="O156" t="s">
        <v>41</v>
      </c>
      <c r="P156" t="s">
        <v>42</v>
      </c>
      <c r="Q156">
        <f>IF(Tabela3[[#This Row],[Income]]="&lt;=50K",Tabela3[[#This Row],[Age]],NA())</f>
        <v>38</v>
      </c>
      <c r="R156">
        <f>IF(Tabela3[[#This Row],[Income]]="&lt;=50K",Tabela3[[#This Row],[education-num]],NA())</f>
        <v>13</v>
      </c>
      <c r="S156" t="e">
        <f>IF(Tabela3[[#This Row],[Income]]="&gt;50K",Tabela3[[#This Row],[Age]],NA())</f>
        <v>#N/A</v>
      </c>
      <c r="T156" t="e">
        <f>IF(Tabela3[[#This Row],[Income]]="&gt;50K",Tabela3[[#This Row],[education-num]],NA())</f>
        <v>#N/A</v>
      </c>
    </row>
    <row r="157" spans="1:20">
      <c r="A157">
        <v>156</v>
      </c>
      <c r="B157">
        <v>43</v>
      </c>
      <c r="C157" t="s">
        <v>34</v>
      </c>
      <c r="D157">
        <v>59107</v>
      </c>
      <c r="E157" t="s">
        <v>62</v>
      </c>
      <c r="F157">
        <v>9</v>
      </c>
      <c r="G157" t="s">
        <v>55</v>
      </c>
      <c r="H157" t="s">
        <v>37</v>
      </c>
      <c r="I157" t="s">
        <v>45</v>
      </c>
      <c r="J157" t="s">
        <v>39</v>
      </c>
      <c r="K157" t="s">
        <v>40</v>
      </c>
      <c r="L157">
        <v>4101</v>
      </c>
      <c r="M157">
        <v>0</v>
      </c>
      <c r="N157">
        <v>40</v>
      </c>
      <c r="O157" t="s">
        <v>41</v>
      </c>
      <c r="P157" t="s">
        <v>42</v>
      </c>
      <c r="Q157">
        <f>IF(Tabela3[[#This Row],[Income]]="&lt;=50K",Tabela3[[#This Row],[Age]],NA())</f>
        <v>43</v>
      </c>
      <c r="R157">
        <f>IF(Tabela3[[#This Row],[Income]]="&lt;=50K",Tabela3[[#This Row],[education-num]],NA())</f>
        <v>9</v>
      </c>
      <c r="S157" t="e">
        <f>IF(Tabela3[[#This Row],[Income]]="&gt;50K",Tabela3[[#This Row],[Age]],NA())</f>
        <v>#N/A</v>
      </c>
      <c r="T157" t="e">
        <f>IF(Tabela3[[#This Row],[Income]]="&gt;50K",Tabela3[[#This Row],[education-num]],NA())</f>
        <v>#N/A</v>
      </c>
    </row>
    <row r="158" spans="1:20">
      <c r="A158">
        <v>157</v>
      </c>
      <c r="B158">
        <v>30</v>
      </c>
      <c r="C158" t="s">
        <v>71</v>
      </c>
      <c r="D158">
        <v>186420</v>
      </c>
      <c r="E158" t="s">
        <v>60</v>
      </c>
      <c r="F158">
        <v>13</v>
      </c>
      <c r="G158" t="s">
        <v>36</v>
      </c>
      <c r="H158" t="s">
        <v>71</v>
      </c>
      <c r="I158" t="s">
        <v>45</v>
      </c>
      <c r="J158" t="s">
        <v>39</v>
      </c>
      <c r="K158" t="s">
        <v>40</v>
      </c>
      <c r="L158">
        <v>0</v>
      </c>
      <c r="M158">
        <v>0</v>
      </c>
      <c r="N158">
        <v>40</v>
      </c>
      <c r="O158" t="s">
        <v>41</v>
      </c>
      <c r="P158" t="s">
        <v>42</v>
      </c>
      <c r="Q158">
        <f>IF(Tabela3[[#This Row],[Income]]="&lt;=50K",Tabela3[[#This Row],[Age]],NA())</f>
        <v>30</v>
      </c>
      <c r="R158">
        <f>IF(Tabela3[[#This Row],[Income]]="&lt;=50K",Tabela3[[#This Row],[education-num]],NA())</f>
        <v>13</v>
      </c>
      <c r="S158" t="e">
        <f>IF(Tabela3[[#This Row],[Income]]="&gt;50K",Tabela3[[#This Row],[Age]],NA())</f>
        <v>#N/A</v>
      </c>
      <c r="T158" t="e">
        <f>IF(Tabela3[[#This Row],[Income]]="&gt;50K",Tabela3[[#This Row],[education-num]],NA())</f>
        <v>#N/A</v>
      </c>
    </row>
    <row r="159" spans="1:20">
      <c r="A159">
        <v>158</v>
      </c>
      <c r="B159">
        <v>26</v>
      </c>
      <c r="C159" t="s">
        <v>34</v>
      </c>
      <c r="D159">
        <v>89648</v>
      </c>
      <c r="E159" t="s">
        <v>60</v>
      </c>
      <c r="F159">
        <v>13</v>
      </c>
      <c r="G159" t="s">
        <v>36</v>
      </c>
      <c r="H159" t="s">
        <v>80</v>
      </c>
      <c r="I159" t="s">
        <v>45</v>
      </c>
      <c r="J159" t="s">
        <v>39</v>
      </c>
      <c r="K159" t="s">
        <v>40</v>
      </c>
      <c r="L159">
        <v>0</v>
      </c>
      <c r="M159">
        <v>0</v>
      </c>
      <c r="N159">
        <v>50</v>
      </c>
      <c r="O159" t="s">
        <v>41</v>
      </c>
      <c r="P159" t="s">
        <v>42</v>
      </c>
      <c r="Q159">
        <f>IF(Tabela3[[#This Row],[Income]]="&lt;=50K",Tabela3[[#This Row],[Age]],NA())</f>
        <v>26</v>
      </c>
      <c r="R159">
        <f>IF(Tabela3[[#This Row],[Income]]="&lt;=50K",Tabela3[[#This Row],[education-num]],NA())</f>
        <v>13</v>
      </c>
      <c r="S159" t="e">
        <f>IF(Tabela3[[#This Row],[Income]]="&gt;50K",Tabela3[[#This Row],[Age]],NA())</f>
        <v>#N/A</v>
      </c>
      <c r="T159" t="e">
        <f>IF(Tabela3[[#This Row],[Income]]="&gt;50K",Tabela3[[#This Row],[education-num]],NA())</f>
        <v>#N/A</v>
      </c>
    </row>
    <row r="160" spans="1:20">
      <c r="A160">
        <v>159</v>
      </c>
      <c r="B160">
        <v>42</v>
      </c>
      <c r="C160" t="s">
        <v>34</v>
      </c>
      <c r="D160">
        <v>57600</v>
      </c>
      <c r="E160" t="s">
        <v>62</v>
      </c>
      <c r="F160">
        <v>9</v>
      </c>
      <c r="G160" t="s">
        <v>49</v>
      </c>
      <c r="H160" t="s">
        <v>61</v>
      </c>
      <c r="I160" t="s">
        <v>45</v>
      </c>
      <c r="J160" t="s">
        <v>39</v>
      </c>
      <c r="K160" t="s">
        <v>40</v>
      </c>
      <c r="L160">
        <v>0</v>
      </c>
      <c r="M160">
        <v>0</v>
      </c>
      <c r="N160">
        <v>45</v>
      </c>
      <c r="O160" t="s">
        <v>41</v>
      </c>
      <c r="P160" t="s">
        <v>42</v>
      </c>
      <c r="Q160">
        <f>IF(Tabela3[[#This Row],[Income]]="&lt;=50K",Tabela3[[#This Row],[Age]],NA())</f>
        <v>42</v>
      </c>
      <c r="R160">
        <f>IF(Tabela3[[#This Row],[Income]]="&lt;=50K",Tabela3[[#This Row],[education-num]],NA())</f>
        <v>9</v>
      </c>
      <c r="S160" t="e">
        <f>IF(Tabela3[[#This Row],[Income]]="&gt;50K",Tabela3[[#This Row],[Age]],NA())</f>
        <v>#N/A</v>
      </c>
      <c r="T160" t="e">
        <f>IF(Tabela3[[#This Row],[Income]]="&gt;50K",Tabela3[[#This Row],[education-num]],NA())</f>
        <v>#N/A</v>
      </c>
    </row>
    <row r="161" spans="1:20">
      <c r="A161">
        <v>160</v>
      </c>
      <c r="B161">
        <v>43</v>
      </c>
      <c r="C161" t="s">
        <v>34</v>
      </c>
      <c r="D161">
        <v>35910</v>
      </c>
      <c r="E161" t="s">
        <v>46</v>
      </c>
      <c r="F161">
        <v>10</v>
      </c>
      <c r="G161" t="s">
        <v>63</v>
      </c>
      <c r="H161" t="s">
        <v>44</v>
      </c>
      <c r="I161" t="s">
        <v>66</v>
      </c>
      <c r="J161" t="s">
        <v>39</v>
      </c>
      <c r="K161" t="s">
        <v>52</v>
      </c>
      <c r="L161">
        <v>0</v>
      </c>
      <c r="M161">
        <v>0</v>
      </c>
      <c r="N161">
        <v>43</v>
      </c>
      <c r="O161" t="s">
        <v>41</v>
      </c>
      <c r="P161" t="s">
        <v>53</v>
      </c>
      <c r="Q161" t="e">
        <f>IF(Tabela3[[#This Row],[Income]]="&lt;=50K",Tabela3[[#This Row],[Age]],NA())</f>
        <v>#N/A</v>
      </c>
      <c r="R161" t="e">
        <f>IF(Tabela3[[#This Row],[Income]]="&lt;=50K",Tabela3[[#This Row],[education-num]],NA())</f>
        <v>#N/A</v>
      </c>
      <c r="S161">
        <f>IF(Tabela3[[#This Row],[Income]]="&gt;50K",Tabela3[[#This Row],[Age]],NA())</f>
        <v>43</v>
      </c>
      <c r="T161">
        <f>IF(Tabela3[[#This Row],[Income]]="&gt;50K",Tabela3[[#This Row],[education-num]],NA())</f>
        <v>10</v>
      </c>
    </row>
    <row r="162" spans="1:20">
      <c r="A162">
        <v>161</v>
      </c>
      <c r="B162">
        <v>29</v>
      </c>
      <c r="C162" t="s">
        <v>34</v>
      </c>
      <c r="D162">
        <v>161444</v>
      </c>
      <c r="E162" t="s">
        <v>62</v>
      </c>
      <c r="F162">
        <v>9</v>
      </c>
      <c r="G162" t="s">
        <v>63</v>
      </c>
      <c r="H162" t="s">
        <v>80</v>
      </c>
      <c r="I162" t="s">
        <v>66</v>
      </c>
      <c r="J162" t="s">
        <v>39</v>
      </c>
      <c r="K162" t="s">
        <v>52</v>
      </c>
      <c r="L162">
        <v>0</v>
      </c>
      <c r="M162">
        <v>0</v>
      </c>
      <c r="N162">
        <v>40</v>
      </c>
      <c r="O162" t="s">
        <v>95</v>
      </c>
      <c r="P162" t="s">
        <v>42</v>
      </c>
      <c r="Q162">
        <f>IF(Tabela3[[#This Row],[Income]]="&lt;=50K",Tabela3[[#This Row],[Age]],NA())</f>
        <v>29</v>
      </c>
      <c r="R162">
        <f>IF(Tabela3[[#This Row],[Income]]="&lt;=50K",Tabela3[[#This Row],[education-num]],NA())</f>
        <v>9</v>
      </c>
      <c r="S162" t="e">
        <f>IF(Tabela3[[#This Row],[Income]]="&gt;50K",Tabela3[[#This Row],[Age]],NA())</f>
        <v>#N/A</v>
      </c>
      <c r="T162" t="e">
        <f>IF(Tabela3[[#This Row],[Income]]="&gt;50K",Tabela3[[#This Row],[education-num]],NA())</f>
        <v>#N/A</v>
      </c>
    </row>
    <row r="163" spans="1:20">
      <c r="A163">
        <v>162</v>
      </c>
      <c r="B163">
        <v>23</v>
      </c>
      <c r="C163" t="s">
        <v>34</v>
      </c>
      <c r="D163">
        <v>176486</v>
      </c>
      <c r="E163" t="s">
        <v>78</v>
      </c>
      <c r="F163">
        <v>11</v>
      </c>
      <c r="G163" t="s">
        <v>36</v>
      </c>
      <c r="H163" t="s">
        <v>67</v>
      </c>
      <c r="I163" t="s">
        <v>38</v>
      </c>
      <c r="J163" t="s">
        <v>39</v>
      </c>
      <c r="K163" t="s">
        <v>40</v>
      </c>
      <c r="L163">
        <v>0</v>
      </c>
      <c r="M163">
        <v>0</v>
      </c>
      <c r="N163">
        <v>36</v>
      </c>
      <c r="O163" t="s">
        <v>41</v>
      </c>
      <c r="P163" t="s">
        <v>42</v>
      </c>
      <c r="Q163">
        <f>IF(Tabela3[[#This Row],[Income]]="&lt;=50K",Tabela3[[#This Row],[Age]],NA())</f>
        <v>23</v>
      </c>
      <c r="R163">
        <f>IF(Tabela3[[#This Row],[Income]]="&lt;=50K",Tabela3[[#This Row],[education-num]],NA())</f>
        <v>11</v>
      </c>
      <c r="S163" t="e">
        <f>IF(Tabela3[[#This Row],[Income]]="&gt;50K",Tabela3[[#This Row],[Age]],NA())</f>
        <v>#N/A</v>
      </c>
      <c r="T163" t="e">
        <f>IF(Tabela3[[#This Row],[Income]]="&gt;50K",Tabela3[[#This Row],[education-num]],NA())</f>
        <v>#N/A</v>
      </c>
    </row>
    <row r="164" spans="1:20">
      <c r="A164">
        <v>163</v>
      </c>
      <c r="B164">
        <v>31</v>
      </c>
      <c r="C164" t="s">
        <v>34</v>
      </c>
      <c r="D164">
        <v>31600</v>
      </c>
      <c r="E164" t="s">
        <v>60</v>
      </c>
      <c r="F164">
        <v>13</v>
      </c>
      <c r="G164" t="s">
        <v>36</v>
      </c>
      <c r="H164" t="s">
        <v>61</v>
      </c>
      <c r="I164" t="s">
        <v>45</v>
      </c>
      <c r="J164" t="s">
        <v>39</v>
      </c>
      <c r="K164" t="s">
        <v>40</v>
      </c>
      <c r="L164">
        <v>0</v>
      </c>
      <c r="M164">
        <v>0</v>
      </c>
      <c r="N164">
        <v>40</v>
      </c>
      <c r="O164" t="s">
        <v>41</v>
      </c>
      <c r="P164" t="s">
        <v>42</v>
      </c>
      <c r="Q164">
        <f>IF(Tabela3[[#This Row],[Income]]="&lt;=50K",Tabela3[[#This Row],[Age]],NA())</f>
        <v>31</v>
      </c>
      <c r="R164">
        <f>IF(Tabela3[[#This Row],[Income]]="&lt;=50K",Tabela3[[#This Row],[education-num]],NA())</f>
        <v>13</v>
      </c>
      <c r="S164" t="e">
        <f>IF(Tabela3[[#This Row],[Income]]="&gt;50K",Tabela3[[#This Row],[Age]],NA())</f>
        <v>#N/A</v>
      </c>
      <c r="T164" t="e">
        <f>IF(Tabela3[[#This Row],[Income]]="&gt;50K",Tabela3[[#This Row],[education-num]],NA())</f>
        <v>#N/A</v>
      </c>
    </row>
    <row r="165" spans="1:20">
      <c r="A165">
        <v>164</v>
      </c>
      <c r="B165">
        <v>40</v>
      </c>
      <c r="C165" t="s">
        <v>34</v>
      </c>
      <c r="D165">
        <v>173858</v>
      </c>
      <c r="E165" t="s">
        <v>91</v>
      </c>
      <c r="F165">
        <v>4</v>
      </c>
      <c r="G165" t="s">
        <v>63</v>
      </c>
      <c r="H165" t="s">
        <v>37</v>
      </c>
      <c r="I165" t="s">
        <v>66</v>
      </c>
      <c r="J165" t="s">
        <v>70</v>
      </c>
      <c r="K165" t="s">
        <v>52</v>
      </c>
      <c r="L165">
        <v>0</v>
      </c>
      <c r="M165">
        <v>0</v>
      </c>
      <c r="N165">
        <v>42</v>
      </c>
      <c r="O165" t="s">
        <v>96</v>
      </c>
      <c r="P165" t="s">
        <v>42</v>
      </c>
      <c r="Q165">
        <f>IF(Tabela3[[#This Row],[Income]]="&lt;=50K",Tabela3[[#This Row],[Age]],NA())</f>
        <v>40</v>
      </c>
      <c r="R165">
        <f>IF(Tabela3[[#This Row],[Income]]="&lt;=50K",Tabela3[[#This Row],[education-num]],NA())</f>
        <v>4</v>
      </c>
      <c r="S165" t="e">
        <f>IF(Tabela3[[#This Row],[Income]]="&gt;50K",Tabela3[[#This Row],[Age]],NA())</f>
        <v>#N/A</v>
      </c>
      <c r="T165" t="e">
        <f>IF(Tabela3[[#This Row],[Income]]="&gt;50K",Tabela3[[#This Row],[education-num]],NA())</f>
        <v>#N/A</v>
      </c>
    </row>
    <row r="166" spans="1:20">
      <c r="A166">
        <v>165</v>
      </c>
      <c r="B166">
        <v>50</v>
      </c>
      <c r="C166" t="s">
        <v>34</v>
      </c>
      <c r="D166">
        <v>210217</v>
      </c>
      <c r="E166" t="s">
        <v>60</v>
      </c>
      <c r="F166">
        <v>13</v>
      </c>
      <c r="G166" t="s">
        <v>49</v>
      </c>
      <c r="H166" t="s">
        <v>44</v>
      </c>
      <c r="I166" t="s">
        <v>69</v>
      </c>
      <c r="J166" t="s">
        <v>57</v>
      </c>
      <c r="K166" t="s">
        <v>52</v>
      </c>
      <c r="L166">
        <v>0</v>
      </c>
      <c r="M166">
        <v>0</v>
      </c>
      <c r="N166">
        <v>40</v>
      </c>
      <c r="O166" t="s">
        <v>41</v>
      </c>
      <c r="P166" t="s">
        <v>42</v>
      </c>
      <c r="Q166">
        <f>IF(Tabela3[[#This Row],[Income]]="&lt;=50K",Tabela3[[#This Row],[Age]],NA())</f>
        <v>50</v>
      </c>
      <c r="R166">
        <f>IF(Tabela3[[#This Row],[Income]]="&lt;=50K",Tabela3[[#This Row],[education-num]],NA())</f>
        <v>13</v>
      </c>
      <c r="S166" t="e">
        <f>IF(Tabela3[[#This Row],[Income]]="&gt;50K",Tabela3[[#This Row],[Age]],NA())</f>
        <v>#N/A</v>
      </c>
      <c r="T166" t="e">
        <f>IF(Tabela3[[#This Row],[Income]]="&gt;50K",Tabela3[[#This Row],[education-num]],NA())</f>
        <v>#N/A</v>
      </c>
    </row>
    <row r="167" spans="1:20">
      <c r="A167">
        <v>166</v>
      </c>
      <c r="B167">
        <v>32</v>
      </c>
      <c r="C167" t="s">
        <v>83</v>
      </c>
      <c r="D167">
        <v>113543</v>
      </c>
      <c r="E167" t="s">
        <v>84</v>
      </c>
      <c r="F167">
        <v>15</v>
      </c>
      <c r="G167" t="s">
        <v>63</v>
      </c>
      <c r="H167" t="s">
        <v>61</v>
      </c>
      <c r="I167" t="s">
        <v>66</v>
      </c>
      <c r="J167" t="s">
        <v>39</v>
      </c>
      <c r="K167" t="s">
        <v>52</v>
      </c>
      <c r="L167">
        <v>0</v>
      </c>
      <c r="M167">
        <v>0</v>
      </c>
      <c r="N167">
        <v>40</v>
      </c>
      <c r="O167" t="s">
        <v>41</v>
      </c>
      <c r="P167" t="s">
        <v>53</v>
      </c>
      <c r="Q167" t="e">
        <f>IF(Tabela3[[#This Row],[Income]]="&lt;=50K",Tabela3[[#This Row],[Age]],NA())</f>
        <v>#N/A</v>
      </c>
      <c r="R167" t="e">
        <f>IF(Tabela3[[#This Row],[Income]]="&lt;=50K",Tabela3[[#This Row],[education-num]],NA())</f>
        <v>#N/A</v>
      </c>
      <c r="S167">
        <f>IF(Tabela3[[#This Row],[Income]]="&gt;50K",Tabela3[[#This Row],[Age]],NA())</f>
        <v>32</v>
      </c>
      <c r="T167">
        <f>IF(Tabela3[[#This Row],[Income]]="&gt;50K",Tabela3[[#This Row],[education-num]],NA())</f>
        <v>15</v>
      </c>
    </row>
    <row r="168" spans="1:20">
      <c r="A168">
        <v>167</v>
      </c>
      <c r="B168">
        <v>17</v>
      </c>
      <c r="C168" t="s">
        <v>34</v>
      </c>
      <c r="D168">
        <v>111332</v>
      </c>
      <c r="E168" t="s">
        <v>35</v>
      </c>
      <c r="F168">
        <v>7</v>
      </c>
      <c r="G168" t="s">
        <v>36</v>
      </c>
      <c r="H168" t="s">
        <v>44</v>
      </c>
      <c r="I168" t="s">
        <v>38</v>
      </c>
      <c r="J168" t="s">
        <v>39</v>
      </c>
      <c r="K168" t="s">
        <v>40</v>
      </c>
      <c r="L168">
        <v>0</v>
      </c>
      <c r="M168">
        <v>0</v>
      </c>
      <c r="N168">
        <v>20</v>
      </c>
      <c r="O168" t="s">
        <v>41</v>
      </c>
      <c r="P168" t="s">
        <v>42</v>
      </c>
      <c r="Q168">
        <f>IF(Tabela3[[#This Row],[Income]]="&lt;=50K",Tabela3[[#This Row],[Age]],NA())</f>
        <v>17</v>
      </c>
      <c r="R168">
        <f>IF(Tabela3[[#This Row],[Income]]="&lt;=50K",Tabela3[[#This Row],[education-num]],NA())</f>
        <v>7</v>
      </c>
      <c r="S168" t="e">
        <f>IF(Tabela3[[#This Row],[Income]]="&gt;50K",Tabela3[[#This Row],[Age]],NA())</f>
        <v>#N/A</v>
      </c>
      <c r="T168" t="e">
        <f>IF(Tabela3[[#This Row],[Income]]="&gt;50K",Tabela3[[#This Row],[education-num]],NA())</f>
        <v>#N/A</v>
      </c>
    </row>
    <row r="169" spans="1:20">
      <c r="A169">
        <v>168</v>
      </c>
      <c r="B169">
        <v>23</v>
      </c>
      <c r="C169" t="s">
        <v>34</v>
      </c>
      <c r="D169">
        <v>222925</v>
      </c>
      <c r="E169" t="s">
        <v>62</v>
      </c>
      <c r="F169">
        <v>9</v>
      </c>
      <c r="G169" t="s">
        <v>63</v>
      </c>
      <c r="H169" t="s">
        <v>56</v>
      </c>
      <c r="I169" t="s">
        <v>38</v>
      </c>
      <c r="J169" t="s">
        <v>39</v>
      </c>
      <c r="K169" t="s">
        <v>40</v>
      </c>
      <c r="L169">
        <v>2105</v>
      </c>
      <c r="M169">
        <v>0</v>
      </c>
      <c r="N169">
        <v>40</v>
      </c>
      <c r="O169" t="s">
        <v>41</v>
      </c>
      <c r="P169" t="s">
        <v>42</v>
      </c>
      <c r="Q169">
        <f>IF(Tabela3[[#This Row],[Income]]="&lt;=50K",Tabela3[[#This Row],[Age]],NA())</f>
        <v>23</v>
      </c>
      <c r="R169">
        <f>IF(Tabela3[[#This Row],[Income]]="&lt;=50K",Tabela3[[#This Row],[education-num]],NA())</f>
        <v>9</v>
      </c>
      <c r="S169" t="e">
        <f>IF(Tabela3[[#This Row],[Income]]="&gt;50K",Tabela3[[#This Row],[Age]],NA())</f>
        <v>#N/A</v>
      </c>
      <c r="T169" t="e">
        <f>IF(Tabela3[[#This Row],[Income]]="&gt;50K",Tabela3[[#This Row],[education-num]],NA())</f>
        <v>#N/A</v>
      </c>
    </row>
    <row r="170" spans="1:20">
      <c r="A170">
        <v>169</v>
      </c>
      <c r="B170">
        <v>34</v>
      </c>
      <c r="C170" t="s">
        <v>71</v>
      </c>
      <c r="D170">
        <v>353881</v>
      </c>
      <c r="E170" t="s">
        <v>78</v>
      </c>
      <c r="F170">
        <v>11</v>
      </c>
      <c r="G170" t="s">
        <v>63</v>
      </c>
      <c r="H170" t="s">
        <v>71</v>
      </c>
      <c r="I170" t="s">
        <v>66</v>
      </c>
      <c r="J170" t="s">
        <v>39</v>
      </c>
      <c r="K170" t="s">
        <v>52</v>
      </c>
      <c r="L170">
        <v>3103</v>
      </c>
      <c r="M170">
        <v>0</v>
      </c>
      <c r="N170">
        <v>60</v>
      </c>
      <c r="O170" t="s">
        <v>41</v>
      </c>
      <c r="P170" t="s">
        <v>53</v>
      </c>
      <c r="Q170" t="e">
        <f>IF(Tabela3[[#This Row],[Income]]="&lt;=50K",Tabela3[[#This Row],[Age]],NA())</f>
        <v>#N/A</v>
      </c>
      <c r="R170" t="e">
        <f>IF(Tabela3[[#This Row],[Income]]="&lt;=50K",Tabela3[[#This Row],[education-num]],NA())</f>
        <v>#N/A</v>
      </c>
      <c r="S170">
        <f>IF(Tabela3[[#This Row],[Income]]="&gt;50K",Tabela3[[#This Row],[Age]],NA())</f>
        <v>34</v>
      </c>
      <c r="T170">
        <f>IF(Tabela3[[#This Row],[Income]]="&gt;50K",Tabela3[[#This Row],[education-num]],NA())</f>
        <v>11</v>
      </c>
    </row>
    <row r="171" spans="1:20">
      <c r="A171">
        <v>170</v>
      </c>
      <c r="B171">
        <v>48</v>
      </c>
      <c r="C171" t="s">
        <v>34</v>
      </c>
      <c r="D171">
        <v>248164</v>
      </c>
      <c r="E171" t="s">
        <v>60</v>
      </c>
      <c r="F171">
        <v>13</v>
      </c>
      <c r="G171" t="s">
        <v>63</v>
      </c>
      <c r="H171" t="s">
        <v>44</v>
      </c>
      <c r="I171" t="s">
        <v>66</v>
      </c>
      <c r="J171" t="s">
        <v>39</v>
      </c>
      <c r="K171" t="s">
        <v>52</v>
      </c>
      <c r="L171">
        <v>4386</v>
      </c>
      <c r="M171">
        <v>0</v>
      </c>
      <c r="N171">
        <v>50</v>
      </c>
      <c r="O171" t="s">
        <v>41</v>
      </c>
      <c r="P171" t="s">
        <v>53</v>
      </c>
      <c r="Q171" t="e">
        <f>IF(Tabela3[[#This Row],[Income]]="&lt;=50K",Tabela3[[#This Row],[Age]],NA())</f>
        <v>#N/A</v>
      </c>
      <c r="R171" t="e">
        <f>IF(Tabela3[[#This Row],[Income]]="&lt;=50K",Tabela3[[#This Row],[education-num]],NA())</f>
        <v>#N/A</v>
      </c>
      <c r="S171">
        <f>IF(Tabela3[[#This Row],[Income]]="&gt;50K",Tabela3[[#This Row],[Age]],NA())</f>
        <v>48</v>
      </c>
      <c r="T171">
        <f>IF(Tabela3[[#This Row],[Income]]="&gt;50K",Tabela3[[#This Row],[education-num]],NA())</f>
        <v>13</v>
      </c>
    </row>
    <row r="172" spans="1:20">
      <c r="A172">
        <v>171</v>
      </c>
      <c r="B172">
        <v>40</v>
      </c>
      <c r="C172" t="s">
        <v>74</v>
      </c>
      <c r="D172">
        <v>33068</v>
      </c>
      <c r="E172" t="s">
        <v>62</v>
      </c>
      <c r="F172">
        <v>9</v>
      </c>
      <c r="G172" t="s">
        <v>63</v>
      </c>
      <c r="H172" t="s">
        <v>58</v>
      </c>
      <c r="I172" t="s">
        <v>66</v>
      </c>
      <c r="J172" t="s">
        <v>39</v>
      </c>
      <c r="K172" t="s">
        <v>52</v>
      </c>
      <c r="L172">
        <v>0</v>
      </c>
      <c r="M172">
        <v>0</v>
      </c>
      <c r="N172">
        <v>50</v>
      </c>
      <c r="O172" t="s">
        <v>41</v>
      </c>
      <c r="P172" t="s">
        <v>42</v>
      </c>
      <c r="Q172">
        <f>IF(Tabela3[[#This Row],[Income]]="&lt;=50K",Tabela3[[#This Row],[Age]],NA())</f>
        <v>40</v>
      </c>
      <c r="R172">
        <f>IF(Tabela3[[#This Row],[Income]]="&lt;=50K",Tabela3[[#This Row],[education-num]],NA())</f>
        <v>9</v>
      </c>
      <c r="S172" t="e">
        <f>IF(Tabela3[[#This Row],[Income]]="&gt;50K",Tabela3[[#This Row],[Age]],NA())</f>
        <v>#N/A</v>
      </c>
      <c r="T172" t="e">
        <f>IF(Tabela3[[#This Row],[Income]]="&gt;50K",Tabela3[[#This Row],[education-num]],NA())</f>
        <v>#N/A</v>
      </c>
    </row>
    <row r="173" spans="1:20">
      <c r="A173">
        <v>172</v>
      </c>
      <c r="B173">
        <v>21</v>
      </c>
      <c r="C173" t="s">
        <v>34</v>
      </c>
      <c r="D173">
        <v>222490</v>
      </c>
      <c r="E173" t="s">
        <v>46</v>
      </c>
      <c r="F173">
        <v>10</v>
      </c>
      <c r="G173" t="s">
        <v>36</v>
      </c>
      <c r="H173" t="s">
        <v>68</v>
      </c>
      <c r="I173" t="s">
        <v>38</v>
      </c>
      <c r="J173" t="s">
        <v>39</v>
      </c>
      <c r="K173" t="s">
        <v>40</v>
      </c>
      <c r="L173">
        <v>0</v>
      </c>
      <c r="M173">
        <v>0</v>
      </c>
      <c r="N173">
        <v>40</v>
      </c>
      <c r="O173" t="s">
        <v>41</v>
      </c>
      <c r="P173" t="s">
        <v>42</v>
      </c>
      <c r="Q173">
        <f>IF(Tabela3[[#This Row],[Income]]="&lt;=50K",Tabela3[[#This Row],[Age]],NA())</f>
        <v>21</v>
      </c>
      <c r="R173">
        <f>IF(Tabela3[[#This Row],[Income]]="&lt;=50K",Tabela3[[#This Row],[education-num]],NA())</f>
        <v>10</v>
      </c>
      <c r="S173" t="e">
        <f>IF(Tabela3[[#This Row],[Income]]="&gt;50K",Tabela3[[#This Row],[Age]],NA())</f>
        <v>#N/A</v>
      </c>
      <c r="T173" t="e">
        <f>IF(Tabela3[[#This Row],[Income]]="&gt;50K",Tabela3[[#This Row],[education-num]],NA())</f>
        <v>#N/A</v>
      </c>
    </row>
    <row r="174" spans="1:20">
      <c r="A174">
        <v>173</v>
      </c>
      <c r="B174">
        <v>43</v>
      </c>
      <c r="C174" t="s">
        <v>34</v>
      </c>
      <c r="D174">
        <v>115323</v>
      </c>
      <c r="E174" t="s">
        <v>60</v>
      </c>
      <c r="F174">
        <v>13</v>
      </c>
      <c r="G174" t="s">
        <v>63</v>
      </c>
      <c r="H174" t="s">
        <v>80</v>
      </c>
      <c r="I174" t="s">
        <v>66</v>
      </c>
      <c r="J174" t="s">
        <v>39</v>
      </c>
      <c r="K174" t="s">
        <v>52</v>
      </c>
      <c r="L174">
        <v>3103</v>
      </c>
      <c r="M174">
        <v>0</v>
      </c>
      <c r="N174">
        <v>40</v>
      </c>
      <c r="O174" t="s">
        <v>41</v>
      </c>
      <c r="P174" t="s">
        <v>53</v>
      </c>
      <c r="Q174" t="e">
        <f>IF(Tabela3[[#This Row],[Income]]="&lt;=50K",Tabela3[[#This Row],[Age]],NA())</f>
        <v>#N/A</v>
      </c>
      <c r="R174" t="e">
        <f>IF(Tabela3[[#This Row],[Income]]="&lt;=50K",Tabela3[[#This Row],[education-num]],NA())</f>
        <v>#N/A</v>
      </c>
      <c r="S174">
        <f>IF(Tabela3[[#This Row],[Income]]="&gt;50K",Tabela3[[#This Row],[Age]],NA())</f>
        <v>43</v>
      </c>
      <c r="T174">
        <f>IF(Tabela3[[#This Row],[Income]]="&gt;50K",Tabela3[[#This Row],[education-num]],NA())</f>
        <v>13</v>
      </c>
    </row>
    <row r="175" spans="1:20">
      <c r="A175">
        <v>174</v>
      </c>
      <c r="B175">
        <v>39</v>
      </c>
      <c r="C175" t="s">
        <v>59</v>
      </c>
      <c r="D175">
        <v>114055</v>
      </c>
      <c r="E175" t="s">
        <v>60</v>
      </c>
      <c r="F175">
        <v>13</v>
      </c>
      <c r="G175" t="s">
        <v>36</v>
      </c>
      <c r="H175" t="s">
        <v>80</v>
      </c>
      <c r="I175" t="s">
        <v>45</v>
      </c>
      <c r="J175" t="s">
        <v>39</v>
      </c>
      <c r="K175" t="s">
        <v>40</v>
      </c>
      <c r="L175">
        <v>0</v>
      </c>
      <c r="M175">
        <v>0</v>
      </c>
      <c r="N175">
        <v>40</v>
      </c>
      <c r="O175" t="s">
        <v>41</v>
      </c>
      <c r="P175" t="s">
        <v>42</v>
      </c>
      <c r="Q175">
        <f>IF(Tabela3[[#This Row],[Income]]="&lt;=50K",Tabela3[[#This Row],[Age]],NA())</f>
        <v>39</v>
      </c>
      <c r="R175">
        <f>IF(Tabela3[[#This Row],[Income]]="&lt;=50K",Tabela3[[#This Row],[education-num]],NA())</f>
        <v>13</v>
      </c>
      <c r="S175" t="e">
        <f>IF(Tabela3[[#This Row],[Income]]="&gt;50K",Tabela3[[#This Row],[Age]],NA())</f>
        <v>#N/A</v>
      </c>
      <c r="T175" t="e">
        <f>IF(Tabela3[[#This Row],[Income]]="&gt;50K",Tabela3[[#This Row],[education-num]],NA())</f>
        <v>#N/A</v>
      </c>
    </row>
    <row r="176" spans="1:20">
      <c r="A176">
        <v>175</v>
      </c>
      <c r="B176">
        <v>27</v>
      </c>
      <c r="C176" t="s">
        <v>34</v>
      </c>
      <c r="D176">
        <v>302406</v>
      </c>
      <c r="E176" t="s">
        <v>46</v>
      </c>
      <c r="F176">
        <v>10</v>
      </c>
      <c r="G176" t="s">
        <v>63</v>
      </c>
      <c r="H176" t="s">
        <v>44</v>
      </c>
      <c r="I176" t="s">
        <v>66</v>
      </c>
      <c r="J176" t="s">
        <v>39</v>
      </c>
      <c r="K176" t="s">
        <v>52</v>
      </c>
      <c r="L176">
        <v>0</v>
      </c>
      <c r="M176">
        <v>0</v>
      </c>
      <c r="N176">
        <v>40</v>
      </c>
      <c r="O176" t="s">
        <v>41</v>
      </c>
      <c r="P176" t="s">
        <v>53</v>
      </c>
      <c r="Q176" t="e">
        <f>IF(Tabela3[[#This Row],[Income]]="&lt;=50K",Tabela3[[#This Row],[Age]],NA())</f>
        <v>#N/A</v>
      </c>
      <c r="R176" t="e">
        <f>IF(Tabela3[[#This Row],[Income]]="&lt;=50K",Tabela3[[#This Row],[education-num]],NA())</f>
        <v>#N/A</v>
      </c>
      <c r="S176">
        <f>IF(Tabela3[[#This Row],[Income]]="&gt;50K",Tabela3[[#This Row],[Age]],NA())</f>
        <v>27</v>
      </c>
      <c r="T176">
        <f>IF(Tabela3[[#This Row],[Income]]="&gt;50K",Tabela3[[#This Row],[education-num]],NA())</f>
        <v>10</v>
      </c>
    </row>
    <row r="177" spans="1:20">
      <c r="A177">
        <v>176</v>
      </c>
      <c r="B177">
        <v>17</v>
      </c>
      <c r="C177" t="s">
        <v>34</v>
      </c>
      <c r="D177">
        <v>294485</v>
      </c>
      <c r="E177" t="s">
        <v>77</v>
      </c>
      <c r="F177">
        <v>6</v>
      </c>
      <c r="G177" t="s">
        <v>36</v>
      </c>
      <c r="H177" t="s">
        <v>37</v>
      </c>
      <c r="I177" t="s">
        <v>38</v>
      </c>
      <c r="J177" t="s">
        <v>39</v>
      </c>
      <c r="K177" t="s">
        <v>52</v>
      </c>
      <c r="L177">
        <v>0</v>
      </c>
      <c r="M177">
        <v>0</v>
      </c>
      <c r="N177">
        <v>30</v>
      </c>
      <c r="O177" t="s">
        <v>41</v>
      </c>
      <c r="P177" t="s">
        <v>42</v>
      </c>
      <c r="Q177">
        <f>IF(Tabela3[[#This Row],[Income]]="&lt;=50K",Tabela3[[#This Row],[Age]],NA())</f>
        <v>17</v>
      </c>
      <c r="R177">
        <f>IF(Tabela3[[#This Row],[Income]]="&lt;=50K",Tabela3[[#This Row],[education-num]],NA())</f>
        <v>6</v>
      </c>
      <c r="S177" t="e">
        <f>IF(Tabela3[[#This Row],[Income]]="&gt;50K",Tabela3[[#This Row],[Age]],NA())</f>
        <v>#N/A</v>
      </c>
      <c r="T177" t="e">
        <f>IF(Tabela3[[#This Row],[Income]]="&gt;50K",Tabela3[[#This Row],[education-num]],NA())</f>
        <v>#N/A</v>
      </c>
    </row>
    <row r="178" spans="1:20">
      <c r="A178">
        <v>177</v>
      </c>
      <c r="B178">
        <v>25</v>
      </c>
      <c r="C178" t="s">
        <v>34</v>
      </c>
      <c r="D178">
        <v>177499</v>
      </c>
      <c r="E178" t="s">
        <v>60</v>
      </c>
      <c r="F178">
        <v>13</v>
      </c>
      <c r="G178" t="s">
        <v>36</v>
      </c>
      <c r="H178" t="s">
        <v>50</v>
      </c>
      <c r="I178" t="s">
        <v>38</v>
      </c>
      <c r="J178" t="s">
        <v>39</v>
      </c>
      <c r="K178" t="s">
        <v>52</v>
      </c>
      <c r="L178">
        <v>0</v>
      </c>
      <c r="M178">
        <v>1590</v>
      </c>
      <c r="N178">
        <v>35</v>
      </c>
      <c r="O178" t="s">
        <v>41</v>
      </c>
      <c r="P178" t="s">
        <v>42</v>
      </c>
      <c r="Q178">
        <f>IF(Tabela3[[#This Row],[Income]]="&lt;=50K",Tabela3[[#This Row],[Age]],NA())</f>
        <v>25</v>
      </c>
      <c r="R178">
        <f>IF(Tabela3[[#This Row],[Income]]="&lt;=50K",Tabela3[[#This Row],[education-num]],NA())</f>
        <v>13</v>
      </c>
      <c r="S178" t="e">
        <f>IF(Tabela3[[#This Row],[Income]]="&gt;50K",Tabela3[[#This Row],[Age]],NA())</f>
        <v>#N/A</v>
      </c>
      <c r="T178" t="e">
        <f>IF(Tabela3[[#This Row],[Income]]="&gt;50K",Tabela3[[#This Row],[education-num]],NA())</f>
        <v>#N/A</v>
      </c>
    </row>
    <row r="179" spans="1:20">
      <c r="A179">
        <v>178</v>
      </c>
      <c r="B179">
        <v>33</v>
      </c>
      <c r="C179" t="s">
        <v>34</v>
      </c>
      <c r="D179">
        <v>323069</v>
      </c>
      <c r="E179" t="s">
        <v>78</v>
      </c>
      <c r="F179">
        <v>11</v>
      </c>
      <c r="G179" t="s">
        <v>49</v>
      </c>
      <c r="H179" t="s">
        <v>37</v>
      </c>
      <c r="I179" t="s">
        <v>69</v>
      </c>
      <c r="J179" t="s">
        <v>39</v>
      </c>
      <c r="K179" t="s">
        <v>40</v>
      </c>
      <c r="L179">
        <v>0</v>
      </c>
      <c r="M179">
        <v>0</v>
      </c>
      <c r="N179">
        <v>40</v>
      </c>
      <c r="O179" t="s">
        <v>41</v>
      </c>
      <c r="P179" t="s">
        <v>42</v>
      </c>
      <c r="Q179">
        <f>IF(Tabela3[[#This Row],[Income]]="&lt;=50K",Tabela3[[#This Row],[Age]],NA())</f>
        <v>33</v>
      </c>
      <c r="R179">
        <f>IF(Tabela3[[#This Row],[Income]]="&lt;=50K",Tabela3[[#This Row],[education-num]],NA())</f>
        <v>11</v>
      </c>
      <c r="S179" t="e">
        <f>IF(Tabela3[[#This Row],[Income]]="&gt;50K",Tabela3[[#This Row],[Age]],NA())</f>
        <v>#N/A</v>
      </c>
      <c r="T179" t="e">
        <f>IF(Tabela3[[#This Row],[Income]]="&gt;50K",Tabela3[[#This Row],[education-num]],NA())</f>
        <v>#N/A</v>
      </c>
    </row>
    <row r="180" spans="1:20">
      <c r="A180">
        <v>179</v>
      </c>
      <c r="B180">
        <v>51</v>
      </c>
      <c r="C180" t="s">
        <v>75</v>
      </c>
      <c r="D180">
        <v>45487</v>
      </c>
      <c r="E180" t="s">
        <v>62</v>
      </c>
      <c r="F180">
        <v>9</v>
      </c>
      <c r="G180" t="s">
        <v>63</v>
      </c>
      <c r="H180" t="s">
        <v>72</v>
      </c>
      <c r="I180" t="s">
        <v>66</v>
      </c>
      <c r="J180" t="s">
        <v>39</v>
      </c>
      <c r="K180" t="s">
        <v>52</v>
      </c>
      <c r="L180">
        <v>0</v>
      </c>
      <c r="M180">
        <v>0</v>
      </c>
      <c r="N180">
        <v>80</v>
      </c>
      <c r="O180" t="s">
        <v>41</v>
      </c>
      <c r="P180" t="s">
        <v>42</v>
      </c>
      <c r="Q180">
        <f>IF(Tabela3[[#This Row],[Income]]="&lt;=50K",Tabela3[[#This Row],[Age]],NA())</f>
        <v>51</v>
      </c>
      <c r="R180">
        <f>IF(Tabela3[[#This Row],[Income]]="&lt;=50K",Tabela3[[#This Row],[education-num]],NA())</f>
        <v>9</v>
      </c>
      <c r="S180" t="e">
        <f>IF(Tabela3[[#This Row],[Income]]="&gt;50K",Tabela3[[#This Row],[Age]],NA())</f>
        <v>#N/A</v>
      </c>
      <c r="T180" t="e">
        <f>IF(Tabela3[[#This Row],[Income]]="&gt;50K",Tabela3[[#This Row],[education-num]],NA())</f>
        <v>#N/A</v>
      </c>
    </row>
    <row r="181" spans="1:20">
      <c r="A181">
        <v>180</v>
      </c>
      <c r="B181">
        <v>27</v>
      </c>
      <c r="C181" t="s">
        <v>74</v>
      </c>
      <c r="D181">
        <v>442612</v>
      </c>
      <c r="E181" t="s">
        <v>62</v>
      </c>
      <c r="F181">
        <v>9</v>
      </c>
      <c r="G181" t="s">
        <v>63</v>
      </c>
      <c r="H181" t="s">
        <v>44</v>
      </c>
      <c r="I181" t="s">
        <v>66</v>
      </c>
      <c r="J181" t="s">
        <v>39</v>
      </c>
      <c r="K181" t="s">
        <v>52</v>
      </c>
      <c r="L181">
        <v>0</v>
      </c>
      <c r="M181">
        <v>0</v>
      </c>
      <c r="N181">
        <v>65</v>
      </c>
      <c r="O181" t="s">
        <v>41</v>
      </c>
      <c r="P181" t="s">
        <v>53</v>
      </c>
      <c r="Q181" t="e">
        <f>IF(Tabela3[[#This Row],[Income]]="&lt;=50K",Tabela3[[#This Row],[Age]],NA())</f>
        <v>#N/A</v>
      </c>
      <c r="R181" t="e">
        <f>IF(Tabela3[[#This Row],[Income]]="&lt;=50K",Tabela3[[#This Row],[education-num]],NA())</f>
        <v>#N/A</v>
      </c>
      <c r="S181">
        <f>IF(Tabela3[[#This Row],[Income]]="&gt;50K",Tabela3[[#This Row],[Age]],NA())</f>
        <v>27</v>
      </c>
      <c r="T181">
        <f>IF(Tabela3[[#This Row],[Income]]="&gt;50K",Tabela3[[#This Row],[education-num]],NA())</f>
        <v>9</v>
      </c>
    </row>
    <row r="182" spans="1:20">
      <c r="A182">
        <v>181</v>
      </c>
      <c r="B182">
        <v>36</v>
      </c>
      <c r="C182" t="s">
        <v>34</v>
      </c>
      <c r="D182">
        <v>308945</v>
      </c>
      <c r="E182" t="s">
        <v>62</v>
      </c>
      <c r="F182">
        <v>9</v>
      </c>
      <c r="G182" t="s">
        <v>63</v>
      </c>
      <c r="H182" t="s">
        <v>56</v>
      </c>
      <c r="I182" t="s">
        <v>66</v>
      </c>
      <c r="J182" t="s">
        <v>39</v>
      </c>
      <c r="K182" t="s">
        <v>52</v>
      </c>
      <c r="L182">
        <v>0</v>
      </c>
      <c r="M182">
        <v>0</v>
      </c>
      <c r="N182">
        <v>40</v>
      </c>
      <c r="O182" t="s">
        <v>41</v>
      </c>
      <c r="P182" t="s">
        <v>42</v>
      </c>
      <c r="Q182">
        <f>IF(Tabela3[[#This Row],[Income]]="&lt;=50K",Tabela3[[#This Row],[Age]],NA())</f>
        <v>36</v>
      </c>
      <c r="R182">
        <f>IF(Tabela3[[#This Row],[Income]]="&lt;=50K",Tabela3[[#This Row],[education-num]],NA())</f>
        <v>9</v>
      </c>
      <c r="S182" t="e">
        <f>IF(Tabela3[[#This Row],[Income]]="&gt;50K",Tabela3[[#This Row],[Age]],NA())</f>
        <v>#N/A</v>
      </c>
      <c r="T182" t="e">
        <f>IF(Tabela3[[#This Row],[Income]]="&gt;50K",Tabela3[[#This Row],[education-num]],NA())</f>
        <v>#N/A</v>
      </c>
    </row>
    <row r="183" spans="1:20">
      <c r="A183">
        <v>182</v>
      </c>
      <c r="B183">
        <v>52</v>
      </c>
      <c r="C183" t="s">
        <v>34</v>
      </c>
      <c r="D183">
        <v>245275</v>
      </c>
      <c r="E183" t="s">
        <v>77</v>
      </c>
      <c r="F183">
        <v>6</v>
      </c>
      <c r="G183" t="s">
        <v>63</v>
      </c>
      <c r="H183" t="s">
        <v>37</v>
      </c>
      <c r="I183" t="s">
        <v>65</v>
      </c>
      <c r="J183" t="s">
        <v>39</v>
      </c>
      <c r="K183" t="s">
        <v>40</v>
      </c>
      <c r="L183">
        <v>0</v>
      </c>
      <c r="M183">
        <v>0</v>
      </c>
      <c r="N183">
        <v>35</v>
      </c>
      <c r="O183" t="s">
        <v>41</v>
      </c>
      <c r="P183" t="s">
        <v>42</v>
      </c>
      <c r="Q183">
        <f>IF(Tabela3[[#This Row],[Income]]="&lt;=50K",Tabela3[[#This Row],[Age]],NA())</f>
        <v>52</v>
      </c>
      <c r="R183">
        <f>IF(Tabela3[[#This Row],[Income]]="&lt;=50K",Tabela3[[#This Row],[education-num]],NA())</f>
        <v>6</v>
      </c>
      <c r="S183" t="e">
        <f>IF(Tabela3[[#This Row],[Income]]="&gt;50K",Tabela3[[#This Row],[Age]],NA())</f>
        <v>#N/A</v>
      </c>
      <c r="T183" t="e">
        <f>IF(Tabela3[[#This Row],[Income]]="&gt;50K",Tabela3[[#This Row],[education-num]],NA())</f>
        <v>#N/A</v>
      </c>
    </row>
    <row r="184" spans="1:20">
      <c r="A184">
        <v>183</v>
      </c>
      <c r="B184">
        <v>43</v>
      </c>
      <c r="C184" t="s">
        <v>34</v>
      </c>
      <c r="D184">
        <v>177905</v>
      </c>
      <c r="E184" t="s">
        <v>62</v>
      </c>
      <c r="F184">
        <v>9</v>
      </c>
      <c r="G184" t="s">
        <v>63</v>
      </c>
      <c r="H184" t="s">
        <v>68</v>
      </c>
      <c r="I184" t="s">
        <v>66</v>
      </c>
      <c r="J184" t="s">
        <v>39</v>
      </c>
      <c r="K184" t="s">
        <v>52</v>
      </c>
      <c r="L184">
        <v>3908</v>
      </c>
      <c r="M184">
        <v>0</v>
      </c>
      <c r="N184">
        <v>40</v>
      </c>
      <c r="O184" t="s">
        <v>41</v>
      </c>
      <c r="P184" t="s">
        <v>42</v>
      </c>
      <c r="Q184">
        <f>IF(Tabela3[[#This Row],[Income]]="&lt;=50K",Tabela3[[#This Row],[Age]],NA())</f>
        <v>43</v>
      </c>
      <c r="R184">
        <f>IF(Tabela3[[#This Row],[Income]]="&lt;=50K",Tabela3[[#This Row],[education-num]],NA())</f>
        <v>9</v>
      </c>
      <c r="S184" t="e">
        <f>IF(Tabela3[[#This Row],[Income]]="&gt;50K",Tabela3[[#This Row],[Age]],NA())</f>
        <v>#N/A</v>
      </c>
      <c r="T184" t="e">
        <f>IF(Tabela3[[#This Row],[Income]]="&gt;50K",Tabela3[[#This Row],[education-num]],NA())</f>
        <v>#N/A</v>
      </c>
    </row>
    <row r="185" spans="1:20">
      <c r="A185">
        <v>184</v>
      </c>
      <c r="B185">
        <v>56</v>
      </c>
      <c r="C185" t="s">
        <v>34</v>
      </c>
      <c r="D185">
        <v>132026</v>
      </c>
      <c r="E185" t="s">
        <v>60</v>
      </c>
      <c r="F185">
        <v>13</v>
      </c>
      <c r="G185" t="s">
        <v>63</v>
      </c>
      <c r="H185" t="s">
        <v>44</v>
      </c>
      <c r="I185" t="s">
        <v>66</v>
      </c>
      <c r="J185" t="s">
        <v>57</v>
      </c>
      <c r="K185" t="s">
        <v>52</v>
      </c>
      <c r="L185">
        <v>7688</v>
      </c>
      <c r="M185">
        <v>0</v>
      </c>
      <c r="N185">
        <v>45</v>
      </c>
      <c r="O185" t="s">
        <v>41</v>
      </c>
      <c r="P185" t="s">
        <v>53</v>
      </c>
      <c r="Q185" t="e">
        <f>IF(Tabela3[[#This Row],[Income]]="&lt;=50K",Tabela3[[#This Row],[Age]],NA())</f>
        <v>#N/A</v>
      </c>
      <c r="R185" t="e">
        <f>IF(Tabela3[[#This Row],[Income]]="&lt;=50K",Tabela3[[#This Row],[education-num]],NA())</f>
        <v>#N/A</v>
      </c>
      <c r="S185">
        <f>IF(Tabela3[[#This Row],[Income]]="&gt;50K",Tabela3[[#This Row],[Age]],NA())</f>
        <v>56</v>
      </c>
      <c r="T185">
        <f>IF(Tabela3[[#This Row],[Income]]="&gt;50K",Tabela3[[#This Row],[education-num]],NA())</f>
        <v>13</v>
      </c>
    </row>
    <row r="186" spans="1:20">
      <c r="A186">
        <v>185</v>
      </c>
      <c r="B186">
        <v>25</v>
      </c>
      <c r="C186" t="s">
        <v>34</v>
      </c>
      <c r="D186">
        <v>75759</v>
      </c>
      <c r="E186" t="s">
        <v>62</v>
      </c>
      <c r="F186">
        <v>9</v>
      </c>
      <c r="G186" t="s">
        <v>63</v>
      </c>
      <c r="H186" t="s">
        <v>72</v>
      </c>
      <c r="I186" t="s">
        <v>66</v>
      </c>
      <c r="J186" t="s">
        <v>39</v>
      </c>
      <c r="K186" t="s">
        <v>52</v>
      </c>
      <c r="L186">
        <v>0</v>
      </c>
      <c r="M186">
        <v>0</v>
      </c>
      <c r="N186">
        <v>44</v>
      </c>
      <c r="O186" t="s">
        <v>41</v>
      </c>
      <c r="P186" t="s">
        <v>53</v>
      </c>
      <c r="Q186" t="e">
        <f>IF(Tabela3[[#This Row],[Income]]="&lt;=50K",Tabela3[[#This Row],[Age]],NA())</f>
        <v>#N/A</v>
      </c>
      <c r="R186" t="e">
        <f>IF(Tabela3[[#This Row],[Income]]="&lt;=50K",Tabela3[[#This Row],[education-num]],NA())</f>
        <v>#N/A</v>
      </c>
      <c r="S186">
        <f>IF(Tabela3[[#This Row],[Income]]="&gt;50K",Tabela3[[#This Row],[Age]],NA())</f>
        <v>25</v>
      </c>
      <c r="T186">
        <f>IF(Tabela3[[#This Row],[Income]]="&gt;50K",Tabela3[[#This Row],[education-num]],NA())</f>
        <v>9</v>
      </c>
    </row>
    <row r="187" spans="1:20">
      <c r="A187">
        <v>186</v>
      </c>
      <c r="B187">
        <v>55</v>
      </c>
      <c r="C187" t="s">
        <v>34</v>
      </c>
      <c r="D187">
        <v>201112</v>
      </c>
      <c r="E187" t="s">
        <v>62</v>
      </c>
      <c r="F187">
        <v>9</v>
      </c>
      <c r="G187" t="s">
        <v>49</v>
      </c>
      <c r="H187" t="s">
        <v>61</v>
      </c>
      <c r="I187" t="s">
        <v>69</v>
      </c>
      <c r="J187" t="s">
        <v>57</v>
      </c>
      <c r="K187" t="s">
        <v>40</v>
      </c>
      <c r="L187">
        <v>0</v>
      </c>
      <c r="M187">
        <v>0</v>
      </c>
      <c r="N187">
        <v>40</v>
      </c>
      <c r="O187" t="s">
        <v>41</v>
      </c>
      <c r="P187" t="s">
        <v>42</v>
      </c>
      <c r="Q187">
        <f>IF(Tabela3[[#This Row],[Income]]="&lt;=50K",Tabela3[[#This Row],[Age]],NA())</f>
        <v>55</v>
      </c>
      <c r="R187">
        <f>IF(Tabela3[[#This Row],[Income]]="&lt;=50K",Tabela3[[#This Row],[education-num]],NA())</f>
        <v>9</v>
      </c>
      <c r="S187" t="e">
        <f>IF(Tabela3[[#This Row],[Income]]="&gt;50K",Tabela3[[#This Row],[Age]],NA())</f>
        <v>#N/A</v>
      </c>
      <c r="T187" t="e">
        <f>IF(Tabela3[[#This Row],[Income]]="&gt;50K",Tabela3[[#This Row],[education-num]],NA())</f>
        <v>#N/A</v>
      </c>
    </row>
    <row r="188" spans="1:20">
      <c r="A188">
        <v>187</v>
      </c>
      <c r="B188">
        <v>37</v>
      </c>
      <c r="C188" t="s">
        <v>34</v>
      </c>
      <c r="D188">
        <v>108913</v>
      </c>
      <c r="E188" t="s">
        <v>62</v>
      </c>
      <c r="F188">
        <v>9</v>
      </c>
      <c r="G188" t="s">
        <v>36</v>
      </c>
      <c r="H188" t="s">
        <v>37</v>
      </c>
      <c r="I188" t="s">
        <v>45</v>
      </c>
      <c r="J188" t="s">
        <v>39</v>
      </c>
      <c r="K188" t="s">
        <v>52</v>
      </c>
      <c r="L188">
        <v>0</v>
      </c>
      <c r="M188">
        <v>0</v>
      </c>
      <c r="N188">
        <v>40</v>
      </c>
      <c r="O188" t="s">
        <v>41</v>
      </c>
      <c r="P188" t="s">
        <v>42</v>
      </c>
      <c r="Q188">
        <f>IF(Tabela3[[#This Row],[Income]]="&lt;=50K",Tabela3[[#This Row],[Age]],NA())</f>
        <v>37</v>
      </c>
      <c r="R188">
        <f>IF(Tabela3[[#This Row],[Income]]="&lt;=50K",Tabela3[[#This Row],[education-num]],NA())</f>
        <v>9</v>
      </c>
      <c r="S188" t="e">
        <f>IF(Tabela3[[#This Row],[Income]]="&gt;50K",Tabela3[[#This Row],[Age]],NA())</f>
        <v>#N/A</v>
      </c>
      <c r="T188" t="e">
        <f>IF(Tabela3[[#This Row],[Income]]="&gt;50K",Tabela3[[#This Row],[education-num]],NA())</f>
        <v>#N/A</v>
      </c>
    </row>
    <row r="189" spans="1:20">
      <c r="A189">
        <v>188</v>
      </c>
      <c r="B189">
        <v>34</v>
      </c>
      <c r="C189" t="s">
        <v>34</v>
      </c>
      <c r="D189">
        <v>207668</v>
      </c>
      <c r="E189" t="s">
        <v>46</v>
      </c>
      <c r="F189">
        <v>10</v>
      </c>
      <c r="G189" t="s">
        <v>63</v>
      </c>
      <c r="H189" t="s">
        <v>68</v>
      </c>
      <c r="I189" t="s">
        <v>66</v>
      </c>
      <c r="J189" t="s">
        <v>39</v>
      </c>
      <c r="K189" t="s">
        <v>52</v>
      </c>
      <c r="L189">
        <v>0</v>
      </c>
      <c r="M189">
        <v>1887</v>
      </c>
      <c r="N189">
        <v>40</v>
      </c>
      <c r="O189" t="s">
        <v>41</v>
      </c>
      <c r="P189" t="s">
        <v>53</v>
      </c>
      <c r="Q189" t="e">
        <f>IF(Tabela3[[#This Row],[Income]]="&lt;=50K",Tabela3[[#This Row],[Age]],NA())</f>
        <v>#N/A</v>
      </c>
      <c r="R189" t="e">
        <f>IF(Tabela3[[#This Row],[Income]]="&lt;=50K",Tabela3[[#This Row],[education-num]],NA())</f>
        <v>#N/A</v>
      </c>
      <c r="S189">
        <f>IF(Tabela3[[#This Row],[Income]]="&gt;50K",Tabela3[[#This Row],[Age]],NA())</f>
        <v>34</v>
      </c>
      <c r="T189">
        <f>IF(Tabela3[[#This Row],[Income]]="&gt;50K",Tabela3[[#This Row],[education-num]],NA())</f>
        <v>10</v>
      </c>
    </row>
    <row r="190" spans="1:20">
      <c r="A190">
        <v>189</v>
      </c>
      <c r="B190">
        <v>27</v>
      </c>
      <c r="C190" t="s">
        <v>34</v>
      </c>
      <c r="D190">
        <v>119170</v>
      </c>
      <c r="E190" t="s">
        <v>35</v>
      </c>
      <c r="F190">
        <v>7</v>
      </c>
      <c r="G190" t="s">
        <v>36</v>
      </c>
      <c r="H190" t="s">
        <v>80</v>
      </c>
      <c r="I190" t="s">
        <v>69</v>
      </c>
      <c r="J190" t="s">
        <v>39</v>
      </c>
      <c r="K190" t="s">
        <v>40</v>
      </c>
      <c r="L190">
        <v>0</v>
      </c>
      <c r="M190">
        <v>0</v>
      </c>
      <c r="N190">
        <v>45</v>
      </c>
      <c r="O190" t="s">
        <v>41</v>
      </c>
      <c r="P190" t="s">
        <v>42</v>
      </c>
      <c r="Q190">
        <f>IF(Tabela3[[#This Row],[Income]]="&lt;=50K",Tabela3[[#This Row],[Age]],NA())</f>
        <v>27</v>
      </c>
      <c r="R190">
        <f>IF(Tabela3[[#This Row],[Income]]="&lt;=50K",Tabela3[[#This Row],[education-num]],NA())</f>
        <v>7</v>
      </c>
      <c r="S190" t="e">
        <f>IF(Tabela3[[#This Row],[Income]]="&gt;50K",Tabela3[[#This Row],[Age]],NA())</f>
        <v>#N/A</v>
      </c>
      <c r="T190" t="e">
        <f>IF(Tabela3[[#This Row],[Income]]="&gt;50K",Tabela3[[#This Row],[education-num]],NA())</f>
        <v>#N/A</v>
      </c>
    </row>
    <row r="191" spans="1:20">
      <c r="A191">
        <v>190</v>
      </c>
      <c r="B191">
        <v>50</v>
      </c>
      <c r="C191" t="s">
        <v>34</v>
      </c>
      <c r="D191">
        <v>258819</v>
      </c>
      <c r="E191" t="s">
        <v>62</v>
      </c>
      <c r="F191">
        <v>9</v>
      </c>
      <c r="G191" t="s">
        <v>49</v>
      </c>
      <c r="H191" t="s">
        <v>50</v>
      </c>
      <c r="I191" t="s">
        <v>45</v>
      </c>
      <c r="J191" t="s">
        <v>39</v>
      </c>
      <c r="K191" t="s">
        <v>52</v>
      </c>
      <c r="L191">
        <v>0</v>
      </c>
      <c r="M191">
        <v>0</v>
      </c>
      <c r="N191">
        <v>40</v>
      </c>
      <c r="O191" t="s">
        <v>41</v>
      </c>
      <c r="P191" t="s">
        <v>53</v>
      </c>
      <c r="Q191" t="e">
        <f>IF(Tabela3[[#This Row],[Income]]="&lt;=50K",Tabela3[[#This Row],[Age]],NA())</f>
        <v>#N/A</v>
      </c>
      <c r="R191" t="e">
        <f>IF(Tabela3[[#This Row],[Income]]="&lt;=50K",Tabela3[[#This Row],[education-num]],NA())</f>
        <v>#N/A</v>
      </c>
      <c r="S191">
        <f>IF(Tabela3[[#This Row],[Income]]="&gt;50K",Tabela3[[#This Row],[Age]],NA())</f>
        <v>50</v>
      </c>
      <c r="T191">
        <f>IF(Tabela3[[#This Row],[Income]]="&gt;50K",Tabela3[[#This Row],[education-num]],NA())</f>
        <v>9</v>
      </c>
    </row>
    <row r="192" spans="1:20">
      <c r="A192">
        <v>191</v>
      </c>
      <c r="B192">
        <v>34</v>
      </c>
      <c r="C192" t="s">
        <v>74</v>
      </c>
      <c r="D192">
        <v>123429</v>
      </c>
      <c r="E192" t="s">
        <v>62</v>
      </c>
      <c r="F192">
        <v>9</v>
      </c>
      <c r="G192" t="s">
        <v>63</v>
      </c>
      <c r="H192" t="s">
        <v>44</v>
      </c>
      <c r="I192" t="s">
        <v>66</v>
      </c>
      <c r="J192" t="s">
        <v>39</v>
      </c>
      <c r="K192" t="s">
        <v>52</v>
      </c>
      <c r="L192">
        <v>0</v>
      </c>
      <c r="M192">
        <v>0</v>
      </c>
      <c r="N192">
        <v>60</v>
      </c>
      <c r="O192" t="s">
        <v>41</v>
      </c>
      <c r="P192" t="s">
        <v>42</v>
      </c>
      <c r="Q192">
        <f>IF(Tabela3[[#This Row],[Income]]="&lt;=50K",Tabela3[[#This Row],[Age]],NA())</f>
        <v>34</v>
      </c>
      <c r="R192">
        <f>IF(Tabela3[[#This Row],[Income]]="&lt;=50K",Tabela3[[#This Row],[education-num]],NA())</f>
        <v>9</v>
      </c>
      <c r="S192" t="e">
        <f>IF(Tabela3[[#This Row],[Income]]="&gt;50K",Tabela3[[#This Row],[Age]],NA())</f>
        <v>#N/A</v>
      </c>
      <c r="T192" t="e">
        <f>IF(Tabela3[[#This Row],[Income]]="&gt;50K",Tabela3[[#This Row],[education-num]],NA())</f>
        <v>#N/A</v>
      </c>
    </row>
    <row r="193" spans="1:20">
      <c r="A193">
        <v>192</v>
      </c>
      <c r="B193">
        <v>20</v>
      </c>
      <c r="C193" t="s">
        <v>34</v>
      </c>
      <c r="D193">
        <v>120572</v>
      </c>
      <c r="E193" t="s">
        <v>46</v>
      </c>
      <c r="F193">
        <v>10</v>
      </c>
      <c r="G193" t="s">
        <v>36</v>
      </c>
      <c r="H193" t="s">
        <v>37</v>
      </c>
      <c r="I193" t="s">
        <v>45</v>
      </c>
      <c r="J193" t="s">
        <v>39</v>
      </c>
      <c r="K193" t="s">
        <v>40</v>
      </c>
      <c r="L193">
        <v>0</v>
      </c>
      <c r="M193">
        <v>0</v>
      </c>
      <c r="N193">
        <v>12</v>
      </c>
      <c r="O193" t="s">
        <v>41</v>
      </c>
      <c r="P193" t="s">
        <v>42</v>
      </c>
      <c r="Q193">
        <f>IF(Tabela3[[#This Row],[Income]]="&lt;=50K",Tabela3[[#This Row],[Age]],NA())</f>
        <v>20</v>
      </c>
      <c r="R193">
        <f>IF(Tabela3[[#This Row],[Income]]="&lt;=50K",Tabela3[[#This Row],[education-num]],NA())</f>
        <v>10</v>
      </c>
      <c r="S193" t="e">
        <f>IF(Tabela3[[#This Row],[Income]]="&gt;50K",Tabela3[[#This Row],[Age]],NA())</f>
        <v>#N/A</v>
      </c>
      <c r="T193" t="e">
        <f>IF(Tabela3[[#This Row],[Income]]="&gt;50K",Tabela3[[#This Row],[education-num]],NA())</f>
        <v>#N/A</v>
      </c>
    </row>
    <row r="194" spans="1:20">
      <c r="A194">
        <v>193</v>
      </c>
      <c r="B194">
        <v>41</v>
      </c>
      <c r="C194" t="s">
        <v>59</v>
      </c>
      <c r="D194">
        <v>116520</v>
      </c>
      <c r="E194" t="s">
        <v>97</v>
      </c>
      <c r="F194">
        <v>16</v>
      </c>
      <c r="G194" t="s">
        <v>63</v>
      </c>
      <c r="H194" t="s">
        <v>61</v>
      </c>
      <c r="I194" t="s">
        <v>66</v>
      </c>
      <c r="J194" t="s">
        <v>39</v>
      </c>
      <c r="K194" t="s">
        <v>52</v>
      </c>
      <c r="L194">
        <v>0</v>
      </c>
      <c r="M194">
        <v>0</v>
      </c>
      <c r="N194">
        <v>40</v>
      </c>
      <c r="O194" t="s">
        <v>41</v>
      </c>
      <c r="P194" t="s">
        <v>53</v>
      </c>
      <c r="Q194" t="e">
        <f>IF(Tabela3[[#This Row],[Income]]="&lt;=50K",Tabela3[[#This Row],[Age]],NA())</f>
        <v>#N/A</v>
      </c>
      <c r="R194" t="e">
        <f>IF(Tabela3[[#This Row],[Income]]="&lt;=50K",Tabela3[[#This Row],[education-num]],NA())</f>
        <v>#N/A</v>
      </c>
      <c r="S194">
        <f>IF(Tabela3[[#This Row],[Income]]="&gt;50K",Tabela3[[#This Row],[Age]],NA())</f>
        <v>41</v>
      </c>
      <c r="T194">
        <f>IF(Tabela3[[#This Row],[Income]]="&gt;50K",Tabela3[[#This Row],[education-num]],NA())</f>
        <v>16</v>
      </c>
    </row>
    <row r="195" spans="1:20">
      <c r="A195">
        <v>194</v>
      </c>
      <c r="B195">
        <v>38</v>
      </c>
      <c r="C195" t="s">
        <v>74</v>
      </c>
      <c r="D195">
        <v>201328</v>
      </c>
      <c r="E195" t="s">
        <v>91</v>
      </c>
      <c r="F195">
        <v>4</v>
      </c>
      <c r="G195" t="s">
        <v>63</v>
      </c>
      <c r="H195" t="s">
        <v>58</v>
      </c>
      <c r="I195" t="s">
        <v>66</v>
      </c>
      <c r="J195" t="s">
        <v>39</v>
      </c>
      <c r="K195" t="s">
        <v>52</v>
      </c>
      <c r="L195">
        <v>0</v>
      </c>
      <c r="M195">
        <v>0</v>
      </c>
      <c r="N195">
        <v>56</v>
      </c>
      <c r="O195" t="s">
        <v>41</v>
      </c>
      <c r="P195" t="s">
        <v>42</v>
      </c>
      <c r="Q195">
        <f>IF(Tabela3[[#This Row],[Income]]="&lt;=50K",Tabela3[[#This Row],[Age]],NA())</f>
        <v>38</v>
      </c>
      <c r="R195">
        <f>IF(Tabela3[[#This Row],[Income]]="&lt;=50K",Tabela3[[#This Row],[education-num]],NA())</f>
        <v>4</v>
      </c>
      <c r="S195" t="e">
        <f>IF(Tabela3[[#This Row],[Income]]="&gt;50K",Tabela3[[#This Row],[Age]],NA())</f>
        <v>#N/A</v>
      </c>
      <c r="T195" t="e">
        <f>IF(Tabela3[[#This Row],[Income]]="&gt;50K",Tabela3[[#This Row],[education-num]],NA())</f>
        <v>#N/A</v>
      </c>
    </row>
    <row r="196" spans="1:20">
      <c r="A196">
        <v>195</v>
      </c>
      <c r="B196">
        <v>39</v>
      </c>
      <c r="C196" t="s">
        <v>34</v>
      </c>
      <c r="D196">
        <v>188069</v>
      </c>
      <c r="E196" t="s">
        <v>98</v>
      </c>
      <c r="F196">
        <v>5</v>
      </c>
      <c r="G196" t="s">
        <v>63</v>
      </c>
      <c r="H196" t="s">
        <v>72</v>
      </c>
      <c r="I196" t="s">
        <v>66</v>
      </c>
      <c r="J196" t="s">
        <v>39</v>
      </c>
      <c r="K196" t="s">
        <v>52</v>
      </c>
      <c r="L196">
        <v>0</v>
      </c>
      <c r="M196">
        <v>0</v>
      </c>
      <c r="N196">
        <v>25</v>
      </c>
      <c r="O196" t="s">
        <v>41</v>
      </c>
      <c r="P196" t="s">
        <v>42</v>
      </c>
      <c r="Q196">
        <f>IF(Tabela3[[#This Row],[Income]]="&lt;=50K",Tabela3[[#This Row],[Age]],NA())</f>
        <v>39</v>
      </c>
      <c r="R196">
        <f>IF(Tabela3[[#This Row],[Income]]="&lt;=50K",Tabela3[[#This Row],[education-num]],NA())</f>
        <v>5</v>
      </c>
      <c r="S196" t="e">
        <f>IF(Tabela3[[#This Row],[Income]]="&gt;50K",Tabela3[[#This Row],[Age]],NA())</f>
        <v>#N/A</v>
      </c>
      <c r="T196" t="e">
        <f>IF(Tabela3[[#This Row],[Income]]="&gt;50K",Tabela3[[#This Row],[education-num]],NA())</f>
        <v>#N/A</v>
      </c>
    </row>
    <row r="197" spans="1:20">
      <c r="A197">
        <v>196</v>
      </c>
      <c r="B197">
        <v>36</v>
      </c>
      <c r="C197" t="s">
        <v>34</v>
      </c>
      <c r="D197">
        <v>272944</v>
      </c>
      <c r="E197" t="s">
        <v>62</v>
      </c>
      <c r="F197">
        <v>9</v>
      </c>
      <c r="G197" t="s">
        <v>36</v>
      </c>
      <c r="H197" t="s">
        <v>72</v>
      </c>
      <c r="I197" t="s">
        <v>45</v>
      </c>
      <c r="J197" t="s">
        <v>39</v>
      </c>
      <c r="K197" t="s">
        <v>52</v>
      </c>
      <c r="L197">
        <v>0</v>
      </c>
      <c r="M197">
        <v>0</v>
      </c>
      <c r="N197">
        <v>45</v>
      </c>
      <c r="O197" t="s">
        <v>41</v>
      </c>
      <c r="P197" t="s">
        <v>42</v>
      </c>
      <c r="Q197">
        <f>IF(Tabela3[[#This Row],[Income]]="&lt;=50K",Tabela3[[#This Row],[Age]],NA())</f>
        <v>36</v>
      </c>
      <c r="R197">
        <f>IF(Tabela3[[#This Row],[Income]]="&lt;=50K",Tabela3[[#This Row],[education-num]],NA())</f>
        <v>9</v>
      </c>
      <c r="S197" t="e">
        <f>IF(Tabela3[[#This Row],[Income]]="&gt;50K",Tabela3[[#This Row],[Age]],NA())</f>
        <v>#N/A</v>
      </c>
      <c r="T197" t="e">
        <f>IF(Tabela3[[#This Row],[Income]]="&gt;50K",Tabela3[[#This Row],[education-num]],NA())</f>
        <v>#N/A</v>
      </c>
    </row>
    <row r="198" spans="1:20">
      <c r="A198">
        <v>197</v>
      </c>
      <c r="B198">
        <v>64</v>
      </c>
      <c r="C198" t="s">
        <v>54</v>
      </c>
      <c r="D198">
        <v>202738</v>
      </c>
      <c r="E198" t="s">
        <v>62</v>
      </c>
      <c r="F198">
        <v>9</v>
      </c>
      <c r="G198" t="s">
        <v>63</v>
      </c>
      <c r="H198" t="s">
        <v>67</v>
      </c>
      <c r="I198" t="s">
        <v>65</v>
      </c>
      <c r="J198" t="s">
        <v>39</v>
      </c>
      <c r="K198" t="s">
        <v>40</v>
      </c>
      <c r="L198">
        <v>0</v>
      </c>
      <c r="M198">
        <v>0</v>
      </c>
      <c r="N198">
        <v>35</v>
      </c>
      <c r="O198" t="s">
        <v>41</v>
      </c>
      <c r="P198" t="s">
        <v>42</v>
      </c>
      <c r="Q198">
        <f>IF(Tabela3[[#This Row],[Income]]="&lt;=50K",Tabela3[[#This Row],[Age]],NA())</f>
        <v>64</v>
      </c>
      <c r="R198">
        <f>IF(Tabela3[[#This Row],[Income]]="&lt;=50K",Tabela3[[#This Row],[education-num]],NA())</f>
        <v>9</v>
      </c>
      <c r="S198" t="e">
        <f>IF(Tabela3[[#This Row],[Income]]="&gt;50K",Tabela3[[#This Row],[Age]],NA())</f>
        <v>#N/A</v>
      </c>
      <c r="T198" t="e">
        <f>IF(Tabela3[[#This Row],[Income]]="&gt;50K",Tabela3[[#This Row],[education-num]],NA())</f>
        <v>#N/A</v>
      </c>
    </row>
    <row r="199" spans="1:20">
      <c r="A199">
        <v>198</v>
      </c>
      <c r="B199">
        <v>18</v>
      </c>
      <c r="C199" t="s">
        <v>34</v>
      </c>
      <c r="D199">
        <v>374969</v>
      </c>
      <c r="E199" t="s">
        <v>77</v>
      </c>
      <c r="F199">
        <v>6</v>
      </c>
      <c r="G199" t="s">
        <v>36</v>
      </c>
      <c r="H199" t="s">
        <v>72</v>
      </c>
      <c r="I199" t="s">
        <v>45</v>
      </c>
      <c r="J199" t="s">
        <v>39</v>
      </c>
      <c r="K199" t="s">
        <v>52</v>
      </c>
      <c r="L199">
        <v>0</v>
      </c>
      <c r="M199">
        <v>0</v>
      </c>
      <c r="N199">
        <v>56</v>
      </c>
      <c r="O199" t="s">
        <v>41</v>
      </c>
      <c r="P199" t="s">
        <v>42</v>
      </c>
      <c r="Q199">
        <f>IF(Tabela3[[#This Row],[Income]]="&lt;=50K",Tabela3[[#This Row],[Age]],NA())</f>
        <v>18</v>
      </c>
      <c r="R199">
        <f>IF(Tabela3[[#This Row],[Income]]="&lt;=50K",Tabela3[[#This Row],[education-num]],NA())</f>
        <v>6</v>
      </c>
      <c r="S199" t="e">
        <f>IF(Tabela3[[#This Row],[Income]]="&gt;50K",Tabela3[[#This Row],[Age]],NA())</f>
        <v>#N/A</v>
      </c>
      <c r="T199" t="e">
        <f>IF(Tabela3[[#This Row],[Income]]="&gt;50K",Tabela3[[#This Row],[education-num]],NA())</f>
        <v>#N/A</v>
      </c>
    </row>
    <row r="200" spans="1:20">
      <c r="A200">
        <v>199</v>
      </c>
      <c r="B200">
        <v>46</v>
      </c>
      <c r="C200" t="s">
        <v>34</v>
      </c>
      <c r="D200">
        <v>179869</v>
      </c>
      <c r="E200" t="s">
        <v>62</v>
      </c>
      <c r="F200">
        <v>9</v>
      </c>
      <c r="G200" t="s">
        <v>63</v>
      </c>
      <c r="H200" t="s">
        <v>50</v>
      </c>
      <c r="I200" t="s">
        <v>66</v>
      </c>
      <c r="J200" t="s">
        <v>39</v>
      </c>
      <c r="K200" t="s">
        <v>52</v>
      </c>
      <c r="L200">
        <v>0</v>
      </c>
      <c r="M200">
        <v>0</v>
      </c>
      <c r="N200">
        <v>40</v>
      </c>
      <c r="O200" t="s">
        <v>41</v>
      </c>
      <c r="P200" t="s">
        <v>42</v>
      </c>
      <c r="Q200">
        <f>IF(Tabela3[[#This Row],[Income]]="&lt;=50K",Tabela3[[#This Row],[Age]],NA())</f>
        <v>46</v>
      </c>
      <c r="R200">
        <f>IF(Tabela3[[#This Row],[Income]]="&lt;=50K",Tabela3[[#This Row],[education-num]],NA())</f>
        <v>9</v>
      </c>
      <c r="S200" t="e">
        <f>IF(Tabela3[[#This Row],[Income]]="&gt;50K",Tabela3[[#This Row],[Age]],NA())</f>
        <v>#N/A</v>
      </c>
      <c r="T200" t="e">
        <f>IF(Tabela3[[#This Row],[Income]]="&gt;50K",Tabela3[[#This Row],[education-num]],NA())</f>
        <v>#N/A</v>
      </c>
    </row>
    <row r="201" spans="1:20">
      <c r="A201">
        <v>200</v>
      </c>
      <c r="B201">
        <v>18</v>
      </c>
      <c r="C201" t="s">
        <v>34</v>
      </c>
      <c r="D201">
        <v>120691</v>
      </c>
      <c r="E201" t="s">
        <v>46</v>
      </c>
      <c r="F201">
        <v>10</v>
      </c>
      <c r="G201" t="s">
        <v>36</v>
      </c>
      <c r="H201" t="s">
        <v>37</v>
      </c>
      <c r="I201" t="s">
        <v>38</v>
      </c>
      <c r="J201" t="s">
        <v>57</v>
      </c>
      <c r="K201" t="s">
        <v>52</v>
      </c>
      <c r="L201">
        <v>0</v>
      </c>
      <c r="M201">
        <v>0</v>
      </c>
      <c r="N201">
        <v>35</v>
      </c>
      <c r="O201" t="s">
        <v>71</v>
      </c>
      <c r="P201" t="s">
        <v>42</v>
      </c>
      <c r="Q201">
        <f>IF(Tabela3[[#This Row],[Income]]="&lt;=50K",Tabela3[[#This Row],[Age]],NA())</f>
        <v>18</v>
      </c>
      <c r="R201">
        <f>IF(Tabela3[[#This Row],[Income]]="&lt;=50K",Tabela3[[#This Row],[education-num]],NA())</f>
        <v>10</v>
      </c>
      <c r="S201" t="e">
        <f>IF(Tabela3[[#This Row],[Income]]="&gt;50K",Tabela3[[#This Row],[Age]],NA())</f>
        <v>#N/A</v>
      </c>
      <c r="T201" t="e">
        <f>IF(Tabela3[[#This Row],[Income]]="&gt;50K",Tabela3[[#This Row],[education-num]],NA())</f>
        <v>#N/A</v>
      </c>
    </row>
    <row r="202" spans="1:20">
      <c r="A202">
        <v>201</v>
      </c>
      <c r="B202">
        <v>63</v>
      </c>
      <c r="C202" t="s">
        <v>34</v>
      </c>
      <c r="D202">
        <v>100099</v>
      </c>
      <c r="E202" t="s">
        <v>62</v>
      </c>
      <c r="F202">
        <v>9</v>
      </c>
      <c r="G202" t="s">
        <v>90</v>
      </c>
      <c r="H202" t="s">
        <v>50</v>
      </c>
      <c r="I202" t="s">
        <v>45</v>
      </c>
      <c r="J202" t="s">
        <v>39</v>
      </c>
      <c r="K202" t="s">
        <v>52</v>
      </c>
      <c r="L202">
        <v>0</v>
      </c>
      <c r="M202">
        <v>0</v>
      </c>
      <c r="N202">
        <v>40</v>
      </c>
      <c r="O202" t="s">
        <v>41</v>
      </c>
      <c r="P202" t="s">
        <v>42</v>
      </c>
      <c r="Q202">
        <f>IF(Tabela3[[#This Row],[Income]]="&lt;=50K",Tabela3[[#This Row],[Age]],NA())</f>
        <v>63</v>
      </c>
      <c r="R202">
        <f>IF(Tabela3[[#This Row],[Income]]="&lt;=50K",Tabela3[[#This Row],[education-num]],NA())</f>
        <v>9</v>
      </c>
      <c r="S202" t="e">
        <f>IF(Tabela3[[#This Row],[Income]]="&gt;50K",Tabela3[[#This Row],[Age]],NA())</f>
        <v>#N/A</v>
      </c>
      <c r="T202" t="e">
        <f>IF(Tabela3[[#This Row],[Income]]="&gt;50K",Tabela3[[#This Row],[education-num]],NA())</f>
        <v>#N/A</v>
      </c>
    </row>
    <row r="203" spans="1:20">
      <c r="A203">
        <v>202</v>
      </c>
      <c r="B203">
        <v>56</v>
      </c>
      <c r="C203" t="s">
        <v>59</v>
      </c>
      <c r="D203">
        <v>143931</v>
      </c>
      <c r="E203" t="s">
        <v>60</v>
      </c>
      <c r="F203">
        <v>13</v>
      </c>
      <c r="G203" t="s">
        <v>81</v>
      </c>
      <c r="H203" t="s">
        <v>61</v>
      </c>
      <c r="I203" t="s">
        <v>45</v>
      </c>
      <c r="J203" t="s">
        <v>39</v>
      </c>
      <c r="K203" t="s">
        <v>40</v>
      </c>
      <c r="L203">
        <v>0</v>
      </c>
      <c r="M203">
        <v>0</v>
      </c>
      <c r="N203">
        <v>40</v>
      </c>
      <c r="O203" t="s">
        <v>41</v>
      </c>
      <c r="P203" t="s">
        <v>42</v>
      </c>
      <c r="Q203">
        <f>IF(Tabela3[[#This Row],[Income]]="&lt;=50K",Tabela3[[#This Row],[Age]],NA())</f>
        <v>56</v>
      </c>
      <c r="R203">
        <f>IF(Tabela3[[#This Row],[Income]]="&lt;=50K",Tabela3[[#This Row],[education-num]],NA())</f>
        <v>13</v>
      </c>
      <c r="S203" t="e">
        <f>IF(Tabela3[[#This Row],[Income]]="&gt;50K",Tabela3[[#This Row],[Age]],NA())</f>
        <v>#N/A</v>
      </c>
      <c r="T203" t="e">
        <f>IF(Tabela3[[#This Row],[Income]]="&gt;50K",Tabela3[[#This Row],[education-num]],NA())</f>
        <v>#N/A</v>
      </c>
    </row>
    <row r="204" spans="1:20">
      <c r="A204">
        <v>203</v>
      </c>
      <c r="B204">
        <v>59</v>
      </c>
      <c r="C204" t="s">
        <v>34</v>
      </c>
      <c r="D204">
        <v>271571</v>
      </c>
      <c r="E204" t="s">
        <v>46</v>
      </c>
      <c r="F204">
        <v>10</v>
      </c>
      <c r="G204" t="s">
        <v>63</v>
      </c>
      <c r="H204" t="s">
        <v>50</v>
      </c>
      <c r="I204" t="s">
        <v>66</v>
      </c>
      <c r="J204" t="s">
        <v>39</v>
      </c>
      <c r="K204" t="s">
        <v>52</v>
      </c>
      <c r="L204">
        <v>15024</v>
      </c>
      <c r="M204">
        <v>0</v>
      </c>
      <c r="N204">
        <v>50</v>
      </c>
      <c r="O204" t="s">
        <v>41</v>
      </c>
      <c r="P204" t="s">
        <v>53</v>
      </c>
      <c r="Q204" t="e">
        <f>IF(Tabela3[[#This Row],[Income]]="&lt;=50K",Tabela3[[#This Row],[Age]],NA())</f>
        <v>#N/A</v>
      </c>
      <c r="R204" t="e">
        <f>IF(Tabela3[[#This Row],[Income]]="&lt;=50K",Tabela3[[#This Row],[education-num]],NA())</f>
        <v>#N/A</v>
      </c>
      <c r="S204">
        <f>IF(Tabela3[[#This Row],[Income]]="&gt;50K",Tabela3[[#This Row],[Age]],NA())</f>
        <v>59</v>
      </c>
      <c r="T204">
        <f>IF(Tabela3[[#This Row],[Income]]="&gt;50K",Tabela3[[#This Row],[education-num]],NA())</f>
        <v>10</v>
      </c>
    </row>
    <row r="205" spans="1:20">
      <c r="A205">
        <v>204</v>
      </c>
      <c r="B205">
        <v>37</v>
      </c>
      <c r="C205" t="s">
        <v>34</v>
      </c>
      <c r="D205">
        <v>126743</v>
      </c>
      <c r="E205" t="s">
        <v>99</v>
      </c>
      <c r="F205">
        <v>2</v>
      </c>
      <c r="G205" t="s">
        <v>63</v>
      </c>
      <c r="H205" t="s">
        <v>37</v>
      </c>
      <c r="I205" t="s">
        <v>66</v>
      </c>
      <c r="J205" t="s">
        <v>39</v>
      </c>
      <c r="K205" t="s">
        <v>52</v>
      </c>
      <c r="L205">
        <v>0</v>
      </c>
      <c r="M205">
        <v>0</v>
      </c>
      <c r="N205">
        <v>53</v>
      </c>
      <c r="O205" t="s">
        <v>88</v>
      </c>
      <c r="P205" t="s">
        <v>42</v>
      </c>
      <c r="Q205">
        <f>IF(Tabela3[[#This Row],[Income]]="&lt;=50K",Tabela3[[#This Row],[Age]],NA())</f>
        <v>37</v>
      </c>
      <c r="R205">
        <f>IF(Tabela3[[#This Row],[Income]]="&lt;=50K",Tabela3[[#This Row],[education-num]],NA())</f>
        <v>2</v>
      </c>
      <c r="S205" t="e">
        <f>IF(Tabela3[[#This Row],[Income]]="&gt;50K",Tabela3[[#This Row],[Age]],NA())</f>
        <v>#N/A</v>
      </c>
      <c r="T205" t="e">
        <f>IF(Tabela3[[#This Row],[Income]]="&gt;50K",Tabela3[[#This Row],[education-num]],NA())</f>
        <v>#N/A</v>
      </c>
    </row>
    <row r="206" spans="1:20">
      <c r="A206">
        <v>205</v>
      </c>
      <c r="B206">
        <v>21</v>
      </c>
      <c r="C206" t="s">
        <v>34</v>
      </c>
      <c r="D206">
        <v>232569</v>
      </c>
      <c r="E206" t="s">
        <v>62</v>
      </c>
      <c r="F206">
        <v>9</v>
      </c>
      <c r="G206" t="s">
        <v>36</v>
      </c>
      <c r="H206" t="s">
        <v>68</v>
      </c>
      <c r="I206" t="s">
        <v>45</v>
      </c>
      <c r="J206" t="s">
        <v>39</v>
      </c>
      <c r="K206" t="s">
        <v>52</v>
      </c>
      <c r="L206">
        <v>0</v>
      </c>
      <c r="M206">
        <v>0</v>
      </c>
      <c r="N206">
        <v>40</v>
      </c>
      <c r="O206" t="s">
        <v>41</v>
      </c>
      <c r="P206" t="s">
        <v>42</v>
      </c>
      <c r="Q206">
        <f>IF(Tabela3[[#This Row],[Income]]="&lt;=50K",Tabela3[[#This Row],[Age]],NA())</f>
        <v>21</v>
      </c>
      <c r="R206">
        <f>IF(Tabela3[[#This Row],[Income]]="&lt;=50K",Tabela3[[#This Row],[education-num]],NA())</f>
        <v>9</v>
      </c>
      <c r="S206" t="e">
        <f>IF(Tabela3[[#This Row],[Income]]="&gt;50K",Tabela3[[#This Row],[Age]],NA())</f>
        <v>#N/A</v>
      </c>
      <c r="T206" t="e">
        <f>IF(Tabela3[[#This Row],[Income]]="&gt;50K",Tabela3[[#This Row],[education-num]],NA())</f>
        <v>#N/A</v>
      </c>
    </row>
    <row r="207" spans="1:20">
      <c r="A207">
        <v>206</v>
      </c>
      <c r="B207">
        <v>23</v>
      </c>
      <c r="C207" t="s">
        <v>71</v>
      </c>
      <c r="D207">
        <v>164574</v>
      </c>
      <c r="E207" t="s">
        <v>43</v>
      </c>
      <c r="F207">
        <v>12</v>
      </c>
      <c r="G207" t="s">
        <v>36</v>
      </c>
      <c r="H207" t="s">
        <v>71</v>
      </c>
      <c r="I207" t="s">
        <v>38</v>
      </c>
      <c r="J207" t="s">
        <v>39</v>
      </c>
      <c r="K207" t="s">
        <v>52</v>
      </c>
      <c r="L207">
        <v>0</v>
      </c>
      <c r="M207">
        <v>0</v>
      </c>
      <c r="N207">
        <v>40</v>
      </c>
      <c r="O207" t="s">
        <v>41</v>
      </c>
      <c r="P207" t="s">
        <v>42</v>
      </c>
      <c r="Q207">
        <f>IF(Tabela3[[#This Row],[Income]]="&lt;=50K",Tabela3[[#This Row],[Age]],NA())</f>
        <v>23</v>
      </c>
      <c r="R207">
        <f>IF(Tabela3[[#This Row],[Income]]="&lt;=50K",Tabela3[[#This Row],[education-num]],NA())</f>
        <v>12</v>
      </c>
      <c r="S207" t="e">
        <f>IF(Tabela3[[#This Row],[Income]]="&gt;50K",Tabela3[[#This Row],[Age]],NA())</f>
        <v>#N/A</v>
      </c>
      <c r="T207" t="e">
        <f>IF(Tabela3[[#This Row],[Income]]="&gt;50K",Tabela3[[#This Row],[education-num]],NA())</f>
        <v>#N/A</v>
      </c>
    </row>
    <row r="208" spans="1:20">
      <c r="A208">
        <v>207</v>
      </c>
      <c r="B208">
        <v>30</v>
      </c>
      <c r="C208" t="s">
        <v>34</v>
      </c>
      <c r="D208">
        <v>349148</v>
      </c>
      <c r="E208" t="s">
        <v>60</v>
      </c>
      <c r="F208">
        <v>13</v>
      </c>
      <c r="G208" t="s">
        <v>36</v>
      </c>
      <c r="H208" t="s">
        <v>61</v>
      </c>
      <c r="I208" t="s">
        <v>45</v>
      </c>
      <c r="J208" t="s">
        <v>39</v>
      </c>
      <c r="K208" t="s">
        <v>52</v>
      </c>
      <c r="L208">
        <v>0</v>
      </c>
      <c r="M208">
        <v>0</v>
      </c>
      <c r="N208">
        <v>70</v>
      </c>
      <c r="O208" t="s">
        <v>41</v>
      </c>
      <c r="P208" t="s">
        <v>42</v>
      </c>
      <c r="Q208">
        <f>IF(Tabela3[[#This Row],[Income]]="&lt;=50K",Tabela3[[#This Row],[Age]],NA())</f>
        <v>30</v>
      </c>
      <c r="R208">
        <f>IF(Tabela3[[#This Row],[Income]]="&lt;=50K",Tabela3[[#This Row],[education-num]],NA())</f>
        <v>13</v>
      </c>
      <c r="S208" t="e">
        <f>IF(Tabela3[[#This Row],[Income]]="&gt;50K",Tabela3[[#This Row],[Age]],NA())</f>
        <v>#N/A</v>
      </c>
      <c r="T208" t="e">
        <f>IF(Tabela3[[#This Row],[Income]]="&gt;50K",Tabela3[[#This Row],[education-num]],NA())</f>
        <v>#N/A</v>
      </c>
    </row>
    <row r="209" spans="1:20">
      <c r="A209">
        <v>208</v>
      </c>
      <c r="B209">
        <v>42</v>
      </c>
      <c r="C209" t="s">
        <v>34</v>
      </c>
      <c r="D209">
        <v>156580</v>
      </c>
      <c r="E209" t="s">
        <v>60</v>
      </c>
      <c r="F209">
        <v>13</v>
      </c>
      <c r="G209" t="s">
        <v>63</v>
      </c>
      <c r="H209" t="s">
        <v>44</v>
      </c>
      <c r="I209" t="s">
        <v>65</v>
      </c>
      <c r="J209" t="s">
        <v>39</v>
      </c>
      <c r="K209" t="s">
        <v>40</v>
      </c>
      <c r="L209">
        <v>0</v>
      </c>
      <c r="M209">
        <v>0</v>
      </c>
      <c r="N209">
        <v>40</v>
      </c>
      <c r="O209" t="s">
        <v>92</v>
      </c>
      <c r="P209" t="s">
        <v>42</v>
      </c>
      <c r="Q209">
        <f>IF(Tabela3[[#This Row],[Income]]="&lt;=50K",Tabela3[[#This Row],[Age]],NA())</f>
        <v>42</v>
      </c>
      <c r="R209">
        <f>IF(Tabela3[[#This Row],[Income]]="&lt;=50K",Tabela3[[#This Row],[education-num]],NA())</f>
        <v>13</v>
      </c>
      <c r="S209" t="e">
        <f>IF(Tabela3[[#This Row],[Income]]="&gt;50K",Tabela3[[#This Row],[Age]],NA())</f>
        <v>#N/A</v>
      </c>
      <c r="T209" t="e">
        <f>IF(Tabela3[[#This Row],[Income]]="&gt;50K",Tabela3[[#This Row],[education-num]],NA())</f>
        <v>#N/A</v>
      </c>
    </row>
    <row r="210" spans="1:20">
      <c r="A210">
        <v>209</v>
      </c>
      <c r="B210">
        <v>48</v>
      </c>
      <c r="C210" t="s">
        <v>74</v>
      </c>
      <c r="D210">
        <v>164582</v>
      </c>
      <c r="E210" t="s">
        <v>46</v>
      </c>
      <c r="F210">
        <v>10</v>
      </c>
      <c r="G210" t="s">
        <v>63</v>
      </c>
      <c r="H210" t="s">
        <v>58</v>
      </c>
      <c r="I210" t="s">
        <v>66</v>
      </c>
      <c r="J210" t="s">
        <v>39</v>
      </c>
      <c r="K210" t="s">
        <v>52</v>
      </c>
      <c r="L210">
        <v>7298</v>
      </c>
      <c r="M210">
        <v>0</v>
      </c>
      <c r="N210">
        <v>60</v>
      </c>
      <c r="O210" t="s">
        <v>41</v>
      </c>
      <c r="P210" t="s">
        <v>53</v>
      </c>
      <c r="Q210" t="e">
        <f>IF(Tabela3[[#This Row],[Income]]="&lt;=50K",Tabela3[[#This Row],[Age]],NA())</f>
        <v>#N/A</v>
      </c>
      <c r="R210" t="e">
        <f>IF(Tabela3[[#This Row],[Income]]="&lt;=50K",Tabela3[[#This Row],[education-num]],NA())</f>
        <v>#N/A</v>
      </c>
      <c r="S210">
        <f>IF(Tabela3[[#This Row],[Income]]="&gt;50K",Tabela3[[#This Row],[Age]],NA())</f>
        <v>48</v>
      </c>
      <c r="T210">
        <f>IF(Tabela3[[#This Row],[Income]]="&gt;50K",Tabela3[[#This Row],[education-num]],NA())</f>
        <v>10</v>
      </c>
    </row>
    <row r="211" spans="1:20">
      <c r="A211">
        <v>210</v>
      </c>
      <c r="B211">
        <v>56</v>
      </c>
      <c r="C211" t="s">
        <v>83</v>
      </c>
      <c r="D211">
        <v>184598</v>
      </c>
      <c r="E211" t="s">
        <v>98</v>
      </c>
      <c r="F211">
        <v>5</v>
      </c>
      <c r="G211" t="s">
        <v>63</v>
      </c>
      <c r="H211" t="s">
        <v>72</v>
      </c>
      <c r="I211" t="s">
        <v>66</v>
      </c>
      <c r="J211" t="s">
        <v>39</v>
      </c>
      <c r="K211" t="s">
        <v>52</v>
      </c>
      <c r="L211">
        <v>0</v>
      </c>
      <c r="M211">
        <v>0</v>
      </c>
      <c r="N211">
        <v>99</v>
      </c>
      <c r="O211" t="s">
        <v>41</v>
      </c>
      <c r="P211" t="s">
        <v>42</v>
      </c>
      <c r="Q211">
        <f>IF(Tabela3[[#This Row],[Income]]="&lt;=50K",Tabela3[[#This Row],[Age]],NA())</f>
        <v>56</v>
      </c>
      <c r="R211">
        <f>IF(Tabela3[[#This Row],[Income]]="&lt;=50K",Tabela3[[#This Row],[education-num]],NA())</f>
        <v>5</v>
      </c>
      <c r="S211" t="e">
        <f>IF(Tabela3[[#This Row],[Income]]="&gt;50K",Tabela3[[#This Row],[Age]],NA())</f>
        <v>#N/A</v>
      </c>
      <c r="T211" t="e">
        <f>IF(Tabela3[[#This Row],[Income]]="&gt;50K",Tabela3[[#This Row],[education-num]],NA())</f>
        <v>#N/A</v>
      </c>
    </row>
    <row r="212" spans="1:20">
      <c r="A212">
        <v>211</v>
      </c>
      <c r="B212">
        <v>25</v>
      </c>
      <c r="C212" t="s">
        <v>34</v>
      </c>
      <c r="D212">
        <v>182866</v>
      </c>
      <c r="E212" t="s">
        <v>62</v>
      </c>
      <c r="F212">
        <v>9</v>
      </c>
      <c r="G212" t="s">
        <v>36</v>
      </c>
      <c r="H212" t="s">
        <v>68</v>
      </c>
      <c r="I212" t="s">
        <v>38</v>
      </c>
      <c r="J212" t="s">
        <v>39</v>
      </c>
      <c r="K212" t="s">
        <v>52</v>
      </c>
      <c r="L212">
        <v>0</v>
      </c>
      <c r="M212">
        <v>0</v>
      </c>
      <c r="N212">
        <v>40</v>
      </c>
      <c r="O212" t="s">
        <v>41</v>
      </c>
      <c r="P212" t="s">
        <v>42</v>
      </c>
      <c r="Q212">
        <f>IF(Tabela3[[#This Row],[Income]]="&lt;=50K",Tabela3[[#This Row],[Age]],NA())</f>
        <v>25</v>
      </c>
      <c r="R212">
        <f>IF(Tabela3[[#This Row],[Income]]="&lt;=50K",Tabela3[[#This Row],[education-num]],NA())</f>
        <v>9</v>
      </c>
      <c r="S212" t="e">
        <f>IF(Tabela3[[#This Row],[Income]]="&gt;50K",Tabela3[[#This Row],[Age]],NA())</f>
        <v>#N/A</v>
      </c>
      <c r="T212" t="e">
        <f>IF(Tabela3[[#This Row],[Income]]="&gt;50K",Tabela3[[#This Row],[education-num]],NA())</f>
        <v>#N/A</v>
      </c>
    </row>
    <row r="213" spans="1:20">
      <c r="A213">
        <v>212</v>
      </c>
      <c r="B213">
        <v>46</v>
      </c>
      <c r="C213" t="s">
        <v>54</v>
      </c>
      <c r="D213">
        <v>344172</v>
      </c>
      <c r="E213" t="s">
        <v>43</v>
      </c>
      <c r="F213">
        <v>12</v>
      </c>
      <c r="G213" t="s">
        <v>63</v>
      </c>
      <c r="H213" t="s">
        <v>89</v>
      </c>
      <c r="I213" t="s">
        <v>66</v>
      </c>
      <c r="J213" t="s">
        <v>39</v>
      </c>
      <c r="K213" t="s">
        <v>52</v>
      </c>
      <c r="L213">
        <v>0</v>
      </c>
      <c r="M213">
        <v>0</v>
      </c>
      <c r="N213">
        <v>49</v>
      </c>
      <c r="O213" t="s">
        <v>41</v>
      </c>
      <c r="P213" t="s">
        <v>53</v>
      </c>
      <c r="Q213" t="e">
        <f>IF(Tabela3[[#This Row],[Income]]="&lt;=50K",Tabela3[[#This Row],[Age]],NA())</f>
        <v>#N/A</v>
      </c>
      <c r="R213" t="e">
        <f>IF(Tabela3[[#This Row],[Income]]="&lt;=50K",Tabela3[[#This Row],[education-num]],NA())</f>
        <v>#N/A</v>
      </c>
      <c r="S213">
        <f>IF(Tabela3[[#This Row],[Income]]="&gt;50K",Tabela3[[#This Row],[Age]],NA())</f>
        <v>46</v>
      </c>
      <c r="T213">
        <f>IF(Tabela3[[#This Row],[Income]]="&gt;50K",Tabela3[[#This Row],[education-num]],NA())</f>
        <v>12</v>
      </c>
    </row>
    <row r="214" spans="1:20">
      <c r="A214">
        <v>213</v>
      </c>
      <c r="B214">
        <v>18</v>
      </c>
      <c r="C214" t="s">
        <v>34</v>
      </c>
      <c r="D214">
        <v>243900</v>
      </c>
      <c r="E214" t="s">
        <v>62</v>
      </c>
      <c r="F214">
        <v>9</v>
      </c>
      <c r="G214" t="s">
        <v>36</v>
      </c>
      <c r="H214" t="s">
        <v>67</v>
      </c>
      <c r="I214" t="s">
        <v>38</v>
      </c>
      <c r="J214" t="s">
        <v>39</v>
      </c>
      <c r="K214" t="s">
        <v>40</v>
      </c>
      <c r="L214">
        <v>0</v>
      </c>
      <c r="M214">
        <v>0</v>
      </c>
      <c r="N214">
        <v>15</v>
      </c>
      <c r="O214" t="s">
        <v>41</v>
      </c>
      <c r="P214" t="s">
        <v>42</v>
      </c>
      <c r="Q214">
        <f>IF(Tabela3[[#This Row],[Income]]="&lt;=50K",Tabela3[[#This Row],[Age]],NA())</f>
        <v>18</v>
      </c>
      <c r="R214">
        <f>IF(Tabela3[[#This Row],[Income]]="&lt;=50K",Tabela3[[#This Row],[education-num]],NA())</f>
        <v>9</v>
      </c>
      <c r="S214" t="e">
        <f>IF(Tabela3[[#This Row],[Income]]="&gt;50K",Tabela3[[#This Row],[Age]],NA())</f>
        <v>#N/A</v>
      </c>
      <c r="T214" t="e">
        <f>IF(Tabela3[[#This Row],[Income]]="&gt;50K",Tabela3[[#This Row],[education-num]],NA())</f>
        <v>#N/A</v>
      </c>
    </row>
    <row r="215" spans="1:20">
      <c r="A215">
        <v>214</v>
      </c>
      <c r="B215">
        <v>74</v>
      </c>
      <c r="C215" t="s">
        <v>74</v>
      </c>
      <c r="D215">
        <v>119129</v>
      </c>
      <c r="E215" t="s">
        <v>62</v>
      </c>
      <c r="F215">
        <v>9</v>
      </c>
      <c r="G215" t="s">
        <v>63</v>
      </c>
      <c r="H215" t="s">
        <v>44</v>
      </c>
      <c r="I215" t="s">
        <v>66</v>
      </c>
      <c r="J215" t="s">
        <v>39</v>
      </c>
      <c r="K215" t="s">
        <v>52</v>
      </c>
      <c r="L215">
        <v>0</v>
      </c>
      <c r="M215">
        <v>2149</v>
      </c>
      <c r="N215">
        <v>20</v>
      </c>
      <c r="O215" t="s">
        <v>41</v>
      </c>
      <c r="P215" t="s">
        <v>42</v>
      </c>
      <c r="Q215">
        <f>IF(Tabela3[[#This Row],[Income]]="&lt;=50K",Tabela3[[#This Row],[Age]],NA())</f>
        <v>74</v>
      </c>
      <c r="R215">
        <f>IF(Tabela3[[#This Row],[Income]]="&lt;=50K",Tabela3[[#This Row],[education-num]],NA())</f>
        <v>9</v>
      </c>
      <c r="S215" t="e">
        <f>IF(Tabela3[[#This Row],[Income]]="&gt;50K",Tabela3[[#This Row],[Age]],NA())</f>
        <v>#N/A</v>
      </c>
      <c r="T215" t="e">
        <f>IF(Tabela3[[#This Row],[Income]]="&gt;50K",Tabela3[[#This Row],[education-num]],NA())</f>
        <v>#N/A</v>
      </c>
    </row>
    <row r="216" spans="1:20">
      <c r="A216">
        <v>215</v>
      </c>
      <c r="B216">
        <v>32</v>
      </c>
      <c r="C216" t="s">
        <v>34</v>
      </c>
      <c r="D216">
        <v>188048</v>
      </c>
      <c r="E216" t="s">
        <v>60</v>
      </c>
      <c r="F216">
        <v>13</v>
      </c>
      <c r="G216" t="s">
        <v>36</v>
      </c>
      <c r="H216" t="s">
        <v>67</v>
      </c>
      <c r="I216" t="s">
        <v>38</v>
      </c>
      <c r="J216" t="s">
        <v>39</v>
      </c>
      <c r="K216" t="s">
        <v>40</v>
      </c>
      <c r="L216">
        <v>0</v>
      </c>
      <c r="M216">
        <v>0</v>
      </c>
      <c r="N216">
        <v>40</v>
      </c>
      <c r="O216" t="s">
        <v>41</v>
      </c>
      <c r="P216" t="s">
        <v>42</v>
      </c>
      <c r="Q216">
        <f>IF(Tabela3[[#This Row],[Income]]="&lt;=50K",Tabela3[[#This Row],[Age]],NA())</f>
        <v>32</v>
      </c>
      <c r="R216">
        <f>IF(Tabela3[[#This Row],[Income]]="&lt;=50K",Tabela3[[#This Row],[education-num]],NA())</f>
        <v>13</v>
      </c>
      <c r="S216" t="e">
        <f>IF(Tabela3[[#This Row],[Income]]="&gt;50K",Tabela3[[#This Row],[Age]],NA())</f>
        <v>#N/A</v>
      </c>
      <c r="T216" t="e">
        <f>IF(Tabela3[[#This Row],[Income]]="&gt;50K",Tabela3[[#This Row],[education-num]],NA())</f>
        <v>#N/A</v>
      </c>
    </row>
    <row r="217" spans="1:20">
      <c r="A217">
        <v>216</v>
      </c>
      <c r="B217">
        <v>20</v>
      </c>
      <c r="C217" t="s">
        <v>34</v>
      </c>
      <c r="D217">
        <v>366929</v>
      </c>
      <c r="E217" t="s">
        <v>46</v>
      </c>
      <c r="F217">
        <v>10</v>
      </c>
      <c r="G217" t="s">
        <v>36</v>
      </c>
      <c r="H217" t="s">
        <v>67</v>
      </c>
      <c r="I217" t="s">
        <v>38</v>
      </c>
      <c r="J217" t="s">
        <v>39</v>
      </c>
      <c r="K217" t="s">
        <v>40</v>
      </c>
      <c r="L217">
        <v>0</v>
      </c>
      <c r="M217">
        <v>0</v>
      </c>
      <c r="N217">
        <v>35</v>
      </c>
      <c r="O217" t="s">
        <v>41</v>
      </c>
      <c r="P217" t="s">
        <v>42</v>
      </c>
      <c r="Q217">
        <f>IF(Tabela3[[#This Row],[Income]]="&lt;=50K",Tabela3[[#This Row],[Age]],NA())</f>
        <v>20</v>
      </c>
      <c r="R217">
        <f>IF(Tabela3[[#This Row],[Income]]="&lt;=50K",Tabela3[[#This Row],[education-num]],NA())</f>
        <v>10</v>
      </c>
      <c r="S217" t="e">
        <f>IF(Tabela3[[#This Row],[Income]]="&gt;50K",Tabela3[[#This Row],[Age]],NA())</f>
        <v>#N/A</v>
      </c>
      <c r="T217" t="e">
        <f>IF(Tabela3[[#This Row],[Income]]="&gt;50K",Tabela3[[#This Row],[education-num]],NA())</f>
        <v>#N/A</v>
      </c>
    </row>
    <row r="218" spans="1:20">
      <c r="A218">
        <v>217</v>
      </c>
      <c r="B218">
        <v>23</v>
      </c>
      <c r="C218" t="s">
        <v>34</v>
      </c>
      <c r="D218">
        <v>107801</v>
      </c>
      <c r="E218" t="s">
        <v>46</v>
      </c>
      <c r="F218">
        <v>10</v>
      </c>
      <c r="G218" t="s">
        <v>36</v>
      </c>
      <c r="H218" t="s">
        <v>67</v>
      </c>
      <c r="I218" t="s">
        <v>38</v>
      </c>
      <c r="J218" t="s">
        <v>39</v>
      </c>
      <c r="K218" t="s">
        <v>40</v>
      </c>
      <c r="L218">
        <v>0</v>
      </c>
      <c r="M218">
        <v>1617</v>
      </c>
      <c r="N218">
        <v>25</v>
      </c>
      <c r="O218" t="s">
        <v>41</v>
      </c>
      <c r="P218" t="s">
        <v>42</v>
      </c>
      <c r="Q218">
        <f>IF(Tabela3[[#This Row],[Income]]="&lt;=50K",Tabela3[[#This Row],[Age]],NA())</f>
        <v>23</v>
      </c>
      <c r="R218">
        <f>IF(Tabela3[[#This Row],[Income]]="&lt;=50K",Tabela3[[#This Row],[education-num]],NA())</f>
        <v>10</v>
      </c>
      <c r="S218" t="e">
        <f>IF(Tabela3[[#This Row],[Income]]="&gt;50K",Tabela3[[#This Row],[Age]],NA())</f>
        <v>#N/A</v>
      </c>
      <c r="T218" t="e">
        <f>IF(Tabela3[[#This Row],[Income]]="&gt;50K",Tabela3[[#This Row],[education-num]],NA())</f>
        <v>#N/A</v>
      </c>
    </row>
    <row r="219" spans="1:20">
      <c r="A219">
        <v>218</v>
      </c>
      <c r="B219">
        <v>57</v>
      </c>
      <c r="C219" t="s">
        <v>75</v>
      </c>
      <c r="D219">
        <v>199114</v>
      </c>
      <c r="E219" t="s">
        <v>60</v>
      </c>
      <c r="F219">
        <v>13</v>
      </c>
      <c r="G219" t="s">
        <v>36</v>
      </c>
      <c r="H219" t="s">
        <v>67</v>
      </c>
      <c r="I219" t="s">
        <v>45</v>
      </c>
      <c r="J219" t="s">
        <v>39</v>
      </c>
      <c r="K219" t="s">
        <v>52</v>
      </c>
      <c r="L219">
        <v>0</v>
      </c>
      <c r="M219">
        <v>2258</v>
      </c>
      <c r="N219">
        <v>40</v>
      </c>
      <c r="O219" t="s">
        <v>41</v>
      </c>
      <c r="P219" t="s">
        <v>42</v>
      </c>
      <c r="Q219">
        <f>IF(Tabela3[[#This Row],[Income]]="&lt;=50K",Tabela3[[#This Row],[Age]],NA())</f>
        <v>57</v>
      </c>
      <c r="R219">
        <f>IF(Tabela3[[#This Row],[Income]]="&lt;=50K",Tabela3[[#This Row],[education-num]],NA())</f>
        <v>13</v>
      </c>
      <c r="S219" t="e">
        <f>IF(Tabela3[[#This Row],[Income]]="&gt;50K",Tabela3[[#This Row],[Age]],NA())</f>
        <v>#N/A</v>
      </c>
      <c r="T219" t="e">
        <f>IF(Tabela3[[#This Row],[Income]]="&gt;50K",Tabela3[[#This Row],[education-num]],NA())</f>
        <v>#N/A</v>
      </c>
    </row>
    <row r="220" spans="1:20">
      <c r="A220">
        <v>219</v>
      </c>
      <c r="B220">
        <v>47</v>
      </c>
      <c r="C220" t="s">
        <v>34</v>
      </c>
      <c r="D220">
        <v>216999</v>
      </c>
      <c r="E220" t="s">
        <v>62</v>
      </c>
      <c r="F220">
        <v>9</v>
      </c>
      <c r="G220" t="s">
        <v>63</v>
      </c>
      <c r="H220" t="s">
        <v>44</v>
      </c>
      <c r="I220" t="s">
        <v>66</v>
      </c>
      <c r="J220" t="s">
        <v>39</v>
      </c>
      <c r="K220" t="s">
        <v>52</v>
      </c>
      <c r="L220">
        <v>0</v>
      </c>
      <c r="M220">
        <v>0</v>
      </c>
      <c r="N220">
        <v>45</v>
      </c>
      <c r="O220" t="s">
        <v>41</v>
      </c>
      <c r="P220" t="s">
        <v>42</v>
      </c>
      <c r="Q220">
        <f>IF(Tabela3[[#This Row],[Income]]="&lt;=50K",Tabela3[[#This Row],[Age]],NA())</f>
        <v>47</v>
      </c>
      <c r="R220">
        <f>IF(Tabela3[[#This Row],[Income]]="&lt;=50K",Tabela3[[#This Row],[education-num]],NA())</f>
        <v>9</v>
      </c>
      <c r="S220" t="e">
        <f>IF(Tabela3[[#This Row],[Income]]="&gt;50K",Tabela3[[#This Row],[Age]],NA())</f>
        <v>#N/A</v>
      </c>
      <c r="T220" t="e">
        <f>IF(Tabela3[[#This Row],[Income]]="&gt;50K",Tabela3[[#This Row],[education-num]],NA())</f>
        <v>#N/A</v>
      </c>
    </row>
    <row r="221" spans="1:20">
      <c r="A221">
        <v>220</v>
      </c>
      <c r="B221">
        <v>55</v>
      </c>
      <c r="C221" t="s">
        <v>34</v>
      </c>
      <c r="D221">
        <v>208311</v>
      </c>
      <c r="E221" t="s">
        <v>73</v>
      </c>
      <c r="F221">
        <v>14</v>
      </c>
      <c r="G221" t="s">
        <v>63</v>
      </c>
      <c r="H221" t="s">
        <v>64</v>
      </c>
      <c r="I221" t="s">
        <v>66</v>
      </c>
      <c r="J221" t="s">
        <v>39</v>
      </c>
      <c r="K221" t="s">
        <v>52</v>
      </c>
      <c r="L221">
        <v>0</v>
      </c>
      <c r="M221">
        <v>1977</v>
      </c>
      <c r="N221">
        <v>20</v>
      </c>
      <c r="O221" t="s">
        <v>41</v>
      </c>
      <c r="P221" t="s">
        <v>53</v>
      </c>
      <c r="Q221" t="e">
        <f>IF(Tabela3[[#This Row],[Income]]="&lt;=50K",Tabela3[[#This Row],[Age]],NA())</f>
        <v>#N/A</v>
      </c>
      <c r="R221" t="e">
        <f>IF(Tabela3[[#This Row],[Income]]="&lt;=50K",Tabela3[[#This Row],[education-num]],NA())</f>
        <v>#N/A</v>
      </c>
      <c r="S221">
        <f>IF(Tabela3[[#This Row],[Income]]="&gt;50K",Tabela3[[#This Row],[Age]],NA())</f>
        <v>55</v>
      </c>
      <c r="T221">
        <f>IF(Tabela3[[#This Row],[Income]]="&gt;50K",Tabela3[[#This Row],[education-num]],NA())</f>
        <v>14</v>
      </c>
    </row>
    <row r="222" spans="1:20">
      <c r="A222">
        <v>221</v>
      </c>
      <c r="B222">
        <v>26</v>
      </c>
      <c r="C222" t="s">
        <v>34</v>
      </c>
      <c r="D222">
        <v>227489</v>
      </c>
      <c r="E222" t="s">
        <v>62</v>
      </c>
      <c r="F222">
        <v>9</v>
      </c>
      <c r="G222" t="s">
        <v>36</v>
      </c>
      <c r="H222" t="s">
        <v>64</v>
      </c>
      <c r="I222" t="s">
        <v>79</v>
      </c>
      <c r="J222" t="s">
        <v>57</v>
      </c>
      <c r="K222" t="s">
        <v>52</v>
      </c>
      <c r="L222">
        <v>0</v>
      </c>
      <c r="M222">
        <v>0</v>
      </c>
      <c r="N222">
        <v>40</v>
      </c>
      <c r="O222" t="s">
        <v>71</v>
      </c>
      <c r="P222" t="s">
        <v>42</v>
      </c>
      <c r="Q222">
        <f>IF(Tabela3[[#This Row],[Income]]="&lt;=50K",Tabela3[[#This Row],[Age]],NA())</f>
        <v>26</v>
      </c>
      <c r="R222">
        <f>IF(Tabela3[[#This Row],[Income]]="&lt;=50K",Tabela3[[#This Row],[education-num]],NA())</f>
        <v>9</v>
      </c>
      <c r="S222" t="e">
        <f>IF(Tabela3[[#This Row],[Income]]="&gt;50K",Tabela3[[#This Row],[Age]],NA())</f>
        <v>#N/A</v>
      </c>
      <c r="T222" t="e">
        <f>IF(Tabela3[[#This Row],[Income]]="&gt;50K",Tabela3[[#This Row],[education-num]],NA())</f>
        <v>#N/A</v>
      </c>
    </row>
    <row r="223" spans="1:20">
      <c r="A223">
        <v>222</v>
      </c>
      <c r="B223">
        <v>47</v>
      </c>
      <c r="C223" t="s">
        <v>34</v>
      </c>
      <c r="D223">
        <v>152073</v>
      </c>
      <c r="E223" t="s">
        <v>62</v>
      </c>
      <c r="F223">
        <v>9</v>
      </c>
      <c r="G223" t="s">
        <v>49</v>
      </c>
      <c r="H223" t="s">
        <v>56</v>
      </c>
      <c r="I223" t="s">
        <v>69</v>
      </c>
      <c r="J223" t="s">
        <v>39</v>
      </c>
      <c r="K223" t="s">
        <v>40</v>
      </c>
      <c r="L223">
        <v>0</v>
      </c>
      <c r="M223">
        <v>0</v>
      </c>
      <c r="N223">
        <v>40</v>
      </c>
      <c r="O223" t="s">
        <v>41</v>
      </c>
      <c r="P223" t="s">
        <v>42</v>
      </c>
      <c r="Q223">
        <f>IF(Tabela3[[#This Row],[Income]]="&lt;=50K",Tabela3[[#This Row],[Age]],NA())</f>
        <v>47</v>
      </c>
      <c r="R223">
        <f>IF(Tabela3[[#This Row],[Income]]="&lt;=50K",Tabela3[[#This Row],[education-num]],NA())</f>
        <v>9</v>
      </c>
      <c r="S223" t="e">
        <f>IF(Tabela3[[#This Row],[Income]]="&gt;50K",Tabela3[[#This Row],[Age]],NA())</f>
        <v>#N/A</v>
      </c>
      <c r="T223" t="e">
        <f>IF(Tabela3[[#This Row],[Income]]="&gt;50K",Tabela3[[#This Row],[education-num]],NA())</f>
        <v>#N/A</v>
      </c>
    </row>
    <row r="224" spans="1:20">
      <c r="A224">
        <v>223</v>
      </c>
      <c r="B224">
        <v>24</v>
      </c>
      <c r="C224" t="s">
        <v>34</v>
      </c>
      <c r="D224">
        <v>441700</v>
      </c>
      <c r="E224" t="s">
        <v>60</v>
      </c>
      <c r="F224">
        <v>13</v>
      </c>
      <c r="G224" t="s">
        <v>36</v>
      </c>
      <c r="H224" t="s">
        <v>64</v>
      </c>
      <c r="I224" t="s">
        <v>38</v>
      </c>
      <c r="J224" t="s">
        <v>39</v>
      </c>
      <c r="K224" t="s">
        <v>52</v>
      </c>
      <c r="L224">
        <v>0</v>
      </c>
      <c r="M224">
        <v>0</v>
      </c>
      <c r="N224">
        <v>40</v>
      </c>
      <c r="O224" t="s">
        <v>41</v>
      </c>
      <c r="P224" t="s">
        <v>42</v>
      </c>
      <c r="Q224">
        <f>IF(Tabela3[[#This Row],[Income]]="&lt;=50K",Tabela3[[#This Row],[Age]],NA())</f>
        <v>24</v>
      </c>
      <c r="R224">
        <f>IF(Tabela3[[#This Row],[Income]]="&lt;=50K",Tabela3[[#This Row],[education-num]],NA())</f>
        <v>13</v>
      </c>
      <c r="S224" t="e">
        <f>IF(Tabela3[[#This Row],[Income]]="&gt;50K",Tabela3[[#This Row],[Age]],NA())</f>
        <v>#N/A</v>
      </c>
      <c r="T224" t="e">
        <f>IF(Tabela3[[#This Row],[Income]]="&gt;50K",Tabela3[[#This Row],[education-num]],NA())</f>
        <v>#N/A</v>
      </c>
    </row>
    <row r="225" spans="1:20">
      <c r="A225">
        <v>224</v>
      </c>
      <c r="B225">
        <v>28</v>
      </c>
      <c r="C225" t="s">
        <v>71</v>
      </c>
      <c r="D225">
        <v>147471</v>
      </c>
      <c r="E225" t="s">
        <v>62</v>
      </c>
      <c r="F225">
        <v>9</v>
      </c>
      <c r="G225" t="s">
        <v>49</v>
      </c>
      <c r="H225" t="s">
        <v>71</v>
      </c>
      <c r="I225" t="s">
        <v>38</v>
      </c>
      <c r="J225" t="s">
        <v>39</v>
      </c>
      <c r="K225" t="s">
        <v>40</v>
      </c>
      <c r="L225">
        <v>0</v>
      </c>
      <c r="M225">
        <v>0</v>
      </c>
      <c r="N225">
        <v>10</v>
      </c>
      <c r="O225" t="s">
        <v>41</v>
      </c>
      <c r="P225" t="s">
        <v>42</v>
      </c>
      <c r="Q225">
        <f>IF(Tabela3[[#This Row],[Income]]="&lt;=50K",Tabela3[[#This Row],[Age]],NA())</f>
        <v>28</v>
      </c>
      <c r="R225">
        <f>IF(Tabela3[[#This Row],[Income]]="&lt;=50K",Tabela3[[#This Row],[education-num]],NA())</f>
        <v>9</v>
      </c>
      <c r="S225" t="e">
        <f>IF(Tabela3[[#This Row],[Income]]="&gt;50K",Tabela3[[#This Row],[Age]],NA())</f>
        <v>#N/A</v>
      </c>
      <c r="T225" t="e">
        <f>IF(Tabela3[[#This Row],[Income]]="&gt;50K",Tabela3[[#This Row],[education-num]],NA())</f>
        <v>#N/A</v>
      </c>
    </row>
    <row r="226" spans="1:20">
      <c r="A226">
        <v>225</v>
      </c>
      <c r="B226">
        <v>23</v>
      </c>
      <c r="C226" t="s">
        <v>34</v>
      </c>
      <c r="D226">
        <v>289982</v>
      </c>
      <c r="E226" t="s">
        <v>62</v>
      </c>
      <c r="F226">
        <v>9</v>
      </c>
      <c r="G226" t="s">
        <v>36</v>
      </c>
      <c r="H226" t="s">
        <v>44</v>
      </c>
      <c r="I226" t="s">
        <v>45</v>
      </c>
      <c r="J226" t="s">
        <v>39</v>
      </c>
      <c r="K226" t="s">
        <v>40</v>
      </c>
      <c r="L226">
        <v>0</v>
      </c>
      <c r="M226">
        <v>0</v>
      </c>
      <c r="N226">
        <v>40</v>
      </c>
      <c r="O226" t="s">
        <v>41</v>
      </c>
      <c r="P226" t="s">
        <v>42</v>
      </c>
      <c r="Q226">
        <f>IF(Tabela3[[#This Row],[Income]]="&lt;=50K",Tabela3[[#This Row],[Age]],NA())</f>
        <v>23</v>
      </c>
      <c r="R226">
        <f>IF(Tabela3[[#This Row],[Income]]="&lt;=50K",Tabela3[[#This Row],[education-num]],NA())</f>
        <v>9</v>
      </c>
      <c r="S226" t="e">
        <f>IF(Tabela3[[#This Row],[Income]]="&gt;50K",Tabela3[[#This Row],[Age]],NA())</f>
        <v>#N/A</v>
      </c>
      <c r="T226" t="e">
        <f>IF(Tabela3[[#This Row],[Income]]="&gt;50K",Tabela3[[#This Row],[education-num]],NA())</f>
        <v>#N/A</v>
      </c>
    </row>
    <row r="227" spans="1:20">
      <c r="A227">
        <v>226</v>
      </c>
      <c r="B227">
        <v>40</v>
      </c>
      <c r="C227" t="s">
        <v>34</v>
      </c>
      <c r="D227">
        <v>191544</v>
      </c>
      <c r="E227" t="s">
        <v>62</v>
      </c>
      <c r="F227">
        <v>9</v>
      </c>
      <c r="G227" t="s">
        <v>36</v>
      </c>
      <c r="H227" t="s">
        <v>37</v>
      </c>
      <c r="I227" t="s">
        <v>45</v>
      </c>
      <c r="J227" t="s">
        <v>39</v>
      </c>
      <c r="K227" t="s">
        <v>40</v>
      </c>
      <c r="L227">
        <v>0</v>
      </c>
      <c r="M227">
        <v>0</v>
      </c>
      <c r="N227">
        <v>35</v>
      </c>
      <c r="O227" t="s">
        <v>41</v>
      </c>
      <c r="P227" t="s">
        <v>42</v>
      </c>
      <c r="Q227">
        <f>IF(Tabela3[[#This Row],[Income]]="&lt;=50K",Tabela3[[#This Row],[Age]],NA())</f>
        <v>40</v>
      </c>
      <c r="R227">
        <f>IF(Tabela3[[#This Row],[Income]]="&lt;=50K",Tabela3[[#This Row],[education-num]],NA())</f>
        <v>9</v>
      </c>
      <c r="S227" t="e">
        <f>IF(Tabela3[[#This Row],[Income]]="&gt;50K",Tabela3[[#This Row],[Age]],NA())</f>
        <v>#N/A</v>
      </c>
      <c r="T227" t="e">
        <f>IF(Tabela3[[#This Row],[Income]]="&gt;50K",Tabela3[[#This Row],[education-num]],NA())</f>
        <v>#N/A</v>
      </c>
    </row>
    <row r="228" spans="1:20">
      <c r="A228">
        <v>227</v>
      </c>
      <c r="B228">
        <v>60</v>
      </c>
      <c r="C228" t="s">
        <v>75</v>
      </c>
      <c r="D228">
        <v>165630</v>
      </c>
      <c r="E228" t="s">
        <v>62</v>
      </c>
      <c r="F228">
        <v>9</v>
      </c>
      <c r="G228" t="s">
        <v>63</v>
      </c>
      <c r="H228" t="s">
        <v>64</v>
      </c>
      <c r="I228" t="s">
        <v>66</v>
      </c>
      <c r="J228" t="s">
        <v>39</v>
      </c>
      <c r="K228" t="s">
        <v>52</v>
      </c>
      <c r="L228">
        <v>0</v>
      </c>
      <c r="M228">
        <v>1977</v>
      </c>
      <c r="N228">
        <v>40</v>
      </c>
      <c r="O228" t="s">
        <v>41</v>
      </c>
      <c r="P228" t="s">
        <v>53</v>
      </c>
      <c r="Q228" t="e">
        <f>IF(Tabela3[[#This Row],[Income]]="&lt;=50K",Tabela3[[#This Row],[Age]],NA())</f>
        <v>#N/A</v>
      </c>
      <c r="R228" t="e">
        <f>IF(Tabela3[[#This Row],[Income]]="&lt;=50K",Tabela3[[#This Row],[education-num]],NA())</f>
        <v>#N/A</v>
      </c>
      <c r="S228">
        <f>IF(Tabela3[[#This Row],[Income]]="&gt;50K",Tabela3[[#This Row],[Age]],NA())</f>
        <v>60</v>
      </c>
      <c r="T228">
        <f>IF(Tabela3[[#This Row],[Income]]="&gt;50K",Tabela3[[#This Row],[education-num]],NA())</f>
        <v>9</v>
      </c>
    </row>
    <row r="229" spans="1:20">
      <c r="A229">
        <v>228</v>
      </c>
      <c r="B229">
        <v>28</v>
      </c>
      <c r="C229" t="s">
        <v>34</v>
      </c>
      <c r="D229">
        <v>263614</v>
      </c>
      <c r="E229" t="s">
        <v>60</v>
      </c>
      <c r="F229">
        <v>13</v>
      </c>
      <c r="G229" t="s">
        <v>63</v>
      </c>
      <c r="H229" t="s">
        <v>80</v>
      </c>
      <c r="I229" t="s">
        <v>66</v>
      </c>
      <c r="J229" t="s">
        <v>39</v>
      </c>
      <c r="K229" t="s">
        <v>52</v>
      </c>
      <c r="L229">
        <v>0</v>
      </c>
      <c r="M229">
        <v>0</v>
      </c>
      <c r="N229">
        <v>40</v>
      </c>
      <c r="O229" t="s">
        <v>41</v>
      </c>
      <c r="P229" t="s">
        <v>53</v>
      </c>
      <c r="Q229" t="e">
        <f>IF(Tabela3[[#This Row],[Income]]="&lt;=50K",Tabela3[[#This Row],[Age]],NA())</f>
        <v>#N/A</v>
      </c>
      <c r="R229" t="e">
        <f>IF(Tabela3[[#This Row],[Income]]="&lt;=50K",Tabela3[[#This Row],[education-num]],NA())</f>
        <v>#N/A</v>
      </c>
      <c r="S229">
        <f>IF(Tabela3[[#This Row],[Income]]="&gt;50K",Tabela3[[#This Row],[Age]],NA())</f>
        <v>28</v>
      </c>
      <c r="T229">
        <f>IF(Tabela3[[#This Row],[Income]]="&gt;50K",Tabela3[[#This Row],[education-num]],NA())</f>
        <v>13</v>
      </c>
    </row>
    <row r="230" spans="1:20">
      <c r="A230">
        <v>229</v>
      </c>
      <c r="B230">
        <v>43</v>
      </c>
      <c r="C230" t="s">
        <v>34</v>
      </c>
      <c r="D230">
        <v>184099</v>
      </c>
      <c r="E230" t="s">
        <v>43</v>
      </c>
      <c r="F230">
        <v>12</v>
      </c>
      <c r="G230" t="s">
        <v>63</v>
      </c>
      <c r="H230" t="s">
        <v>72</v>
      </c>
      <c r="I230" t="s">
        <v>66</v>
      </c>
      <c r="J230" t="s">
        <v>39</v>
      </c>
      <c r="K230" t="s">
        <v>52</v>
      </c>
      <c r="L230">
        <v>0</v>
      </c>
      <c r="M230">
        <v>0</v>
      </c>
      <c r="N230">
        <v>40</v>
      </c>
      <c r="O230" t="s">
        <v>41</v>
      </c>
      <c r="P230" t="s">
        <v>42</v>
      </c>
      <c r="Q230">
        <f>IF(Tabela3[[#This Row],[Income]]="&lt;=50K",Tabela3[[#This Row],[Age]],NA())</f>
        <v>43</v>
      </c>
      <c r="R230">
        <f>IF(Tabela3[[#This Row],[Income]]="&lt;=50K",Tabela3[[#This Row],[education-num]],NA())</f>
        <v>12</v>
      </c>
      <c r="S230" t="e">
        <f>IF(Tabela3[[#This Row],[Income]]="&gt;50K",Tabela3[[#This Row],[Age]],NA())</f>
        <v>#N/A</v>
      </c>
      <c r="T230" t="e">
        <f>IF(Tabela3[[#This Row],[Income]]="&gt;50K",Tabela3[[#This Row],[education-num]],NA())</f>
        <v>#N/A</v>
      </c>
    </row>
    <row r="231" spans="1:20">
      <c r="A231">
        <v>230</v>
      </c>
      <c r="B231">
        <v>42</v>
      </c>
      <c r="C231" t="s">
        <v>34</v>
      </c>
      <c r="D231">
        <v>135056</v>
      </c>
      <c r="E231" t="s">
        <v>46</v>
      </c>
      <c r="F231">
        <v>10</v>
      </c>
      <c r="G231" t="s">
        <v>63</v>
      </c>
      <c r="H231" t="s">
        <v>67</v>
      </c>
      <c r="I231" t="s">
        <v>65</v>
      </c>
      <c r="J231" t="s">
        <v>39</v>
      </c>
      <c r="K231" t="s">
        <v>40</v>
      </c>
      <c r="L231">
        <v>0</v>
      </c>
      <c r="M231">
        <v>0</v>
      </c>
      <c r="N231">
        <v>40</v>
      </c>
      <c r="O231" t="s">
        <v>41</v>
      </c>
      <c r="P231" t="s">
        <v>42</v>
      </c>
      <c r="Q231">
        <f>IF(Tabela3[[#This Row],[Income]]="&lt;=50K",Tabela3[[#This Row],[Age]],NA())</f>
        <v>42</v>
      </c>
      <c r="R231">
        <f>IF(Tabela3[[#This Row],[Income]]="&lt;=50K",Tabela3[[#This Row],[education-num]],NA())</f>
        <v>10</v>
      </c>
      <c r="S231" t="e">
        <f>IF(Tabela3[[#This Row],[Income]]="&gt;50K",Tabela3[[#This Row],[Age]],NA())</f>
        <v>#N/A</v>
      </c>
      <c r="T231" t="e">
        <f>IF(Tabela3[[#This Row],[Income]]="&gt;50K",Tabela3[[#This Row],[education-num]],NA())</f>
        <v>#N/A</v>
      </c>
    </row>
    <row r="232" spans="1:20">
      <c r="A232">
        <v>231</v>
      </c>
      <c r="B232">
        <v>67</v>
      </c>
      <c r="C232" t="s">
        <v>34</v>
      </c>
      <c r="D232">
        <v>174603</v>
      </c>
      <c r="E232" t="s">
        <v>62</v>
      </c>
      <c r="F232">
        <v>9</v>
      </c>
      <c r="G232" t="s">
        <v>36</v>
      </c>
      <c r="H232" t="s">
        <v>80</v>
      </c>
      <c r="I232" t="s">
        <v>45</v>
      </c>
      <c r="J232" t="s">
        <v>39</v>
      </c>
      <c r="K232" t="s">
        <v>40</v>
      </c>
      <c r="L232">
        <v>0</v>
      </c>
      <c r="M232">
        <v>0</v>
      </c>
      <c r="N232">
        <v>35</v>
      </c>
      <c r="O232" t="s">
        <v>41</v>
      </c>
      <c r="P232" t="s">
        <v>42</v>
      </c>
      <c r="Q232">
        <f>IF(Tabela3[[#This Row],[Income]]="&lt;=50K",Tabela3[[#This Row],[Age]],NA())</f>
        <v>67</v>
      </c>
      <c r="R232">
        <f>IF(Tabela3[[#This Row],[Income]]="&lt;=50K",Tabela3[[#This Row],[education-num]],NA())</f>
        <v>9</v>
      </c>
      <c r="S232" t="e">
        <f>IF(Tabela3[[#This Row],[Income]]="&gt;50K",Tabela3[[#This Row],[Age]],NA())</f>
        <v>#N/A</v>
      </c>
      <c r="T232" t="e">
        <f>IF(Tabela3[[#This Row],[Income]]="&gt;50K",Tabela3[[#This Row],[education-num]],NA())</f>
        <v>#N/A</v>
      </c>
    </row>
    <row r="233" spans="1:20">
      <c r="A233">
        <v>232</v>
      </c>
      <c r="B233">
        <v>25</v>
      </c>
      <c r="C233" t="s">
        <v>34</v>
      </c>
      <c r="D233">
        <v>247006</v>
      </c>
      <c r="E233" t="s">
        <v>43</v>
      </c>
      <c r="F233">
        <v>12</v>
      </c>
      <c r="G233" t="s">
        <v>63</v>
      </c>
      <c r="H233" t="s">
        <v>80</v>
      </c>
      <c r="I233" t="s">
        <v>66</v>
      </c>
      <c r="J233" t="s">
        <v>39</v>
      </c>
      <c r="K233" t="s">
        <v>52</v>
      </c>
      <c r="L233">
        <v>0</v>
      </c>
      <c r="M233">
        <v>0</v>
      </c>
      <c r="N233">
        <v>45</v>
      </c>
      <c r="O233" t="s">
        <v>41</v>
      </c>
      <c r="P233" t="s">
        <v>42</v>
      </c>
      <c r="Q233">
        <f>IF(Tabela3[[#This Row],[Income]]="&lt;=50K",Tabela3[[#This Row],[Age]],NA())</f>
        <v>25</v>
      </c>
      <c r="R233">
        <f>IF(Tabela3[[#This Row],[Income]]="&lt;=50K",Tabela3[[#This Row],[education-num]],NA())</f>
        <v>12</v>
      </c>
      <c r="S233" t="e">
        <f>IF(Tabela3[[#This Row],[Income]]="&gt;50K",Tabela3[[#This Row],[Age]],NA())</f>
        <v>#N/A</v>
      </c>
      <c r="T233" t="e">
        <f>IF(Tabela3[[#This Row],[Income]]="&gt;50K",Tabela3[[#This Row],[education-num]],NA())</f>
        <v>#N/A</v>
      </c>
    </row>
    <row r="234" spans="1:20">
      <c r="A234">
        <v>233</v>
      </c>
      <c r="B234">
        <v>30</v>
      </c>
      <c r="C234" t="s">
        <v>34</v>
      </c>
      <c r="D234">
        <v>148524</v>
      </c>
      <c r="E234" t="s">
        <v>62</v>
      </c>
      <c r="F234">
        <v>9</v>
      </c>
      <c r="G234" t="s">
        <v>63</v>
      </c>
      <c r="H234" t="s">
        <v>72</v>
      </c>
      <c r="I234" t="s">
        <v>66</v>
      </c>
      <c r="J234" t="s">
        <v>39</v>
      </c>
      <c r="K234" t="s">
        <v>52</v>
      </c>
      <c r="L234">
        <v>0</v>
      </c>
      <c r="M234">
        <v>2057</v>
      </c>
      <c r="N234">
        <v>40</v>
      </c>
      <c r="O234" t="s">
        <v>41</v>
      </c>
      <c r="P234" t="s">
        <v>42</v>
      </c>
      <c r="Q234">
        <f>IF(Tabela3[[#This Row],[Income]]="&lt;=50K",Tabela3[[#This Row],[Age]],NA())</f>
        <v>30</v>
      </c>
      <c r="R234">
        <f>IF(Tabela3[[#This Row],[Income]]="&lt;=50K",Tabela3[[#This Row],[education-num]],NA())</f>
        <v>9</v>
      </c>
      <c r="S234" t="e">
        <f>IF(Tabela3[[#This Row],[Income]]="&gt;50K",Tabela3[[#This Row],[Age]],NA())</f>
        <v>#N/A</v>
      </c>
      <c r="T234" t="e">
        <f>IF(Tabela3[[#This Row],[Income]]="&gt;50K",Tabela3[[#This Row],[education-num]],NA())</f>
        <v>#N/A</v>
      </c>
    </row>
    <row r="235" spans="1:20">
      <c r="A235">
        <v>234</v>
      </c>
      <c r="B235">
        <v>37</v>
      </c>
      <c r="C235" t="s">
        <v>54</v>
      </c>
      <c r="D235">
        <v>102936</v>
      </c>
      <c r="E235" t="s">
        <v>60</v>
      </c>
      <c r="F235">
        <v>13</v>
      </c>
      <c r="G235" t="s">
        <v>49</v>
      </c>
      <c r="H235" t="s">
        <v>61</v>
      </c>
      <c r="I235" t="s">
        <v>69</v>
      </c>
      <c r="J235" t="s">
        <v>39</v>
      </c>
      <c r="K235" t="s">
        <v>40</v>
      </c>
      <c r="L235">
        <v>0</v>
      </c>
      <c r="M235">
        <v>0</v>
      </c>
      <c r="N235">
        <v>55</v>
      </c>
      <c r="O235" t="s">
        <v>41</v>
      </c>
      <c r="P235" t="s">
        <v>42</v>
      </c>
      <c r="Q235">
        <f>IF(Tabela3[[#This Row],[Income]]="&lt;=50K",Tabela3[[#This Row],[Age]],NA())</f>
        <v>37</v>
      </c>
      <c r="R235">
        <f>IF(Tabela3[[#This Row],[Income]]="&lt;=50K",Tabela3[[#This Row],[education-num]],NA())</f>
        <v>13</v>
      </c>
      <c r="S235" t="e">
        <f>IF(Tabela3[[#This Row],[Income]]="&gt;50K",Tabela3[[#This Row],[Age]],NA())</f>
        <v>#N/A</v>
      </c>
      <c r="T235" t="e">
        <f>IF(Tabela3[[#This Row],[Income]]="&gt;50K",Tabela3[[#This Row],[education-num]],NA())</f>
        <v>#N/A</v>
      </c>
    </row>
    <row r="236" spans="1:20">
      <c r="A236">
        <v>235</v>
      </c>
      <c r="B236">
        <v>62</v>
      </c>
      <c r="C236" t="s">
        <v>34</v>
      </c>
      <c r="D236">
        <v>208711</v>
      </c>
      <c r="E236" t="s">
        <v>60</v>
      </c>
      <c r="F236">
        <v>13</v>
      </c>
      <c r="G236" t="s">
        <v>63</v>
      </c>
      <c r="H236" t="s">
        <v>50</v>
      </c>
      <c r="I236" t="s">
        <v>66</v>
      </c>
      <c r="J236" t="s">
        <v>39</v>
      </c>
      <c r="K236" t="s">
        <v>52</v>
      </c>
      <c r="L236">
        <v>7688</v>
      </c>
      <c r="M236">
        <v>0</v>
      </c>
      <c r="N236">
        <v>50</v>
      </c>
      <c r="O236" t="s">
        <v>41</v>
      </c>
      <c r="P236" t="s">
        <v>53</v>
      </c>
      <c r="Q236" t="e">
        <f>IF(Tabela3[[#This Row],[Income]]="&lt;=50K",Tabela3[[#This Row],[Age]],NA())</f>
        <v>#N/A</v>
      </c>
      <c r="R236" t="e">
        <f>IF(Tabela3[[#This Row],[Income]]="&lt;=50K",Tabela3[[#This Row],[education-num]],NA())</f>
        <v>#N/A</v>
      </c>
      <c r="S236">
        <f>IF(Tabela3[[#This Row],[Income]]="&gt;50K",Tabela3[[#This Row],[Age]],NA())</f>
        <v>62</v>
      </c>
      <c r="T236">
        <f>IF(Tabela3[[#This Row],[Income]]="&gt;50K",Tabela3[[#This Row],[education-num]],NA())</f>
        <v>13</v>
      </c>
    </row>
    <row r="237" spans="1:20">
      <c r="A237">
        <v>236</v>
      </c>
      <c r="B237">
        <v>41</v>
      </c>
      <c r="C237" t="s">
        <v>71</v>
      </c>
      <c r="D237">
        <v>27187</v>
      </c>
      <c r="E237" t="s">
        <v>78</v>
      </c>
      <c r="F237">
        <v>11</v>
      </c>
      <c r="G237" t="s">
        <v>63</v>
      </c>
      <c r="H237" t="s">
        <v>71</v>
      </c>
      <c r="I237" t="s">
        <v>66</v>
      </c>
      <c r="J237" t="s">
        <v>39</v>
      </c>
      <c r="K237" t="s">
        <v>52</v>
      </c>
      <c r="L237">
        <v>0</v>
      </c>
      <c r="M237">
        <v>2415</v>
      </c>
      <c r="N237">
        <v>12</v>
      </c>
      <c r="O237" t="s">
        <v>41</v>
      </c>
      <c r="P237" t="s">
        <v>53</v>
      </c>
      <c r="Q237" t="e">
        <f>IF(Tabela3[[#This Row],[Income]]="&lt;=50K",Tabela3[[#This Row],[Age]],NA())</f>
        <v>#N/A</v>
      </c>
      <c r="R237" t="e">
        <f>IF(Tabela3[[#This Row],[Income]]="&lt;=50K",Tabela3[[#This Row],[education-num]],NA())</f>
        <v>#N/A</v>
      </c>
      <c r="S237">
        <f>IF(Tabela3[[#This Row],[Income]]="&gt;50K",Tabela3[[#This Row],[Age]],NA())</f>
        <v>41</v>
      </c>
      <c r="T237">
        <f>IF(Tabela3[[#This Row],[Income]]="&gt;50K",Tabela3[[#This Row],[education-num]],NA())</f>
        <v>11</v>
      </c>
    </row>
    <row r="238" spans="1:20">
      <c r="A238">
        <v>237</v>
      </c>
      <c r="B238">
        <v>40</v>
      </c>
      <c r="C238" t="s">
        <v>34</v>
      </c>
      <c r="D238">
        <v>119101</v>
      </c>
      <c r="E238" t="s">
        <v>46</v>
      </c>
      <c r="F238">
        <v>10</v>
      </c>
      <c r="G238" t="s">
        <v>63</v>
      </c>
      <c r="H238" t="s">
        <v>50</v>
      </c>
      <c r="I238" t="s">
        <v>66</v>
      </c>
      <c r="J238" t="s">
        <v>39</v>
      </c>
      <c r="K238" t="s">
        <v>52</v>
      </c>
      <c r="L238">
        <v>5178</v>
      </c>
      <c r="M238">
        <v>0</v>
      </c>
      <c r="N238">
        <v>40</v>
      </c>
      <c r="O238" t="s">
        <v>41</v>
      </c>
      <c r="P238" t="s">
        <v>53</v>
      </c>
      <c r="Q238" t="e">
        <f>IF(Tabela3[[#This Row],[Income]]="&lt;=50K",Tabela3[[#This Row],[Age]],NA())</f>
        <v>#N/A</v>
      </c>
      <c r="R238" t="e">
        <f>IF(Tabela3[[#This Row],[Income]]="&lt;=50K",Tabela3[[#This Row],[education-num]],NA())</f>
        <v>#N/A</v>
      </c>
      <c r="S238">
        <f>IF(Tabela3[[#This Row],[Income]]="&gt;50K",Tabela3[[#This Row],[Age]],NA())</f>
        <v>40</v>
      </c>
      <c r="T238">
        <f>IF(Tabela3[[#This Row],[Income]]="&gt;50K",Tabela3[[#This Row],[education-num]],NA())</f>
        <v>10</v>
      </c>
    </row>
    <row r="239" spans="1:20">
      <c r="A239">
        <v>238</v>
      </c>
      <c r="B239">
        <v>58</v>
      </c>
      <c r="C239" t="s">
        <v>71</v>
      </c>
      <c r="D239">
        <v>347692</v>
      </c>
      <c r="E239" t="s">
        <v>35</v>
      </c>
      <c r="F239">
        <v>7</v>
      </c>
      <c r="G239" t="s">
        <v>49</v>
      </c>
      <c r="H239" t="s">
        <v>71</v>
      </c>
      <c r="I239" t="s">
        <v>45</v>
      </c>
      <c r="J239" t="s">
        <v>57</v>
      </c>
      <c r="K239" t="s">
        <v>52</v>
      </c>
      <c r="L239">
        <v>0</v>
      </c>
      <c r="M239">
        <v>0</v>
      </c>
      <c r="N239">
        <v>15</v>
      </c>
      <c r="O239" t="s">
        <v>41</v>
      </c>
      <c r="P239" t="s">
        <v>42</v>
      </c>
      <c r="Q239">
        <f>IF(Tabela3[[#This Row],[Income]]="&lt;=50K",Tabela3[[#This Row],[Age]],NA())</f>
        <v>58</v>
      </c>
      <c r="R239">
        <f>IF(Tabela3[[#This Row],[Income]]="&lt;=50K",Tabela3[[#This Row],[education-num]],NA())</f>
        <v>7</v>
      </c>
      <c r="S239" t="e">
        <f>IF(Tabela3[[#This Row],[Income]]="&gt;50K",Tabela3[[#This Row],[Age]],NA())</f>
        <v>#N/A</v>
      </c>
      <c r="T239" t="e">
        <f>IF(Tabela3[[#This Row],[Income]]="&gt;50K",Tabela3[[#This Row],[education-num]],NA())</f>
        <v>#N/A</v>
      </c>
    </row>
    <row r="240" spans="1:20">
      <c r="A240">
        <v>239</v>
      </c>
      <c r="B240">
        <v>35</v>
      </c>
      <c r="C240" t="s">
        <v>34</v>
      </c>
      <c r="D240">
        <v>31023</v>
      </c>
      <c r="E240" t="s">
        <v>60</v>
      </c>
      <c r="F240">
        <v>13</v>
      </c>
      <c r="G240" t="s">
        <v>63</v>
      </c>
      <c r="H240" t="s">
        <v>44</v>
      </c>
      <c r="I240" t="s">
        <v>66</v>
      </c>
      <c r="J240" t="s">
        <v>39</v>
      </c>
      <c r="K240" t="s">
        <v>52</v>
      </c>
      <c r="L240">
        <v>0</v>
      </c>
      <c r="M240">
        <v>0</v>
      </c>
      <c r="N240">
        <v>45</v>
      </c>
      <c r="O240" t="s">
        <v>41</v>
      </c>
      <c r="P240" t="s">
        <v>42</v>
      </c>
      <c r="Q240">
        <f>IF(Tabela3[[#This Row],[Income]]="&lt;=50K",Tabela3[[#This Row],[Age]],NA())</f>
        <v>35</v>
      </c>
      <c r="R240">
        <f>IF(Tabela3[[#This Row],[Income]]="&lt;=50K",Tabela3[[#This Row],[education-num]],NA())</f>
        <v>13</v>
      </c>
      <c r="S240" t="e">
        <f>IF(Tabela3[[#This Row],[Income]]="&gt;50K",Tabela3[[#This Row],[Age]],NA())</f>
        <v>#N/A</v>
      </c>
      <c r="T240" t="e">
        <f>IF(Tabela3[[#This Row],[Income]]="&gt;50K",Tabela3[[#This Row],[education-num]],NA())</f>
        <v>#N/A</v>
      </c>
    </row>
    <row r="241" spans="1:20">
      <c r="A241">
        <v>240</v>
      </c>
      <c r="B241">
        <v>49</v>
      </c>
      <c r="C241" t="s">
        <v>34</v>
      </c>
      <c r="D241">
        <v>30219</v>
      </c>
      <c r="E241" t="s">
        <v>62</v>
      </c>
      <c r="F241">
        <v>9</v>
      </c>
      <c r="G241" t="s">
        <v>49</v>
      </c>
      <c r="H241" t="s">
        <v>50</v>
      </c>
      <c r="I241" t="s">
        <v>45</v>
      </c>
      <c r="J241" t="s">
        <v>39</v>
      </c>
      <c r="K241" t="s">
        <v>52</v>
      </c>
      <c r="L241">
        <v>0</v>
      </c>
      <c r="M241">
        <v>1669</v>
      </c>
      <c r="N241">
        <v>40</v>
      </c>
      <c r="O241" t="s">
        <v>41</v>
      </c>
      <c r="P241" t="s">
        <v>42</v>
      </c>
      <c r="Q241">
        <f>IF(Tabela3[[#This Row],[Income]]="&lt;=50K",Tabela3[[#This Row],[Age]],NA())</f>
        <v>49</v>
      </c>
      <c r="R241">
        <f>IF(Tabela3[[#This Row],[Income]]="&lt;=50K",Tabela3[[#This Row],[education-num]],NA())</f>
        <v>9</v>
      </c>
      <c r="S241" t="e">
        <f>IF(Tabela3[[#This Row],[Income]]="&gt;50K",Tabela3[[#This Row],[Age]],NA())</f>
        <v>#N/A</v>
      </c>
      <c r="T241" t="e">
        <f>IF(Tabela3[[#This Row],[Income]]="&gt;50K",Tabela3[[#This Row],[education-num]],NA())</f>
        <v>#N/A</v>
      </c>
    </row>
    <row r="242" spans="1:20">
      <c r="A242">
        <v>241</v>
      </c>
      <c r="B242">
        <v>90</v>
      </c>
      <c r="C242" t="s">
        <v>71</v>
      </c>
      <c r="D242">
        <v>39824</v>
      </c>
      <c r="E242" t="s">
        <v>62</v>
      </c>
      <c r="F242">
        <v>9</v>
      </c>
      <c r="G242" t="s">
        <v>81</v>
      </c>
      <c r="H242" t="s">
        <v>71</v>
      </c>
      <c r="I242" t="s">
        <v>45</v>
      </c>
      <c r="J242" t="s">
        <v>39</v>
      </c>
      <c r="K242" t="s">
        <v>52</v>
      </c>
      <c r="L242">
        <v>401</v>
      </c>
      <c r="M242">
        <v>0</v>
      </c>
      <c r="N242">
        <v>4</v>
      </c>
      <c r="O242" t="s">
        <v>41</v>
      </c>
      <c r="P242" t="s">
        <v>42</v>
      </c>
      <c r="Q242">
        <f>IF(Tabela3[[#This Row],[Income]]="&lt;=50K",Tabela3[[#This Row],[Age]],NA())</f>
        <v>90</v>
      </c>
      <c r="R242">
        <f>IF(Tabela3[[#This Row],[Income]]="&lt;=50K",Tabela3[[#This Row],[education-num]],NA())</f>
        <v>9</v>
      </c>
      <c r="S242" t="e">
        <f>IF(Tabela3[[#This Row],[Income]]="&gt;50K",Tabela3[[#This Row],[Age]],NA())</f>
        <v>#N/A</v>
      </c>
      <c r="T242" t="e">
        <f>IF(Tabela3[[#This Row],[Income]]="&gt;50K",Tabela3[[#This Row],[education-num]],NA())</f>
        <v>#N/A</v>
      </c>
    </row>
    <row r="243" spans="1:20">
      <c r="A243">
        <v>242</v>
      </c>
      <c r="B243">
        <v>54</v>
      </c>
      <c r="C243" t="s">
        <v>34</v>
      </c>
      <c r="D243">
        <v>326156</v>
      </c>
      <c r="E243" t="s">
        <v>46</v>
      </c>
      <c r="F243">
        <v>10</v>
      </c>
      <c r="G243" t="s">
        <v>63</v>
      </c>
      <c r="H243" t="s">
        <v>50</v>
      </c>
      <c r="I243" t="s">
        <v>66</v>
      </c>
      <c r="J243" t="s">
        <v>39</v>
      </c>
      <c r="K243" t="s">
        <v>52</v>
      </c>
      <c r="L243">
        <v>0</v>
      </c>
      <c r="M243">
        <v>0</v>
      </c>
      <c r="N243">
        <v>40</v>
      </c>
      <c r="O243" t="s">
        <v>41</v>
      </c>
      <c r="P243" t="s">
        <v>53</v>
      </c>
      <c r="Q243" t="e">
        <f>IF(Tabela3[[#This Row],[Income]]="&lt;=50K",Tabela3[[#This Row],[Age]],NA())</f>
        <v>#N/A</v>
      </c>
      <c r="R243" t="e">
        <f>IF(Tabela3[[#This Row],[Income]]="&lt;=50K",Tabela3[[#This Row],[education-num]],NA())</f>
        <v>#N/A</v>
      </c>
      <c r="S243">
        <f>IF(Tabela3[[#This Row],[Income]]="&gt;50K",Tabela3[[#This Row],[Age]],NA())</f>
        <v>54</v>
      </c>
      <c r="T243">
        <f>IF(Tabela3[[#This Row],[Income]]="&gt;50K",Tabela3[[#This Row],[education-num]],NA())</f>
        <v>10</v>
      </c>
    </row>
    <row r="244" spans="1:20">
      <c r="A244">
        <v>243</v>
      </c>
      <c r="B244">
        <v>18</v>
      </c>
      <c r="C244" t="s">
        <v>34</v>
      </c>
      <c r="D244">
        <v>36251</v>
      </c>
      <c r="E244" t="s">
        <v>77</v>
      </c>
      <c r="F244">
        <v>6</v>
      </c>
      <c r="G244" t="s">
        <v>36</v>
      </c>
      <c r="H244" t="s">
        <v>37</v>
      </c>
      <c r="I244" t="s">
        <v>38</v>
      </c>
      <c r="J244" t="s">
        <v>39</v>
      </c>
      <c r="K244" t="s">
        <v>40</v>
      </c>
      <c r="L244">
        <v>0</v>
      </c>
      <c r="M244">
        <v>0</v>
      </c>
      <c r="N244">
        <v>15</v>
      </c>
      <c r="O244" t="s">
        <v>41</v>
      </c>
      <c r="P244" t="s">
        <v>42</v>
      </c>
      <c r="Q244">
        <f>IF(Tabela3[[#This Row],[Income]]="&lt;=50K",Tabela3[[#This Row],[Age]],NA())</f>
        <v>18</v>
      </c>
      <c r="R244">
        <f>IF(Tabela3[[#This Row],[Income]]="&lt;=50K",Tabela3[[#This Row],[education-num]],NA())</f>
        <v>6</v>
      </c>
      <c r="S244" t="e">
        <f>IF(Tabela3[[#This Row],[Income]]="&gt;50K",Tabela3[[#This Row],[Age]],NA())</f>
        <v>#N/A</v>
      </c>
      <c r="T244" t="e">
        <f>IF(Tabela3[[#This Row],[Income]]="&gt;50K",Tabela3[[#This Row],[education-num]],NA())</f>
        <v>#N/A</v>
      </c>
    </row>
    <row r="245" spans="1:20">
      <c r="A245">
        <v>244</v>
      </c>
      <c r="B245">
        <v>25</v>
      </c>
      <c r="C245" t="s">
        <v>34</v>
      </c>
      <c r="D245">
        <v>361307</v>
      </c>
      <c r="E245" t="s">
        <v>60</v>
      </c>
      <c r="F245">
        <v>13</v>
      </c>
      <c r="G245" t="s">
        <v>36</v>
      </c>
      <c r="H245" t="s">
        <v>44</v>
      </c>
      <c r="I245" t="s">
        <v>38</v>
      </c>
      <c r="J245" t="s">
        <v>39</v>
      </c>
      <c r="K245" t="s">
        <v>40</v>
      </c>
      <c r="L245">
        <v>0</v>
      </c>
      <c r="M245">
        <v>0</v>
      </c>
      <c r="N245">
        <v>40</v>
      </c>
      <c r="O245" t="s">
        <v>41</v>
      </c>
      <c r="P245" t="s">
        <v>42</v>
      </c>
      <c r="Q245">
        <f>IF(Tabela3[[#This Row],[Income]]="&lt;=50K",Tabela3[[#This Row],[Age]],NA())</f>
        <v>25</v>
      </c>
      <c r="R245">
        <f>IF(Tabela3[[#This Row],[Income]]="&lt;=50K",Tabela3[[#This Row],[education-num]],NA())</f>
        <v>13</v>
      </c>
      <c r="S245" t="e">
        <f>IF(Tabela3[[#This Row],[Income]]="&gt;50K",Tabela3[[#This Row],[Age]],NA())</f>
        <v>#N/A</v>
      </c>
      <c r="T245" t="e">
        <f>IF(Tabela3[[#This Row],[Income]]="&gt;50K",Tabela3[[#This Row],[education-num]],NA())</f>
        <v>#N/A</v>
      </c>
    </row>
    <row r="246" spans="1:20">
      <c r="A246">
        <v>245</v>
      </c>
      <c r="B246">
        <v>31</v>
      </c>
      <c r="C246" t="s">
        <v>34</v>
      </c>
      <c r="D246">
        <v>142038</v>
      </c>
      <c r="E246" t="s">
        <v>62</v>
      </c>
      <c r="F246">
        <v>9</v>
      </c>
      <c r="G246" t="s">
        <v>63</v>
      </c>
      <c r="H246" t="s">
        <v>50</v>
      </c>
      <c r="I246" t="s">
        <v>65</v>
      </c>
      <c r="J246" t="s">
        <v>39</v>
      </c>
      <c r="K246" t="s">
        <v>40</v>
      </c>
      <c r="L246">
        <v>0</v>
      </c>
      <c r="M246">
        <v>0</v>
      </c>
      <c r="N246">
        <v>45</v>
      </c>
      <c r="O246" t="s">
        <v>41</v>
      </c>
      <c r="P246" t="s">
        <v>42</v>
      </c>
      <c r="Q246">
        <f>IF(Tabela3[[#This Row],[Income]]="&lt;=50K",Tabela3[[#This Row],[Age]],NA())</f>
        <v>31</v>
      </c>
      <c r="R246">
        <f>IF(Tabela3[[#This Row],[Income]]="&lt;=50K",Tabela3[[#This Row],[education-num]],NA())</f>
        <v>9</v>
      </c>
      <c r="S246" t="e">
        <f>IF(Tabela3[[#This Row],[Income]]="&gt;50K",Tabela3[[#This Row],[Age]],NA())</f>
        <v>#N/A</v>
      </c>
      <c r="T246" t="e">
        <f>IF(Tabela3[[#This Row],[Income]]="&gt;50K",Tabela3[[#This Row],[education-num]],NA())</f>
        <v>#N/A</v>
      </c>
    </row>
    <row r="247" spans="1:20">
      <c r="A247">
        <v>246</v>
      </c>
      <c r="B247">
        <v>22</v>
      </c>
      <c r="C247" t="s">
        <v>34</v>
      </c>
      <c r="D247">
        <v>188274</v>
      </c>
      <c r="E247" t="s">
        <v>62</v>
      </c>
      <c r="F247">
        <v>9</v>
      </c>
      <c r="G247" t="s">
        <v>36</v>
      </c>
      <c r="H247" t="s">
        <v>72</v>
      </c>
      <c r="I247" t="s">
        <v>38</v>
      </c>
      <c r="J247" t="s">
        <v>39</v>
      </c>
      <c r="K247" t="s">
        <v>52</v>
      </c>
      <c r="L247">
        <v>0</v>
      </c>
      <c r="M247">
        <v>0</v>
      </c>
      <c r="N247">
        <v>40</v>
      </c>
      <c r="O247" t="s">
        <v>41</v>
      </c>
      <c r="P247" t="s">
        <v>42</v>
      </c>
      <c r="Q247">
        <f>IF(Tabela3[[#This Row],[Income]]="&lt;=50K",Tabela3[[#This Row],[Age]],NA())</f>
        <v>22</v>
      </c>
      <c r="R247">
        <f>IF(Tabela3[[#This Row],[Income]]="&lt;=50K",Tabela3[[#This Row],[education-num]],NA())</f>
        <v>9</v>
      </c>
      <c r="S247" t="e">
        <f>IF(Tabela3[[#This Row],[Income]]="&gt;50K",Tabela3[[#This Row],[Age]],NA())</f>
        <v>#N/A</v>
      </c>
      <c r="T247" t="e">
        <f>IF(Tabela3[[#This Row],[Income]]="&gt;50K",Tabela3[[#This Row],[education-num]],NA())</f>
        <v>#N/A</v>
      </c>
    </row>
    <row r="248" spans="1:20">
      <c r="A248">
        <v>247</v>
      </c>
      <c r="B248">
        <v>25</v>
      </c>
      <c r="C248" t="s">
        <v>34</v>
      </c>
      <c r="D248">
        <v>211497</v>
      </c>
      <c r="E248" t="s">
        <v>46</v>
      </c>
      <c r="F248">
        <v>10</v>
      </c>
      <c r="G248" t="s">
        <v>63</v>
      </c>
      <c r="H248" t="s">
        <v>80</v>
      </c>
      <c r="I248" t="s">
        <v>66</v>
      </c>
      <c r="J248" t="s">
        <v>39</v>
      </c>
      <c r="K248" t="s">
        <v>52</v>
      </c>
      <c r="L248">
        <v>0</v>
      </c>
      <c r="M248">
        <v>0</v>
      </c>
      <c r="N248">
        <v>40</v>
      </c>
      <c r="O248" t="s">
        <v>41</v>
      </c>
      <c r="P248" t="s">
        <v>42</v>
      </c>
      <c r="Q248">
        <f>IF(Tabela3[[#This Row],[Income]]="&lt;=50K",Tabela3[[#This Row],[Age]],NA())</f>
        <v>25</v>
      </c>
      <c r="R248">
        <f>IF(Tabela3[[#This Row],[Income]]="&lt;=50K",Tabela3[[#This Row],[education-num]],NA())</f>
        <v>10</v>
      </c>
      <c r="S248" t="e">
        <f>IF(Tabela3[[#This Row],[Income]]="&gt;50K",Tabela3[[#This Row],[Age]],NA())</f>
        <v>#N/A</v>
      </c>
      <c r="T248" t="e">
        <f>IF(Tabela3[[#This Row],[Income]]="&gt;50K",Tabela3[[#This Row],[education-num]],NA())</f>
        <v>#N/A</v>
      </c>
    </row>
    <row r="249" spans="1:20">
      <c r="A249">
        <v>248</v>
      </c>
      <c r="B249">
        <v>36</v>
      </c>
      <c r="C249" t="s">
        <v>34</v>
      </c>
      <c r="D249">
        <v>592930</v>
      </c>
      <c r="E249" t="s">
        <v>62</v>
      </c>
      <c r="F249">
        <v>9</v>
      </c>
      <c r="G249" t="s">
        <v>63</v>
      </c>
      <c r="H249" t="s">
        <v>72</v>
      </c>
      <c r="I249" t="s">
        <v>66</v>
      </c>
      <c r="J249" t="s">
        <v>57</v>
      </c>
      <c r="K249" t="s">
        <v>52</v>
      </c>
      <c r="L249">
        <v>0</v>
      </c>
      <c r="M249">
        <v>0</v>
      </c>
      <c r="N249">
        <v>50</v>
      </c>
      <c r="O249" t="s">
        <v>41</v>
      </c>
      <c r="P249" t="s">
        <v>53</v>
      </c>
      <c r="Q249" t="e">
        <f>IF(Tabela3[[#This Row],[Income]]="&lt;=50K",Tabela3[[#This Row],[Age]],NA())</f>
        <v>#N/A</v>
      </c>
      <c r="R249" t="e">
        <f>IF(Tabela3[[#This Row],[Income]]="&lt;=50K",Tabela3[[#This Row],[education-num]],NA())</f>
        <v>#N/A</v>
      </c>
      <c r="S249">
        <f>IF(Tabela3[[#This Row],[Income]]="&gt;50K",Tabela3[[#This Row],[Age]],NA())</f>
        <v>36</v>
      </c>
      <c r="T249">
        <f>IF(Tabela3[[#This Row],[Income]]="&gt;50K",Tabela3[[#This Row],[education-num]],NA())</f>
        <v>9</v>
      </c>
    </row>
    <row r="250" spans="1:20">
      <c r="A250">
        <v>249</v>
      </c>
      <c r="B250">
        <v>26</v>
      </c>
      <c r="C250" t="s">
        <v>34</v>
      </c>
      <c r="D250">
        <v>179772</v>
      </c>
      <c r="E250" t="s">
        <v>60</v>
      </c>
      <c r="F250">
        <v>13</v>
      </c>
      <c r="G250" t="s">
        <v>36</v>
      </c>
      <c r="H250" t="s">
        <v>80</v>
      </c>
      <c r="I250" t="s">
        <v>45</v>
      </c>
      <c r="J250" t="s">
        <v>39</v>
      </c>
      <c r="K250" t="s">
        <v>40</v>
      </c>
      <c r="L250">
        <v>0</v>
      </c>
      <c r="M250">
        <v>0</v>
      </c>
      <c r="N250">
        <v>45</v>
      </c>
      <c r="O250" t="s">
        <v>41</v>
      </c>
      <c r="P250" t="s">
        <v>42</v>
      </c>
      <c r="Q250">
        <f>IF(Tabela3[[#This Row],[Income]]="&lt;=50K",Tabela3[[#This Row],[Age]],NA())</f>
        <v>26</v>
      </c>
      <c r="R250">
        <f>IF(Tabela3[[#This Row],[Income]]="&lt;=50K",Tabela3[[#This Row],[education-num]],NA())</f>
        <v>13</v>
      </c>
      <c r="S250" t="e">
        <f>IF(Tabela3[[#This Row],[Income]]="&gt;50K",Tabela3[[#This Row],[Age]],NA())</f>
        <v>#N/A</v>
      </c>
      <c r="T250" t="e">
        <f>IF(Tabela3[[#This Row],[Income]]="&gt;50K",Tabela3[[#This Row],[education-num]],NA())</f>
        <v>#N/A</v>
      </c>
    </row>
    <row r="251" spans="1:20">
      <c r="A251">
        <v>250</v>
      </c>
      <c r="B251">
        <v>37</v>
      </c>
      <c r="C251" t="s">
        <v>34</v>
      </c>
      <c r="D251">
        <v>179731</v>
      </c>
      <c r="E251" t="s">
        <v>62</v>
      </c>
      <c r="F251">
        <v>9</v>
      </c>
      <c r="G251" t="s">
        <v>36</v>
      </c>
      <c r="H251" t="s">
        <v>37</v>
      </c>
      <c r="I251" t="s">
        <v>69</v>
      </c>
      <c r="J251" t="s">
        <v>39</v>
      </c>
      <c r="K251" t="s">
        <v>40</v>
      </c>
      <c r="L251">
        <v>0</v>
      </c>
      <c r="M251">
        <v>0</v>
      </c>
      <c r="N251">
        <v>35</v>
      </c>
      <c r="O251" t="s">
        <v>41</v>
      </c>
      <c r="P251" t="s">
        <v>42</v>
      </c>
      <c r="Q251">
        <f>IF(Tabela3[[#This Row],[Income]]="&lt;=50K",Tabela3[[#This Row],[Age]],NA())</f>
        <v>37</v>
      </c>
      <c r="R251">
        <f>IF(Tabela3[[#This Row],[Income]]="&lt;=50K",Tabela3[[#This Row],[education-num]],NA())</f>
        <v>9</v>
      </c>
      <c r="S251" t="e">
        <f>IF(Tabela3[[#This Row],[Income]]="&gt;50K",Tabela3[[#This Row],[Age]],NA())</f>
        <v>#N/A</v>
      </c>
      <c r="T251" t="e">
        <f>IF(Tabela3[[#This Row],[Income]]="&gt;50K",Tabela3[[#This Row],[education-num]],NA())</f>
        <v>#N/A</v>
      </c>
    </row>
    <row r="252" spans="1:20">
      <c r="A252">
        <v>251</v>
      </c>
      <c r="B252">
        <v>27</v>
      </c>
      <c r="C252" t="s">
        <v>34</v>
      </c>
      <c r="D252">
        <v>104457</v>
      </c>
      <c r="E252" t="s">
        <v>60</v>
      </c>
      <c r="F252">
        <v>13</v>
      </c>
      <c r="G252" t="s">
        <v>36</v>
      </c>
      <c r="H252" t="s">
        <v>56</v>
      </c>
      <c r="I252" t="s">
        <v>45</v>
      </c>
      <c r="J252" t="s">
        <v>70</v>
      </c>
      <c r="K252" t="s">
        <v>52</v>
      </c>
      <c r="L252">
        <v>0</v>
      </c>
      <c r="M252">
        <v>0</v>
      </c>
      <c r="N252">
        <v>40</v>
      </c>
      <c r="O252" t="s">
        <v>71</v>
      </c>
      <c r="P252" t="s">
        <v>42</v>
      </c>
      <c r="Q252">
        <f>IF(Tabela3[[#This Row],[Income]]="&lt;=50K",Tabela3[[#This Row],[Age]],NA())</f>
        <v>27</v>
      </c>
      <c r="R252">
        <f>IF(Tabela3[[#This Row],[Income]]="&lt;=50K",Tabela3[[#This Row],[education-num]],NA())</f>
        <v>13</v>
      </c>
      <c r="S252" t="e">
        <f>IF(Tabela3[[#This Row],[Income]]="&gt;50K",Tabela3[[#This Row],[Age]],NA())</f>
        <v>#N/A</v>
      </c>
      <c r="T252" t="e">
        <f>IF(Tabela3[[#This Row],[Income]]="&gt;50K",Tabela3[[#This Row],[education-num]],NA())</f>
        <v>#N/A</v>
      </c>
    </row>
    <row r="253" spans="1:20">
      <c r="A253">
        <v>252</v>
      </c>
      <c r="B253">
        <v>18</v>
      </c>
      <c r="C253" t="s">
        <v>71</v>
      </c>
      <c r="D253">
        <v>343161</v>
      </c>
      <c r="E253" t="s">
        <v>35</v>
      </c>
      <c r="F253">
        <v>7</v>
      </c>
      <c r="G253" t="s">
        <v>36</v>
      </c>
      <c r="H253" t="s">
        <v>71</v>
      </c>
      <c r="I253" t="s">
        <v>38</v>
      </c>
      <c r="J253" t="s">
        <v>39</v>
      </c>
      <c r="K253" t="s">
        <v>52</v>
      </c>
      <c r="L253">
        <v>0</v>
      </c>
      <c r="M253">
        <v>0</v>
      </c>
      <c r="N253">
        <v>16</v>
      </c>
      <c r="O253" t="s">
        <v>41</v>
      </c>
      <c r="P253" t="s">
        <v>42</v>
      </c>
      <c r="Q253">
        <f>IF(Tabela3[[#This Row],[Income]]="&lt;=50K",Tabela3[[#This Row],[Age]],NA())</f>
        <v>18</v>
      </c>
      <c r="R253">
        <f>IF(Tabela3[[#This Row],[Income]]="&lt;=50K",Tabela3[[#This Row],[education-num]],NA())</f>
        <v>7</v>
      </c>
      <c r="S253" t="e">
        <f>IF(Tabela3[[#This Row],[Income]]="&gt;50K",Tabela3[[#This Row],[Age]],NA())</f>
        <v>#N/A</v>
      </c>
      <c r="T253" t="e">
        <f>IF(Tabela3[[#This Row],[Income]]="&gt;50K",Tabela3[[#This Row],[education-num]],NA())</f>
        <v>#N/A</v>
      </c>
    </row>
    <row r="254" spans="1:20">
      <c r="A254">
        <v>253</v>
      </c>
      <c r="B254">
        <v>24</v>
      </c>
      <c r="C254" t="s">
        <v>34</v>
      </c>
      <c r="D254">
        <v>122234</v>
      </c>
      <c r="E254" t="s">
        <v>46</v>
      </c>
      <c r="F254">
        <v>10</v>
      </c>
      <c r="G254" t="s">
        <v>36</v>
      </c>
      <c r="H254" t="s">
        <v>67</v>
      </c>
      <c r="I254" t="s">
        <v>45</v>
      </c>
      <c r="J254" t="s">
        <v>57</v>
      </c>
      <c r="K254" t="s">
        <v>40</v>
      </c>
      <c r="L254">
        <v>0</v>
      </c>
      <c r="M254">
        <v>0</v>
      </c>
      <c r="N254">
        <v>20</v>
      </c>
      <c r="O254" t="s">
        <v>71</v>
      </c>
      <c r="P254" t="s">
        <v>42</v>
      </c>
      <c r="Q254">
        <f>IF(Tabela3[[#This Row],[Income]]="&lt;=50K",Tabela3[[#This Row],[Age]],NA())</f>
        <v>24</v>
      </c>
      <c r="R254">
        <f>IF(Tabela3[[#This Row],[Income]]="&lt;=50K",Tabela3[[#This Row],[education-num]],NA())</f>
        <v>10</v>
      </c>
      <c r="S254" t="e">
        <f>IF(Tabela3[[#This Row],[Income]]="&gt;50K",Tabela3[[#This Row],[Age]],NA())</f>
        <v>#N/A</v>
      </c>
      <c r="T254" t="e">
        <f>IF(Tabela3[[#This Row],[Income]]="&gt;50K",Tabela3[[#This Row],[education-num]],NA())</f>
        <v>#N/A</v>
      </c>
    </row>
    <row r="255" spans="1:20">
      <c r="A255">
        <v>254</v>
      </c>
      <c r="B255">
        <v>47</v>
      </c>
      <c r="C255" t="s">
        <v>74</v>
      </c>
      <c r="D255">
        <v>160045</v>
      </c>
      <c r="E255" t="s">
        <v>46</v>
      </c>
      <c r="F255">
        <v>10</v>
      </c>
      <c r="G255" t="s">
        <v>81</v>
      </c>
      <c r="H255" t="s">
        <v>37</v>
      </c>
      <c r="I255" t="s">
        <v>69</v>
      </c>
      <c r="J255" t="s">
        <v>39</v>
      </c>
      <c r="K255" t="s">
        <v>40</v>
      </c>
      <c r="L255">
        <v>0</v>
      </c>
      <c r="M255">
        <v>0</v>
      </c>
      <c r="N255">
        <v>35</v>
      </c>
      <c r="O255" t="s">
        <v>41</v>
      </c>
      <c r="P255" t="s">
        <v>42</v>
      </c>
      <c r="Q255">
        <f>IF(Tabela3[[#This Row],[Income]]="&lt;=50K",Tabela3[[#This Row],[Age]],NA())</f>
        <v>47</v>
      </c>
      <c r="R255">
        <f>IF(Tabela3[[#This Row],[Income]]="&lt;=50K",Tabela3[[#This Row],[education-num]],NA())</f>
        <v>10</v>
      </c>
      <c r="S255" t="e">
        <f>IF(Tabela3[[#This Row],[Income]]="&gt;50K",Tabela3[[#This Row],[Age]],NA())</f>
        <v>#N/A</v>
      </c>
      <c r="T255" t="e">
        <f>IF(Tabela3[[#This Row],[Income]]="&gt;50K",Tabela3[[#This Row],[education-num]],NA())</f>
        <v>#N/A</v>
      </c>
    </row>
    <row r="256" spans="1:20">
      <c r="A256">
        <v>255</v>
      </c>
      <c r="B256">
        <v>48</v>
      </c>
      <c r="C256" t="s">
        <v>34</v>
      </c>
      <c r="D256">
        <v>248059</v>
      </c>
      <c r="E256" t="s">
        <v>60</v>
      </c>
      <c r="F256">
        <v>13</v>
      </c>
      <c r="G256" t="s">
        <v>63</v>
      </c>
      <c r="H256" t="s">
        <v>80</v>
      </c>
      <c r="I256" t="s">
        <v>66</v>
      </c>
      <c r="J256" t="s">
        <v>39</v>
      </c>
      <c r="K256" t="s">
        <v>52</v>
      </c>
      <c r="L256">
        <v>5013</v>
      </c>
      <c r="M256">
        <v>0</v>
      </c>
      <c r="N256">
        <v>45</v>
      </c>
      <c r="O256" t="s">
        <v>41</v>
      </c>
      <c r="P256" t="s">
        <v>42</v>
      </c>
      <c r="Q256">
        <f>IF(Tabela3[[#This Row],[Income]]="&lt;=50K",Tabela3[[#This Row],[Age]],NA())</f>
        <v>48</v>
      </c>
      <c r="R256">
        <f>IF(Tabela3[[#This Row],[Income]]="&lt;=50K",Tabela3[[#This Row],[education-num]],NA())</f>
        <v>13</v>
      </c>
      <c r="S256" t="e">
        <f>IF(Tabela3[[#This Row],[Income]]="&gt;50K",Tabela3[[#This Row],[Age]],NA())</f>
        <v>#N/A</v>
      </c>
      <c r="T256" t="e">
        <f>IF(Tabela3[[#This Row],[Income]]="&gt;50K",Tabela3[[#This Row],[education-num]],NA())</f>
        <v>#N/A</v>
      </c>
    </row>
    <row r="257" spans="1:20">
      <c r="A257">
        <v>256</v>
      </c>
      <c r="B257">
        <v>39</v>
      </c>
      <c r="C257" t="s">
        <v>75</v>
      </c>
      <c r="D257">
        <v>193583</v>
      </c>
      <c r="E257" t="s">
        <v>60</v>
      </c>
      <c r="F257">
        <v>13</v>
      </c>
      <c r="G257" t="s">
        <v>49</v>
      </c>
      <c r="H257" t="s">
        <v>61</v>
      </c>
      <c r="I257" t="s">
        <v>69</v>
      </c>
      <c r="J257" t="s">
        <v>39</v>
      </c>
      <c r="K257" t="s">
        <v>40</v>
      </c>
      <c r="L257">
        <v>5455</v>
      </c>
      <c r="M257">
        <v>0</v>
      </c>
      <c r="N257">
        <v>60</v>
      </c>
      <c r="O257" t="s">
        <v>41</v>
      </c>
      <c r="P257" t="s">
        <v>42</v>
      </c>
      <c r="Q257">
        <f>IF(Tabela3[[#This Row],[Income]]="&lt;=50K",Tabela3[[#This Row],[Age]],NA())</f>
        <v>39</v>
      </c>
      <c r="R257">
        <f>IF(Tabela3[[#This Row],[Income]]="&lt;=50K",Tabela3[[#This Row],[education-num]],NA())</f>
        <v>13</v>
      </c>
      <c r="S257" t="e">
        <f>IF(Tabela3[[#This Row],[Income]]="&gt;50K",Tabela3[[#This Row],[Age]],NA())</f>
        <v>#N/A</v>
      </c>
      <c r="T257" t="e">
        <f>IF(Tabela3[[#This Row],[Income]]="&gt;50K",Tabela3[[#This Row],[education-num]],NA())</f>
        <v>#N/A</v>
      </c>
    </row>
    <row r="258" spans="1:20">
      <c r="A258">
        <v>257</v>
      </c>
      <c r="B258">
        <v>26</v>
      </c>
      <c r="C258" t="s">
        <v>34</v>
      </c>
      <c r="D258">
        <v>120268</v>
      </c>
      <c r="E258" t="s">
        <v>60</v>
      </c>
      <c r="F258">
        <v>13</v>
      </c>
      <c r="G258" t="s">
        <v>36</v>
      </c>
      <c r="H258" t="s">
        <v>67</v>
      </c>
      <c r="I258" t="s">
        <v>38</v>
      </c>
      <c r="J258" t="s">
        <v>39</v>
      </c>
      <c r="K258" t="s">
        <v>52</v>
      </c>
      <c r="L258">
        <v>0</v>
      </c>
      <c r="M258">
        <v>0</v>
      </c>
      <c r="N258">
        <v>24</v>
      </c>
      <c r="O258" t="s">
        <v>41</v>
      </c>
      <c r="P258" t="s">
        <v>42</v>
      </c>
      <c r="Q258">
        <f>IF(Tabela3[[#This Row],[Income]]="&lt;=50K",Tabela3[[#This Row],[Age]],NA())</f>
        <v>26</v>
      </c>
      <c r="R258">
        <f>IF(Tabela3[[#This Row],[Income]]="&lt;=50K",Tabela3[[#This Row],[education-num]],NA())</f>
        <v>13</v>
      </c>
      <c r="S258" t="e">
        <f>IF(Tabela3[[#This Row],[Income]]="&gt;50K",Tabela3[[#This Row],[Age]],NA())</f>
        <v>#N/A</v>
      </c>
      <c r="T258" t="e">
        <f>IF(Tabela3[[#This Row],[Income]]="&gt;50K",Tabela3[[#This Row],[education-num]],NA())</f>
        <v>#N/A</v>
      </c>
    </row>
    <row r="259" spans="1:20">
      <c r="A259">
        <v>258</v>
      </c>
      <c r="B259">
        <v>51</v>
      </c>
      <c r="C259" t="s">
        <v>34</v>
      </c>
      <c r="D259">
        <v>133336</v>
      </c>
      <c r="E259" t="s">
        <v>62</v>
      </c>
      <c r="F259">
        <v>9</v>
      </c>
      <c r="G259" t="s">
        <v>63</v>
      </c>
      <c r="H259" t="s">
        <v>64</v>
      </c>
      <c r="I259" t="s">
        <v>66</v>
      </c>
      <c r="J259" t="s">
        <v>39</v>
      </c>
      <c r="K259" t="s">
        <v>52</v>
      </c>
      <c r="L259">
        <v>0</v>
      </c>
      <c r="M259">
        <v>0</v>
      </c>
      <c r="N259">
        <v>40</v>
      </c>
      <c r="O259" t="s">
        <v>41</v>
      </c>
      <c r="P259" t="s">
        <v>53</v>
      </c>
      <c r="Q259" t="e">
        <f>IF(Tabela3[[#This Row],[Income]]="&lt;=50K",Tabela3[[#This Row],[Age]],NA())</f>
        <v>#N/A</v>
      </c>
      <c r="R259" t="e">
        <f>IF(Tabela3[[#This Row],[Income]]="&lt;=50K",Tabela3[[#This Row],[education-num]],NA())</f>
        <v>#N/A</v>
      </c>
      <c r="S259">
        <f>IF(Tabela3[[#This Row],[Income]]="&gt;50K",Tabela3[[#This Row],[Age]],NA())</f>
        <v>51</v>
      </c>
      <c r="T259">
        <f>IF(Tabela3[[#This Row],[Income]]="&gt;50K",Tabela3[[#This Row],[education-num]],NA())</f>
        <v>9</v>
      </c>
    </row>
    <row r="260" spans="1:20">
      <c r="A260">
        <v>259</v>
      </c>
      <c r="B260">
        <v>32</v>
      </c>
      <c r="C260" t="s">
        <v>34</v>
      </c>
      <c r="D260">
        <v>207685</v>
      </c>
      <c r="E260" t="s">
        <v>62</v>
      </c>
      <c r="F260">
        <v>9</v>
      </c>
      <c r="G260" t="s">
        <v>63</v>
      </c>
      <c r="H260" t="s">
        <v>68</v>
      </c>
      <c r="I260" t="s">
        <v>65</v>
      </c>
      <c r="J260" t="s">
        <v>57</v>
      </c>
      <c r="K260" t="s">
        <v>40</v>
      </c>
      <c r="L260">
        <v>3908</v>
      </c>
      <c r="M260">
        <v>0</v>
      </c>
      <c r="N260">
        <v>40</v>
      </c>
      <c r="O260" t="s">
        <v>41</v>
      </c>
      <c r="P260" t="s">
        <v>42</v>
      </c>
      <c r="Q260">
        <f>IF(Tabela3[[#This Row],[Income]]="&lt;=50K",Tabela3[[#This Row],[Age]],NA())</f>
        <v>32</v>
      </c>
      <c r="R260">
        <f>IF(Tabela3[[#This Row],[Income]]="&lt;=50K",Tabela3[[#This Row],[education-num]],NA())</f>
        <v>9</v>
      </c>
      <c r="S260" t="e">
        <f>IF(Tabela3[[#This Row],[Income]]="&gt;50K",Tabela3[[#This Row],[Age]],NA())</f>
        <v>#N/A</v>
      </c>
      <c r="T260" t="e">
        <f>IF(Tabela3[[#This Row],[Income]]="&gt;50K",Tabela3[[#This Row],[education-num]],NA())</f>
        <v>#N/A</v>
      </c>
    </row>
    <row r="261" spans="1:20">
      <c r="A261">
        <v>260</v>
      </c>
      <c r="B261">
        <v>38</v>
      </c>
      <c r="C261" t="s">
        <v>34</v>
      </c>
      <c r="D261">
        <v>170861</v>
      </c>
      <c r="E261" t="s">
        <v>46</v>
      </c>
      <c r="F261">
        <v>10</v>
      </c>
      <c r="G261" t="s">
        <v>36</v>
      </c>
      <c r="H261" t="s">
        <v>67</v>
      </c>
      <c r="I261" t="s">
        <v>38</v>
      </c>
      <c r="J261" t="s">
        <v>39</v>
      </c>
      <c r="K261" t="s">
        <v>40</v>
      </c>
      <c r="L261">
        <v>0</v>
      </c>
      <c r="M261">
        <v>0</v>
      </c>
      <c r="N261">
        <v>40</v>
      </c>
      <c r="O261" t="s">
        <v>41</v>
      </c>
      <c r="P261" t="s">
        <v>42</v>
      </c>
      <c r="Q261">
        <f>IF(Tabela3[[#This Row],[Income]]="&lt;=50K",Tabela3[[#This Row],[Age]],NA())</f>
        <v>38</v>
      </c>
      <c r="R261">
        <f>IF(Tabela3[[#This Row],[Income]]="&lt;=50K",Tabela3[[#This Row],[education-num]],NA())</f>
        <v>10</v>
      </c>
      <c r="S261" t="e">
        <f>IF(Tabela3[[#This Row],[Income]]="&gt;50K",Tabela3[[#This Row],[Age]],NA())</f>
        <v>#N/A</v>
      </c>
      <c r="T261" t="e">
        <f>IF(Tabela3[[#This Row],[Income]]="&gt;50K",Tabela3[[#This Row],[education-num]],NA())</f>
        <v>#N/A</v>
      </c>
    </row>
    <row r="262" spans="1:20">
      <c r="A262">
        <v>261</v>
      </c>
      <c r="B262">
        <v>41</v>
      </c>
      <c r="C262" t="s">
        <v>74</v>
      </c>
      <c r="D262">
        <v>223763</v>
      </c>
      <c r="E262" t="s">
        <v>73</v>
      </c>
      <c r="F262">
        <v>14</v>
      </c>
      <c r="G262" t="s">
        <v>63</v>
      </c>
      <c r="H262" t="s">
        <v>50</v>
      </c>
      <c r="I262" t="s">
        <v>66</v>
      </c>
      <c r="J262" t="s">
        <v>39</v>
      </c>
      <c r="K262" t="s">
        <v>52</v>
      </c>
      <c r="L262">
        <v>0</v>
      </c>
      <c r="M262">
        <v>0</v>
      </c>
      <c r="N262">
        <v>65</v>
      </c>
      <c r="O262" t="s">
        <v>41</v>
      </c>
      <c r="P262" t="s">
        <v>42</v>
      </c>
      <c r="Q262">
        <f>IF(Tabela3[[#This Row],[Income]]="&lt;=50K",Tabela3[[#This Row],[Age]],NA())</f>
        <v>41</v>
      </c>
      <c r="R262">
        <f>IF(Tabela3[[#This Row],[Income]]="&lt;=50K",Tabela3[[#This Row],[education-num]],NA())</f>
        <v>14</v>
      </c>
      <c r="S262" t="e">
        <f>IF(Tabela3[[#This Row],[Income]]="&gt;50K",Tabela3[[#This Row],[Age]],NA())</f>
        <v>#N/A</v>
      </c>
      <c r="T262" t="e">
        <f>IF(Tabela3[[#This Row],[Income]]="&gt;50K",Tabela3[[#This Row],[education-num]],NA())</f>
        <v>#N/A</v>
      </c>
    </row>
    <row r="263" spans="1:20">
      <c r="A263">
        <v>262</v>
      </c>
      <c r="B263">
        <v>27</v>
      </c>
      <c r="C263" t="s">
        <v>34</v>
      </c>
      <c r="D263">
        <v>108431</v>
      </c>
      <c r="E263" t="s">
        <v>46</v>
      </c>
      <c r="F263">
        <v>10</v>
      </c>
      <c r="G263" t="s">
        <v>36</v>
      </c>
      <c r="H263" t="s">
        <v>50</v>
      </c>
      <c r="I263" t="s">
        <v>45</v>
      </c>
      <c r="J263" t="s">
        <v>57</v>
      </c>
      <c r="K263" t="s">
        <v>52</v>
      </c>
      <c r="L263">
        <v>0</v>
      </c>
      <c r="M263">
        <v>0</v>
      </c>
      <c r="N263">
        <v>40</v>
      </c>
      <c r="O263" t="s">
        <v>41</v>
      </c>
      <c r="P263" t="s">
        <v>42</v>
      </c>
      <c r="Q263">
        <f>IF(Tabela3[[#This Row],[Income]]="&lt;=50K",Tabela3[[#This Row],[Age]],NA())</f>
        <v>27</v>
      </c>
      <c r="R263">
        <f>IF(Tabela3[[#This Row],[Income]]="&lt;=50K",Tabela3[[#This Row],[education-num]],NA())</f>
        <v>10</v>
      </c>
      <c r="S263" t="e">
        <f>IF(Tabela3[[#This Row],[Income]]="&gt;50K",Tabela3[[#This Row],[Age]],NA())</f>
        <v>#N/A</v>
      </c>
      <c r="T263" t="e">
        <f>IF(Tabela3[[#This Row],[Income]]="&gt;50K",Tabela3[[#This Row],[education-num]],NA())</f>
        <v>#N/A</v>
      </c>
    </row>
    <row r="264" spans="1:20">
      <c r="A264">
        <v>263</v>
      </c>
      <c r="B264">
        <v>52</v>
      </c>
      <c r="C264" t="s">
        <v>74</v>
      </c>
      <c r="D264">
        <v>123011</v>
      </c>
      <c r="E264" t="s">
        <v>84</v>
      </c>
      <c r="F264">
        <v>15</v>
      </c>
      <c r="G264" t="s">
        <v>63</v>
      </c>
      <c r="H264" t="s">
        <v>61</v>
      </c>
      <c r="I264" t="s">
        <v>66</v>
      </c>
      <c r="J264" t="s">
        <v>39</v>
      </c>
      <c r="K264" t="s">
        <v>52</v>
      </c>
      <c r="L264">
        <v>0</v>
      </c>
      <c r="M264">
        <v>0</v>
      </c>
      <c r="N264">
        <v>50</v>
      </c>
      <c r="O264" t="s">
        <v>41</v>
      </c>
      <c r="P264" t="s">
        <v>53</v>
      </c>
      <c r="Q264" t="e">
        <f>IF(Tabela3[[#This Row],[Income]]="&lt;=50K",Tabela3[[#This Row],[Age]],NA())</f>
        <v>#N/A</v>
      </c>
      <c r="R264" t="e">
        <f>IF(Tabela3[[#This Row],[Income]]="&lt;=50K",Tabela3[[#This Row],[education-num]],NA())</f>
        <v>#N/A</v>
      </c>
      <c r="S264">
        <f>IF(Tabela3[[#This Row],[Income]]="&gt;50K",Tabela3[[#This Row],[Age]],NA())</f>
        <v>52</v>
      </c>
      <c r="T264">
        <f>IF(Tabela3[[#This Row],[Income]]="&gt;50K",Tabela3[[#This Row],[education-num]],NA())</f>
        <v>15</v>
      </c>
    </row>
    <row r="265" spans="1:20">
      <c r="A265">
        <v>264</v>
      </c>
      <c r="B265">
        <v>28</v>
      </c>
      <c r="C265" t="s">
        <v>34</v>
      </c>
      <c r="D265">
        <v>243660</v>
      </c>
      <c r="E265" t="s">
        <v>62</v>
      </c>
      <c r="F265">
        <v>9</v>
      </c>
      <c r="G265" t="s">
        <v>63</v>
      </c>
      <c r="H265" t="s">
        <v>72</v>
      </c>
      <c r="I265" t="s">
        <v>66</v>
      </c>
      <c r="J265" t="s">
        <v>39</v>
      </c>
      <c r="K265" t="s">
        <v>52</v>
      </c>
      <c r="L265">
        <v>0</v>
      </c>
      <c r="M265">
        <v>0</v>
      </c>
      <c r="N265">
        <v>40</v>
      </c>
      <c r="O265" t="s">
        <v>41</v>
      </c>
      <c r="P265" t="s">
        <v>42</v>
      </c>
      <c r="Q265">
        <f>IF(Tabela3[[#This Row],[Income]]="&lt;=50K",Tabela3[[#This Row],[Age]],NA())</f>
        <v>28</v>
      </c>
      <c r="R265">
        <f>IF(Tabela3[[#This Row],[Income]]="&lt;=50K",Tabela3[[#This Row],[education-num]],NA())</f>
        <v>9</v>
      </c>
      <c r="S265" t="e">
        <f>IF(Tabela3[[#This Row],[Income]]="&gt;50K",Tabela3[[#This Row],[Age]],NA())</f>
        <v>#N/A</v>
      </c>
      <c r="T265" t="e">
        <f>IF(Tabela3[[#This Row],[Income]]="&gt;50K",Tabela3[[#This Row],[education-num]],NA())</f>
        <v>#N/A</v>
      </c>
    </row>
    <row r="266" spans="1:20">
      <c r="A266">
        <v>265</v>
      </c>
      <c r="B266">
        <v>54</v>
      </c>
      <c r="C266" t="s">
        <v>74</v>
      </c>
      <c r="D266">
        <v>71344</v>
      </c>
      <c r="E266" t="s">
        <v>73</v>
      </c>
      <c r="F266">
        <v>14</v>
      </c>
      <c r="G266" t="s">
        <v>49</v>
      </c>
      <c r="H266" t="s">
        <v>61</v>
      </c>
      <c r="I266" t="s">
        <v>45</v>
      </c>
      <c r="J266" t="s">
        <v>39</v>
      </c>
      <c r="K266" t="s">
        <v>52</v>
      </c>
      <c r="L266">
        <v>0</v>
      </c>
      <c r="M266">
        <v>0</v>
      </c>
      <c r="N266">
        <v>50</v>
      </c>
      <c r="O266" t="s">
        <v>41</v>
      </c>
      <c r="P266" t="s">
        <v>53</v>
      </c>
      <c r="Q266" t="e">
        <f>IF(Tabela3[[#This Row],[Income]]="&lt;=50K",Tabela3[[#This Row],[Age]],NA())</f>
        <v>#N/A</v>
      </c>
      <c r="R266" t="e">
        <f>IF(Tabela3[[#This Row],[Income]]="&lt;=50K",Tabela3[[#This Row],[education-num]],NA())</f>
        <v>#N/A</v>
      </c>
      <c r="S266">
        <f>IF(Tabela3[[#This Row],[Income]]="&gt;50K",Tabela3[[#This Row],[Age]],NA())</f>
        <v>54</v>
      </c>
      <c r="T266">
        <f>IF(Tabela3[[#This Row],[Income]]="&gt;50K",Tabela3[[#This Row],[education-num]],NA())</f>
        <v>14</v>
      </c>
    </row>
    <row r="267" spans="1:20">
      <c r="A267">
        <v>266</v>
      </c>
      <c r="B267">
        <v>71</v>
      </c>
      <c r="C267" t="s">
        <v>71</v>
      </c>
      <c r="D267">
        <v>125101</v>
      </c>
      <c r="E267" t="s">
        <v>78</v>
      </c>
      <c r="F267">
        <v>11</v>
      </c>
      <c r="G267" t="s">
        <v>81</v>
      </c>
      <c r="H267" t="s">
        <v>71</v>
      </c>
      <c r="I267" t="s">
        <v>45</v>
      </c>
      <c r="J267" t="s">
        <v>39</v>
      </c>
      <c r="K267" t="s">
        <v>40</v>
      </c>
      <c r="L267">
        <v>0</v>
      </c>
      <c r="M267">
        <v>0</v>
      </c>
      <c r="N267">
        <v>40</v>
      </c>
      <c r="O267" t="s">
        <v>41</v>
      </c>
      <c r="P267" t="s">
        <v>42</v>
      </c>
      <c r="Q267">
        <f>IF(Tabela3[[#This Row],[Income]]="&lt;=50K",Tabela3[[#This Row],[Age]],NA())</f>
        <v>71</v>
      </c>
      <c r="R267">
        <f>IF(Tabela3[[#This Row],[Income]]="&lt;=50K",Tabela3[[#This Row],[education-num]],NA())</f>
        <v>11</v>
      </c>
      <c r="S267" t="e">
        <f>IF(Tabela3[[#This Row],[Income]]="&gt;50K",Tabela3[[#This Row],[Age]],NA())</f>
        <v>#N/A</v>
      </c>
      <c r="T267" t="e">
        <f>IF(Tabela3[[#This Row],[Income]]="&gt;50K",Tabela3[[#This Row],[education-num]],NA())</f>
        <v>#N/A</v>
      </c>
    </row>
    <row r="268" spans="1:20">
      <c r="A268">
        <v>267</v>
      </c>
      <c r="B268">
        <v>57</v>
      </c>
      <c r="C268" t="s">
        <v>34</v>
      </c>
      <c r="D268">
        <v>169329</v>
      </c>
      <c r="E268" t="s">
        <v>62</v>
      </c>
      <c r="F268">
        <v>9</v>
      </c>
      <c r="G268" t="s">
        <v>63</v>
      </c>
      <c r="H268" t="s">
        <v>64</v>
      </c>
      <c r="I268" t="s">
        <v>66</v>
      </c>
      <c r="J268" t="s">
        <v>57</v>
      </c>
      <c r="K268" t="s">
        <v>52</v>
      </c>
      <c r="L268">
        <v>0</v>
      </c>
      <c r="M268">
        <v>1887</v>
      </c>
      <c r="N268">
        <v>40</v>
      </c>
      <c r="O268" t="s">
        <v>100</v>
      </c>
      <c r="P268" t="s">
        <v>53</v>
      </c>
      <c r="Q268" t="e">
        <f>IF(Tabela3[[#This Row],[Income]]="&lt;=50K",Tabela3[[#This Row],[Age]],NA())</f>
        <v>#N/A</v>
      </c>
      <c r="R268" t="e">
        <f>IF(Tabela3[[#This Row],[Income]]="&lt;=50K",Tabela3[[#This Row],[education-num]],NA())</f>
        <v>#N/A</v>
      </c>
      <c r="S268">
        <f>IF(Tabela3[[#This Row],[Income]]="&gt;50K",Tabela3[[#This Row],[Age]],NA())</f>
        <v>57</v>
      </c>
      <c r="T268">
        <f>IF(Tabela3[[#This Row],[Income]]="&gt;50K",Tabela3[[#This Row],[education-num]],NA())</f>
        <v>9</v>
      </c>
    </row>
    <row r="269" spans="1:20">
      <c r="A269">
        <v>268</v>
      </c>
      <c r="B269">
        <v>33</v>
      </c>
      <c r="C269" t="s">
        <v>34</v>
      </c>
      <c r="D269">
        <v>355856</v>
      </c>
      <c r="E269" t="s">
        <v>43</v>
      </c>
      <c r="F269">
        <v>12</v>
      </c>
      <c r="G269" t="s">
        <v>63</v>
      </c>
      <c r="H269" t="s">
        <v>44</v>
      </c>
      <c r="I269" t="s">
        <v>66</v>
      </c>
      <c r="J269" t="s">
        <v>70</v>
      </c>
      <c r="K269" t="s">
        <v>52</v>
      </c>
      <c r="L269">
        <v>0</v>
      </c>
      <c r="M269">
        <v>0</v>
      </c>
      <c r="N269">
        <v>60</v>
      </c>
      <c r="O269" t="s">
        <v>41</v>
      </c>
      <c r="P269" t="s">
        <v>42</v>
      </c>
      <c r="Q269">
        <f>IF(Tabela3[[#This Row],[Income]]="&lt;=50K",Tabela3[[#This Row],[Age]],NA())</f>
        <v>33</v>
      </c>
      <c r="R269">
        <f>IF(Tabela3[[#This Row],[Income]]="&lt;=50K",Tabela3[[#This Row],[education-num]],NA())</f>
        <v>12</v>
      </c>
      <c r="S269" t="e">
        <f>IF(Tabela3[[#This Row],[Income]]="&gt;50K",Tabela3[[#This Row],[Age]],NA())</f>
        <v>#N/A</v>
      </c>
      <c r="T269" t="e">
        <f>IF(Tabela3[[#This Row],[Income]]="&gt;50K",Tabela3[[#This Row],[education-num]],NA())</f>
        <v>#N/A</v>
      </c>
    </row>
    <row r="270" spans="1:20">
      <c r="A270">
        <v>269</v>
      </c>
      <c r="B270">
        <v>50</v>
      </c>
      <c r="C270" t="s">
        <v>34</v>
      </c>
      <c r="D270">
        <v>108926</v>
      </c>
      <c r="E270" t="s">
        <v>46</v>
      </c>
      <c r="F270">
        <v>10</v>
      </c>
      <c r="G270" t="s">
        <v>49</v>
      </c>
      <c r="H270" t="s">
        <v>56</v>
      </c>
      <c r="I270" t="s">
        <v>45</v>
      </c>
      <c r="J270" t="s">
        <v>57</v>
      </c>
      <c r="K270" t="s">
        <v>40</v>
      </c>
      <c r="L270">
        <v>0</v>
      </c>
      <c r="M270">
        <v>0</v>
      </c>
      <c r="N270">
        <v>40</v>
      </c>
      <c r="O270" t="s">
        <v>41</v>
      </c>
      <c r="P270" t="s">
        <v>42</v>
      </c>
      <c r="Q270">
        <f>IF(Tabela3[[#This Row],[Income]]="&lt;=50K",Tabela3[[#This Row],[Age]],NA())</f>
        <v>50</v>
      </c>
      <c r="R270">
        <f>IF(Tabela3[[#This Row],[Income]]="&lt;=50K",Tabela3[[#This Row],[education-num]],NA())</f>
        <v>10</v>
      </c>
      <c r="S270" t="e">
        <f>IF(Tabela3[[#This Row],[Income]]="&gt;50K",Tabela3[[#This Row],[Age]],NA())</f>
        <v>#N/A</v>
      </c>
      <c r="T270" t="e">
        <f>IF(Tabela3[[#This Row],[Income]]="&gt;50K",Tabela3[[#This Row],[education-num]],NA())</f>
        <v>#N/A</v>
      </c>
    </row>
    <row r="271" spans="1:20">
      <c r="A271">
        <v>270</v>
      </c>
      <c r="B271">
        <v>66</v>
      </c>
      <c r="C271" t="s">
        <v>83</v>
      </c>
      <c r="D271">
        <v>220543</v>
      </c>
      <c r="E271" t="s">
        <v>62</v>
      </c>
      <c r="F271">
        <v>9</v>
      </c>
      <c r="G271" t="s">
        <v>63</v>
      </c>
      <c r="H271" t="s">
        <v>67</v>
      </c>
      <c r="I271" t="s">
        <v>65</v>
      </c>
      <c r="J271" t="s">
        <v>39</v>
      </c>
      <c r="K271" t="s">
        <v>40</v>
      </c>
      <c r="L271">
        <v>0</v>
      </c>
      <c r="M271">
        <v>0</v>
      </c>
      <c r="N271">
        <v>40</v>
      </c>
      <c r="O271" t="s">
        <v>41</v>
      </c>
      <c r="P271" t="s">
        <v>53</v>
      </c>
      <c r="Q271" t="e">
        <f>IF(Tabela3[[#This Row],[Income]]="&lt;=50K",Tabela3[[#This Row],[Age]],NA())</f>
        <v>#N/A</v>
      </c>
      <c r="R271" t="e">
        <f>IF(Tabela3[[#This Row],[Income]]="&lt;=50K",Tabela3[[#This Row],[education-num]],NA())</f>
        <v>#N/A</v>
      </c>
      <c r="S271">
        <f>IF(Tabela3[[#This Row],[Income]]="&gt;50K",Tabela3[[#This Row],[Age]],NA())</f>
        <v>66</v>
      </c>
      <c r="T271">
        <f>IF(Tabela3[[#This Row],[Income]]="&gt;50K",Tabela3[[#This Row],[education-num]],NA())</f>
        <v>9</v>
      </c>
    </row>
    <row r="272" spans="1:20">
      <c r="A272">
        <v>271</v>
      </c>
      <c r="B272">
        <v>41</v>
      </c>
      <c r="C272" t="s">
        <v>34</v>
      </c>
      <c r="D272">
        <v>198425</v>
      </c>
      <c r="E272" t="s">
        <v>46</v>
      </c>
      <c r="F272">
        <v>10</v>
      </c>
      <c r="G272" t="s">
        <v>63</v>
      </c>
      <c r="H272" t="s">
        <v>50</v>
      </c>
      <c r="I272" t="s">
        <v>66</v>
      </c>
      <c r="J272" t="s">
        <v>39</v>
      </c>
      <c r="K272" t="s">
        <v>52</v>
      </c>
      <c r="L272">
        <v>0</v>
      </c>
      <c r="M272">
        <v>0</v>
      </c>
      <c r="N272">
        <v>45</v>
      </c>
      <c r="O272" t="s">
        <v>41</v>
      </c>
      <c r="P272" t="s">
        <v>42</v>
      </c>
      <c r="Q272">
        <f>IF(Tabela3[[#This Row],[Income]]="&lt;=50K",Tabela3[[#This Row],[Age]],NA())</f>
        <v>41</v>
      </c>
      <c r="R272">
        <f>IF(Tabela3[[#This Row],[Income]]="&lt;=50K",Tabela3[[#This Row],[education-num]],NA())</f>
        <v>10</v>
      </c>
      <c r="S272" t="e">
        <f>IF(Tabela3[[#This Row],[Income]]="&gt;50K",Tabela3[[#This Row],[Age]],NA())</f>
        <v>#N/A</v>
      </c>
      <c r="T272" t="e">
        <f>IF(Tabela3[[#This Row],[Income]]="&gt;50K",Tabela3[[#This Row],[education-num]],NA())</f>
        <v>#N/A</v>
      </c>
    </row>
    <row r="273" spans="1:20">
      <c r="A273">
        <v>272</v>
      </c>
      <c r="B273">
        <v>25</v>
      </c>
      <c r="C273" t="s">
        <v>34</v>
      </c>
      <c r="D273">
        <v>193701</v>
      </c>
      <c r="E273" t="s">
        <v>60</v>
      </c>
      <c r="F273">
        <v>13</v>
      </c>
      <c r="G273" t="s">
        <v>36</v>
      </c>
      <c r="H273" t="s">
        <v>37</v>
      </c>
      <c r="I273" t="s">
        <v>45</v>
      </c>
      <c r="J273" t="s">
        <v>39</v>
      </c>
      <c r="K273" t="s">
        <v>40</v>
      </c>
      <c r="L273">
        <v>0</v>
      </c>
      <c r="M273">
        <v>0</v>
      </c>
      <c r="N273">
        <v>38</v>
      </c>
      <c r="O273" t="s">
        <v>41</v>
      </c>
      <c r="P273" t="s">
        <v>42</v>
      </c>
      <c r="Q273">
        <f>IF(Tabela3[[#This Row],[Income]]="&lt;=50K",Tabela3[[#This Row],[Age]],NA())</f>
        <v>25</v>
      </c>
      <c r="R273">
        <f>IF(Tabela3[[#This Row],[Income]]="&lt;=50K",Tabela3[[#This Row],[education-num]],NA())</f>
        <v>13</v>
      </c>
      <c r="S273" t="e">
        <f>IF(Tabela3[[#This Row],[Income]]="&gt;50K",Tabela3[[#This Row],[Age]],NA())</f>
        <v>#N/A</v>
      </c>
      <c r="T273" t="e">
        <f>IF(Tabela3[[#This Row],[Income]]="&gt;50K",Tabela3[[#This Row],[education-num]],NA())</f>
        <v>#N/A</v>
      </c>
    </row>
    <row r="274" spans="1:20">
      <c r="A274">
        <v>273</v>
      </c>
      <c r="B274">
        <v>31</v>
      </c>
      <c r="C274" t="s">
        <v>59</v>
      </c>
      <c r="D274">
        <v>157673</v>
      </c>
      <c r="E274" t="s">
        <v>62</v>
      </c>
      <c r="F274">
        <v>9</v>
      </c>
      <c r="G274" t="s">
        <v>63</v>
      </c>
      <c r="H274" t="s">
        <v>58</v>
      </c>
      <c r="I274" t="s">
        <v>66</v>
      </c>
      <c r="J274" t="s">
        <v>39</v>
      </c>
      <c r="K274" t="s">
        <v>52</v>
      </c>
      <c r="L274">
        <v>0</v>
      </c>
      <c r="M274">
        <v>0</v>
      </c>
      <c r="N274">
        <v>40</v>
      </c>
      <c r="O274" t="s">
        <v>41</v>
      </c>
      <c r="P274" t="s">
        <v>42</v>
      </c>
      <c r="Q274">
        <f>IF(Tabela3[[#This Row],[Income]]="&lt;=50K",Tabela3[[#This Row],[Age]],NA())</f>
        <v>31</v>
      </c>
      <c r="R274">
        <f>IF(Tabela3[[#This Row],[Income]]="&lt;=50K",Tabela3[[#This Row],[education-num]],NA())</f>
        <v>9</v>
      </c>
      <c r="S274" t="e">
        <f>IF(Tabela3[[#This Row],[Income]]="&gt;50K",Tabela3[[#This Row],[Age]],NA())</f>
        <v>#N/A</v>
      </c>
      <c r="T274" t="e">
        <f>IF(Tabela3[[#This Row],[Income]]="&gt;50K",Tabela3[[#This Row],[education-num]],NA())</f>
        <v>#N/A</v>
      </c>
    </row>
    <row r="275" spans="1:20">
      <c r="A275">
        <v>274</v>
      </c>
      <c r="B275">
        <v>47</v>
      </c>
      <c r="C275" t="s">
        <v>34</v>
      </c>
      <c r="D275">
        <v>191957</v>
      </c>
      <c r="E275" t="s">
        <v>60</v>
      </c>
      <c r="F275">
        <v>13</v>
      </c>
      <c r="G275" t="s">
        <v>63</v>
      </c>
      <c r="H275" t="s">
        <v>44</v>
      </c>
      <c r="I275" t="s">
        <v>66</v>
      </c>
      <c r="J275" t="s">
        <v>57</v>
      </c>
      <c r="K275" t="s">
        <v>52</v>
      </c>
      <c r="L275">
        <v>0</v>
      </c>
      <c r="M275">
        <v>0</v>
      </c>
      <c r="N275">
        <v>40</v>
      </c>
      <c r="O275" t="s">
        <v>41</v>
      </c>
      <c r="P275" t="s">
        <v>53</v>
      </c>
      <c r="Q275" t="e">
        <f>IF(Tabela3[[#This Row],[Income]]="&lt;=50K",Tabela3[[#This Row],[Age]],NA())</f>
        <v>#N/A</v>
      </c>
      <c r="R275" t="e">
        <f>IF(Tabela3[[#This Row],[Income]]="&lt;=50K",Tabela3[[#This Row],[education-num]],NA())</f>
        <v>#N/A</v>
      </c>
      <c r="S275">
        <f>IF(Tabela3[[#This Row],[Income]]="&gt;50K",Tabela3[[#This Row],[Age]],NA())</f>
        <v>47</v>
      </c>
      <c r="T275">
        <f>IF(Tabela3[[#This Row],[Income]]="&gt;50K",Tabela3[[#This Row],[education-num]],NA())</f>
        <v>13</v>
      </c>
    </row>
    <row r="276" spans="1:20">
      <c r="A276">
        <v>275</v>
      </c>
      <c r="B276">
        <v>21</v>
      </c>
      <c r="C276" t="s">
        <v>34</v>
      </c>
      <c r="D276">
        <v>162228</v>
      </c>
      <c r="E276" t="s">
        <v>46</v>
      </c>
      <c r="F276">
        <v>10</v>
      </c>
      <c r="G276" t="s">
        <v>36</v>
      </c>
      <c r="H276" t="s">
        <v>67</v>
      </c>
      <c r="I276" t="s">
        <v>38</v>
      </c>
      <c r="J276" t="s">
        <v>39</v>
      </c>
      <c r="K276" t="s">
        <v>52</v>
      </c>
      <c r="L276">
        <v>0</v>
      </c>
      <c r="M276">
        <v>0</v>
      </c>
      <c r="N276">
        <v>40</v>
      </c>
      <c r="O276" t="s">
        <v>41</v>
      </c>
      <c r="P276" t="s">
        <v>42</v>
      </c>
      <c r="Q276">
        <f>IF(Tabela3[[#This Row],[Income]]="&lt;=50K",Tabela3[[#This Row],[Age]],NA())</f>
        <v>21</v>
      </c>
      <c r="R276">
        <f>IF(Tabela3[[#This Row],[Income]]="&lt;=50K",Tabela3[[#This Row],[education-num]],NA())</f>
        <v>10</v>
      </c>
      <c r="S276" t="e">
        <f>IF(Tabela3[[#This Row],[Income]]="&gt;50K",Tabela3[[#This Row],[Age]],NA())</f>
        <v>#N/A</v>
      </c>
      <c r="T276" t="e">
        <f>IF(Tabela3[[#This Row],[Income]]="&gt;50K",Tabela3[[#This Row],[education-num]],NA())</f>
        <v>#N/A</v>
      </c>
    </row>
    <row r="277" spans="1:20">
      <c r="A277">
        <v>276</v>
      </c>
      <c r="B277">
        <v>64</v>
      </c>
      <c r="C277" t="s">
        <v>54</v>
      </c>
      <c r="D277">
        <v>182866</v>
      </c>
      <c r="E277" t="s">
        <v>62</v>
      </c>
      <c r="F277">
        <v>9</v>
      </c>
      <c r="G277" t="s">
        <v>81</v>
      </c>
      <c r="H277" t="s">
        <v>37</v>
      </c>
      <c r="I277" t="s">
        <v>69</v>
      </c>
      <c r="J277" t="s">
        <v>39</v>
      </c>
      <c r="K277" t="s">
        <v>40</v>
      </c>
      <c r="L277">
        <v>0</v>
      </c>
      <c r="M277">
        <v>0</v>
      </c>
      <c r="N277">
        <v>40</v>
      </c>
      <c r="O277" t="s">
        <v>41</v>
      </c>
      <c r="P277" t="s">
        <v>42</v>
      </c>
      <c r="Q277">
        <f>IF(Tabela3[[#This Row],[Income]]="&lt;=50K",Tabela3[[#This Row],[Age]],NA())</f>
        <v>64</v>
      </c>
      <c r="R277">
        <f>IF(Tabela3[[#This Row],[Income]]="&lt;=50K",Tabela3[[#This Row],[education-num]],NA())</f>
        <v>9</v>
      </c>
      <c r="S277" t="e">
        <f>IF(Tabela3[[#This Row],[Income]]="&gt;50K",Tabela3[[#This Row],[Age]],NA())</f>
        <v>#N/A</v>
      </c>
      <c r="T277" t="e">
        <f>IF(Tabela3[[#This Row],[Income]]="&gt;50K",Tabela3[[#This Row],[education-num]],NA())</f>
        <v>#N/A</v>
      </c>
    </row>
    <row r="278" spans="1:20">
      <c r="A278">
        <v>277</v>
      </c>
      <c r="B278">
        <v>39</v>
      </c>
      <c r="C278" t="s">
        <v>75</v>
      </c>
      <c r="D278">
        <v>432555</v>
      </c>
      <c r="E278" t="s">
        <v>62</v>
      </c>
      <c r="F278">
        <v>9</v>
      </c>
      <c r="G278" t="s">
        <v>63</v>
      </c>
      <c r="H278" t="s">
        <v>67</v>
      </c>
      <c r="I278" t="s">
        <v>66</v>
      </c>
      <c r="J278" t="s">
        <v>57</v>
      </c>
      <c r="K278" t="s">
        <v>52</v>
      </c>
      <c r="L278">
        <v>0</v>
      </c>
      <c r="M278">
        <v>1628</v>
      </c>
      <c r="N278">
        <v>40</v>
      </c>
      <c r="O278" t="s">
        <v>41</v>
      </c>
      <c r="P278" t="s">
        <v>42</v>
      </c>
      <c r="Q278">
        <f>IF(Tabela3[[#This Row],[Income]]="&lt;=50K",Tabela3[[#This Row],[Age]],NA())</f>
        <v>39</v>
      </c>
      <c r="R278">
        <f>IF(Tabela3[[#This Row],[Income]]="&lt;=50K",Tabela3[[#This Row],[education-num]],NA())</f>
        <v>9</v>
      </c>
      <c r="S278" t="e">
        <f>IF(Tabela3[[#This Row],[Income]]="&gt;50K",Tabela3[[#This Row],[Age]],NA())</f>
        <v>#N/A</v>
      </c>
      <c r="T278" t="e">
        <f>IF(Tabela3[[#This Row],[Income]]="&gt;50K",Tabela3[[#This Row],[education-num]],NA())</f>
        <v>#N/A</v>
      </c>
    </row>
    <row r="279" spans="1:20">
      <c r="A279">
        <v>278</v>
      </c>
      <c r="B279">
        <v>26</v>
      </c>
      <c r="C279" t="s">
        <v>34</v>
      </c>
      <c r="D279">
        <v>56929</v>
      </c>
      <c r="E279" t="s">
        <v>60</v>
      </c>
      <c r="F279">
        <v>13</v>
      </c>
      <c r="G279" t="s">
        <v>36</v>
      </c>
      <c r="H279" t="s">
        <v>80</v>
      </c>
      <c r="I279" t="s">
        <v>45</v>
      </c>
      <c r="J279" t="s">
        <v>57</v>
      </c>
      <c r="K279" t="s">
        <v>52</v>
      </c>
      <c r="L279">
        <v>0</v>
      </c>
      <c r="M279">
        <v>0</v>
      </c>
      <c r="N279">
        <v>50</v>
      </c>
      <c r="O279" t="s">
        <v>71</v>
      </c>
      <c r="P279" t="s">
        <v>42</v>
      </c>
      <c r="Q279">
        <f>IF(Tabela3[[#This Row],[Income]]="&lt;=50K",Tabela3[[#This Row],[Age]],NA())</f>
        <v>26</v>
      </c>
      <c r="R279">
        <f>IF(Tabela3[[#This Row],[Income]]="&lt;=50K",Tabela3[[#This Row],[education-num]],NA())</f>
        <v>13</v>
      </c>
      <c r="S279" t="e">
        <f>IF(Tabela3[[#This Row],[Income]]="&gt;50K",Tabela3[[#This Row],[Age]],NA())</f>
        <v>#N/A</v>
      </c>
      <c r="T279" t="e">
        <f>IF(Tabela3[[#This Row],[Income]]="&gt;50K",Tabela3[[#This Row],[education-num]],NA())</f>
        <v>#N/A</v>
      </c>
    </row>
    <row r="280" spans="1:20">
      <c r="A280">
        <v>279</v>
      </c>
      <c r="B280">
        <v>22</v>
      </c>
      <c r="C280" t="s">
        <v>34</v>
      </c>
      <c r="D280">
        <v>190968</v>
      </c>
      <c r="E280" t="s">
        <v>62</v>
      </c>
      <c r="F280">
        <v>9</v>
      </c>
      <c r="G280" t="s">
        <v>63</v>
      </c>
      <c r="H280" t="s">
        <v>37</v>
      </c>
      <c r="I280" t="s">
        <v>66</v>
      </c>
      <c r="J280" t="s">
        <v>39</v>
      </c>
      <c r="K280" t="s">
        <v>52</v>
      </c>
      <c r="L280">
        <v>0</v>
      </c>
      <c r="M280">
        <v>0</v>
      </c>
      <c r="N280">
        <v>40</v>
      </c>
      <c r="O280" t="s">
        <v>41</v>
      </c>
      <c r="P280" t="s">
        <v>42</v>
      </c>
      <c r="Q280">
        <f>IF(Tabela3[[#This Row],[Income]]="&lt;=50K",Tabela3[[#This Row],[Age]],NA())</f>
        <v>22</v>
      </c>
      <c r="R280">
        <f>IF(Tabela3[[#This Row],[Income]]="&lt;=50K",Tabela3[[#This Row],[education-num]],NA())</f>
        <v>9</v>
      </c>
      <c r="S280" t="e">
        <f>IF(Tabela3[[#This Row],[Income]]="&gt;50K",Tabela3[[#This Row],[Age]],NA())</f>
        <v>#N/A</v>
      </c>
      <c r="T280" t="e">
        <f>IF(Tabela3[[#This Row],[Income]]="&gt;50K",Tabela3[[#This Row],[education-num]],NA())</f>
        <v>#N/A</v>
      </c>
    </row>
    <row r="281" spans="1:20">
      <c r="A281">
        <v>280</v>
      </c>
      <c r="B281">
        <v>30</v>
      </c>
      <c r="C281" t="s">
        <v>34</v>
      </c>
      <c r="D281">
        <v>206051</v>
      </c>
      <c r="E281" t="s">
        <v>62</v>
      </c>
      <c r="F281">
        <v>9</v>
      </c>
      <c r="G281" t="s">
        <v>63</v>
      </c>
      <c r="H281" t="s">
        <v>72</v>
      </c>
      <c r="I281" t="s">
        <v>66</v>
      </c>
      <c r="J281" t="s">
        <v>39</v>
      </c>
      <c r="K281" t="s">
        <v>52</v>
      </c>
      <c r="L281">
        <v>0</v>
      </c>
      <c r="M281">
        <v>0</v>
      </c>
      <c r="N281">
        <v>40</v>
      </c>
      <c r="O281" t="s">
        <v>41</v>
      </c>
      <c r="P281" t="s">
        <v>42</v>
      </c>
      <c r="Q281">
        <f>IF(Tabela3[[#This Row],[Income]]="&lt;=50K",Tabela3[[#This Row],[Age]],NA())</f>
        <v>30</v>
      </c>
      <c r="R281">
        <f>IF(Tabela3[[#This Row],[Income]]="&lt;=50K",Tabela3[[#This Row],[education-num]],NA())</f>
        <v>9</v>
      </c>
      <c r="S281" t="e">
        <f>IF(Tabela3[[#This Row],[Income]]="&gt;50K",Tabela3[[#This Row],[Age]],NA())</f>
        <v>#N/A</v>
      </c>
      <c r="T281" t="e">
        <f>IF(Tabela3[[#This Row],[Income]]="&gt;50K",Tabela3[[#This Row],[education-num]],NA())</f>
        <v>#N/A</v>
      </c>
    </row>
    <row r="282" spans="1:20">
      <c r="A282">
        <v>281</v>
      </c>
      <c r="B282">
        <v>30</v>
      </c>
      <c r="C282" t="s">
        <v>34</v>
      </c>
      <c r="D282">
        <v>188398</v>
      </c>
      <c r="E282" t="s">
        <v>62</v>
      </c>
      <c r="F282">
        <v>9</v>
      </c>
      <c r="G282" t="s">
        <v>90</v>
      </c>
      <c r="H282" t="s">
        <v>67</v>
      </c>
      <c r="I282" t="s">
        <v>45</v>
      </c>
      <c r="J282" t="s">
        <v>39</v>
      </c>
      <c r="K282" t="s">
        <v>40</v>
      </c>
      <c r="L282">
        <v>0</v>
      </c>
      <c r="M282">
        <v>0</v>
      </c>
      <c r="N282">
        <v>30</v>
      </c>
      <c r="O282" t="s">
        <v>41</v>
      </c>
      <c r="P282" t="s">
        <v>42</v>
      </c>
      <c r="Q282">
        <f>IF(Tabela3[[#This Row],[Income]]="&lt;=50K",Tabela3[[#This Row],[Age]],NA())</f>
        <v>30</v>
      </c>
      <c r="R282">
        <f>IF(Tabela3[[#This Row],[Income]]="&lt;=50K",Tabela3[[#This Row],[education-num]],NA())</f>
        <v>9</v>
      </c>
      <c r="S282" t="e">
        <f>IF(Tabela3[[#This Row],[Income]]="&gt;50K",Tabela3[[#This Row],[Age]],NA())</f>
        <v>#N/A</v>
      </c>
      <c r="T282" t="e">
        <f>IF(Tabela3[[#This Row],[Income]]="&gt;50K",Tabela3[[#This Row],[education-num]],NA())</f>
        <v>#N/A</v>
      </c>
    </row>
    <row r="283" spans="1:20">
      <c r="A283">
        <v>282</v>
      </c>
      <c r="B283">
        <v>49</v>
      </c>
      <c r="C283" t="s">
        <v>34</v>
      </c>
      <c r="D283">
        <v>147002</v>
      </c>
      <c r="E283" t="s">
        <v>62</v>
      </c>
      <c r="F283">
        <v>9</v>
      </c>
      <c r="G283" t="s">
        <v>36</v>
      </c>
      <c r="H283" t="s">
        <v>50</v>
      </c>
      <c r="I283" t="s">
        <v>69</v>
      </c>
      <c r="J283" t="s">
        <v>39</v>
      </c>
      <c r="K283" t="s">
        <v>40</v>
      </c>
      <c r="L283">
        <v>0</v>
      </c>
      <c r="M283">
        <v>0</v>
      </c>
      <c r="N283">
        <v>40</v>
      </c>
      <c r="O283" t="s">
        <v>92</v>
      </c>
      <c r="P283" t="s">
        <v>42</v>
      </c>
      <c r="Q283">
        <f>IF(Tabela3[[#This Row],[Income]]="&lt;=50K",Tabela3[[#This Row],[Age]],NA())</f>
        <v>49</v>
      </c>
      <c r="R283">
        <f>IF(Tabela3[[#This Row],[Income]]="&lt;=50K",Tabela3[[#This Row],[education-num]],NA())</f>
        <v>9</v>
      </c>
      <c r="S283" t="e">
        <f>IF(Tabela3[[#This Row],[Income]]="&gt;50K",Tabela3[[#This Row],[Age]],NA())</f>
        <v>#N/A</v>
      </c>
      <c r="T283" t="e">
        <f>IF(Tabela3[[#This Row],[Income]]="&gt;50K",Tabela3[[#This Row],[education-num]],NA())</f>
        <v>#N/A</v>
      </c>
    </row>
    <row r="284" spans="1:20">
      <c r="A284">
        <v>283</v>
      </c>
      <c r="B284">
        <v>22</v>
      </c>
      <c r="C284" t="s">
        <v>34</v>
      </c>
      <c r="D284">
        <v>72310</v>
      </c>
      <c r="E284" t="s">
        <v>35</v>
      </c>
      <c r="F284">
        <v>7</v>
      </c>
      <c r="G284" t="s">
        <v>36</v>
      </c>
      <c r="H284" t="s">
        <v>72</v>
      </c>
      <c r="I284" t="s">
        <v>45</v>
      </c>
      <c r="J284" t="s">
        <v>39</v>
      </c>
      <c r="K284" t="s">
        <v>52</v>
      </c>
      <c r="L284">
        <v>0</v>
      </c>
      <c r="M284">
        <v>0</v>
      </c>
      <c r="N284">
        <v>65</v>
      </c>
      <c r="O284" t="s">
        <v>41</v>
      </c>
      <c r="P284" t="s">
        <v>42</v>
      </c>
      <c r="Q284">
        <f>IF(Tabela3[[#This Row],[Income]]="&lt;=50K",Tabela3[[#This Row],[Age]],NA())</f>
        <v>22</v>
      </c>
      <c r="R284">
        <f>IF(Tabela3[[#This Row],[Income]]="&lt;=50K",Tabela3[[#This Row],[education-num]],NA())</f>
        <v>7</v>
      </c>
      <c r="S284" t="e">
        <f>IF(Tabela3[[#This Row],[Income]]="&gt;50K",Tabela3[[#This Row],[Age]],NA())</f>
        <v>#N/A</v>
      </c>
      <c r="T284" t="e">
        <f>IF(Tabela3[[#This Row],[Income]]="&gt;50K",Tabela3[[#This Row],[education-num]],NA())</f>
        <v>#N/A</v>
      </c>
    </row>
    <row r="285" spans="1:20">
      <c r="A285">
        <v>284</v>
      </c>
      <c r="B285">
        <v>46</v>
      </c>
      <c r="C285" t="s">
        <v>54</v>
      </c>
      <c r="D285">
        <v>226871</v>
      </c>
      <c r="E285" t="s">
        <v>60</v>
      </c>
      <c r="F285">
        <v>13</v>
      </c>
      <c r="G285" t="s">
        <v>49</v>
      </c>
      <c r="H285" t="s">
        <v>89</v>
      </c>
      <c r="I285" t="s">
        <v>45</v>
      </c>
      <c r="J285" t="s">
        <v>57</v>
      </c>
      <c r="K285" t="s">
        <v>52</v>
      </c>
      <c r="L285">
        <v>0</v>
      </c>
      <c r="M285">
        <v>0</v>
      </c>
      <c r="N285">
        <v>50</v>
      </c>
      <c r="O285" t="s">
        <v>41</v>
      </c>
      <c r="P285" t="s">
        <v>53</v>
      </c>
      <c r="Q285" t="e">
        <f>IF(Tabela3[[#This Row],[Income]]="&lt;=50K",Tabela3[[#This Row],[Age]],NA())</f>
        <v>#N/A</v>
      </c>
      <c r="R285" t="e">
        <f>IF(Tabela3[[#This Row],[Income]]="&lt;=50K",Tabela3[[#This Row],[education-num]],NA())</f>
        <v>#N/A</v>
      </c>
      <c r="S285">
        <f>IF(Tabela3[[#This Row],[Income]]="&gt;50K",Tabela3[[#This Row],[Age]],NA())</f>
        <v>46</v>
      </c>
      <c r="T285">
        <f>IF(Tabela3[[#This Row],[Income]]="&gt;50K",Tabela3[[#This Row],[education-num]],NA())</f>
        <v>13</v>
      </c>
    </row>
    <row r="286" spans="1:20">
      <c r="A286">
        <v>285</v>
      </c>
      <c r="B286">
        <v>55</v>
      </c>
      <c r="C286" t="s">
        <v>34</v>
      </c>
      <c r="D286">
        <v>23789</v>
      </c>
      <c r="E286" t="s">
        <v>62</v>
      </c>
      <c r="F286">
        <v>9</v>
      </c>
      <c r="G286" t="s">
        <v>49</v>
      </c>
      <c r="H286" t="s">
        <v>80</v>
      </c>
      <c r="I286" t="s">
        <v>45</v>
      </c>
      <c r="J286" t="s">
        <v>39</v>
      </c>
      <c r="K286" t="s">
        <v>40</v>
      </c>
      <c r="L286">
        <v>0</v>
      </c>
      <c r="M286">
        <v>0</v>
      </c>
      <c r="N286">
        <v>40</v>
      </c>
      <c r="O286" t="s">
        <v>41</v>
      </c>
      <c r="P286" t="s">
        <v>42</v>
      </c>
      <c r="Q286">
        <f>IF(Tabela3[[#This Row],[Income]]="&lt;=50K",Tabela3[[#This Row],[Age]],NA())</f>
        <v>55</v>
      </c>
      <c r="R286">
        <f>IF(Tabela3[[#This Row],[Income]]="&lt;=50K",Tabela3[[#This Row],[education-num]],NA())</f>
        <v>9</v>
      </c>
      <c r="S286" t="e">
        <f>IF(Tabela3[[#This Row],[Income]]="&gt;50K",Tabela3[[#This Row],[Age]],NA())</f>
        <v>#N/A</v>
      </c>
      <c r="T286" t="e">
        <f>IF(Tabela3[[#This Row],[Income]]="&gt;50K",Tabela3[[#This Row],[education-num]],NA())</f>
        <v>#N/A</v>
      </c>
    </row>
    <row r="287" spans="1:20">
      <c r="A287">
        <v>286</v>
      </c>
      <c r="B287">
        <v>41</v>
      </c>
      <c r="C287" t="s">
        <v>34</v>
      </c>
      <c r="D287">
        <v>219591</v>
      </c>
      <c r="E287" t="s">
        <v>62</v>
      </c>
      <c r="F287">
        <v>9</v>
      </c>
      <c r="G287" t="s">
        <v>36</v>
      </c>
      <c r="H287" t="s">
        <v>67</v>
      </c>
      <c r="I287" t="s">
        <v>38</v>
      </c>
      <c r="J287" t="s">
        <v>39</v>
      </c>
      <c r="K287" t="s">
        <v>52</v>
      </c>
      <c r="L287">
        <v>0</v>
      </c>
      <c r="M287">
        <v>0</v>
      </c>
      <c r="N287">
        <v>40</v>
      </c>
      <c r="O287" t="s">
        <v>41</v>
      </c>
      <c r="P287" t="s">
        <v>42</v>
      </c>
      <c r="Q287">
        <f>IF(Tabela3[[#This Row],[Income]]="&lt;=50K",Tabela3[[#This Row],[Age]],NA())</f>
        <v>41</v>
      </c>
      <c r="R287">
        <f>IF(Tabela3[[#This Row],[Income]]="&lt;=50K",Tabela3[[#This Row],[education-num]],NA())</f>
        <v>9</v>
      </c>
      <c r="S287" t="e">
        <f>IF(Tabela3[[#This Row],[Income]]="&gt;50K",Tabela3[[#This Row],[Age]],NA())</f>
        <v>#N/A</v>
      </c>
      <c r="T287" t="e">
        <f>IF(Tabela3[[#This Row],[Income]]="&gt;50K",Tabela3[[#This Row],[education-num]],NA())</f>
        <v>#N/A</v>
      </c>
    </row>
    <row r="288" spans="1:20">
      <c r="A288">
        <v>287</v>
      </c>
      <c r="B288">
        <v>65</v>
      </c>
      <c r="C288" t="s">
        <v>34</v>
      </c>
      <c r="D288">
        <v>150095</v>
      </c>
      <c r="E288" t="s">
        <v>60</v>
      </c>
      <c r="F288">
        <v>13</v>
      </c>
      <c r="G288" t="s">
        <v>63</v>
      </c>
      <c r="H288" t="s">
        <v>80</v>
      </c>
      <c r="I288" t="s">
        <v>66</v>
      </c>
      <c r="J288" t="s">
        <v>39</v>
      </c>
      <c r="K288" t="s">
        <v>52</v>
      </c>
      <c r="L288">
        <v>0</v>
      </c>
      <c r="M288">
        <v>0</v>
      </c>
      <c r="N288">
        <v>40</v>
      </c>
      <c r="O288" t="s">
        <v>41</v>
      </c>
      <c r="P288" t="s">
        <v>53</v>
      </c>
      <c r="Q288" t="e">
        <f>IF(Tabela3[[#This Row],[Income]]="&lt;=50K",Tabela3[[#This Row],[Age]],NA())</f>
        <v>#N/A</v>
      </c>
      <c r="R288" t="e">
        <f>IF(Tabela3[[#This Row],[Income]]="&lt;=50K",Tabela3[[#This Row],[education-num]],NA())</f>
        <v>#N/A</v>
      </c>
      <c r="S288">
        <f>IF(Tabela3[[#This Row],[Income]]="&gt;50K",Tabela3[[#This Row],[Age]],NA())</f>
        <v>65</v>
      </c>
      <c r="T288">
        <f>IF(Tabela3[[#This Row],[Income]]="&gt;50K",Tabela3[[#This Row],[education-num]],NA())</f>
        <v>13</v>
      </c>
    </row>
    <row r="289" spans="1:20">
      <c r="A289">
        <v>288</v>
      </c>
      <c r="B289">
        <v>38</v>
      </c>
      <c r="C289" t="s">
        <v>34</v>
      </c>
      <c r="D289">
        <v>146178</v>
      </c>
      <c r="E289" t="s">
        <v>62</v>
      </c>
      <c r="F289">
        <v>9</v>
      </c>
      <c r="G289" t="s">
        <v>36</v>
      </c>
      <c r="H289" t="s">
        <v>50</v>
      </c>
      <c r="I289" t="s">
        <v>69</v>
      </c>
      <c r="J289" t="s">
        <v>57</v>
      </c>
      <c r="K289" t="s">
        <v>40</v>
      </c>
      <c r="L289">
        <v>0</v>
      </c>
      <c r="M289">
        <v>0</v>
      </c>
      <c r="N289">
        <v>40</v>
      </c>
      <c r="O289" t="s">
        <v>41</v>
      </c>
      <c r="P289" t="s">
        <v>42</v>
      </c>
      <c r="Q289">
        <f>IF(Tabela3[[#This Row],[Income]]="&lt;=50K",Tabela3[[#This Row],[Age]],NA())</f>
        <v>38</v>
      </c>
      <c r="R289">
        <f>IF(Tabela3[[#This Row],[Income]]="&lt;=50K",Tabela3[[#This Row],[education-num]],NA())</f>
        <v>9</v>
      </c>
      <c r="S289" t="e">
        <f>IF(Tabela3[[#This Row],[Income]]="&gt;50K",Tabela3[[#This Row],[Age]],NA())</f>
        <v>#N/A</v>
      </c>
      <c r="T289" t="e">
        <f>IF(Tabela3[[#This Row],[Income]]="&gt;50K",Tabela3[[#This Row],[education-num]],NA())</f>
        <v>#N/A</v>
      </c>
    </row>
    <row r="290" spans="1:20">
      <c r="A290">
        <v>289</v>
      </c>
      <c r="B290">
        <v>75</v>
      </c>
      <c r="C290" t="s">
        <v>83</v>
      </c>
      <c r="D290">
        <v>125197</v>
      </c>
      <c r="E290" t="s">
        <v>62</v>
      </c>
      <c r="F290">
        <v>9</v>
      </c>
      <c r="G290" t="s">
        <v>63</v>
      </c>
      <c r="H290" t="s">
        <v>67</v>
      </c>
      <c r="I290" t="s">
        <v>66</v>
      </c>
      <c r="J290" t="s">
        <v>39</v>
      </c>
      <c r="K290" t="s">
        <v>52</v>
      </c>
      <c r="L290">
        <v>0</v>
      </c>
      <c r="M290">
        <v>0</v>
      </c>
      <c r="N290">
        <v>26</v>
      </c>
      <c r="O290" t="s">
        <v>41</v>
      </c>
      <c r="P290" t="s">
        <v>42</v>
      </c>
      <c r="Q290">
        <f>IF(Tabela3[[#This Row],[Income]]="&lt;=50K",Tabela3[[#This Row],[Age]],NA())</f>
        <v>75</v>
      </c>
      <c r="R290">
        <f>IF(Tabela3[[#This Row],[Income]]="&lt;=50K",Tabela3[[#This Row],[education-num]],NA())</f>
        <v>9</v>
      </c>
      <c r="S290" t="e">
        <f>IF(Tabela3[[#This Row],[Income]]="&gt;50K",Tabela3[[#This Row],[Age]],NA())</f>
        <v>#N/A</v>
      </c>
      <c r="T290" t="e">
        <f>IF(Tabela3[[#This Row],[Income]]="&gt;50K",Tabela3[[#This Row],[education-num]],NA())</f>
        <v>#N/A</v>
      </c>
    </row>
    <row r="291" spans="1:20">
      <c r="A291">
        <v>290</v>
      </c>
      <c r="B291">
        <v>68</v>
      </c>
      <c r="C291" t="s">
        <v>34</v>
      </c>
      <c r="D291">
        <v>165017</v>
      </c>
      <c r="E291" t="s">
        <v>62</v>
      </c>
      <c r="F291">
        <v>9</v>
      </c>
      <c r="G291" t="s">
        <v>63</v>
      </c>
      <c r="H291" t="s">
        <v>61</v>
      </c>
      <c r="I291" t="s">
        <v>66</v>
      </c>
      <c r="J291" t="s">
        <v>39</v>
      </c>
      <c r="K291" t="s">
        <v>52</v>
      </c>
      <c r="L291">
        <v>0</v>
      </c>
      <c r="M291">
        <v>0</v>
      </c>
      <c r="N291">
        <v>40</v>
      </c>
      <c r="O291" t="s">
        <v>101</v>
      </c>
      <c r="P291" t="s">
        <v>53</v>
      </c>
      <c r="Q291" t="e">
        <f>IF(Tabela3[[#This Row],[Income]]="&lt;=50K",Tabela3[[#This Row],[Age]],NA())</f>
        <v>#N/A</v>
      </c>
      <c r="R291" t="e">
        <f>IF(Tabela3[[#This Row],[Income]]="&lt;=50K",Tabela3[[#This Row],[education-num]],NA())</f>
        <v>#N/A</v>
      </c>
      <c r="S291">
        <f>IF(Tabela3[[#This Row],[Income]]="&gt;50K",Tabela3[[#This Row],[Age]],NA())</f>
        <v>68</v>
      </c>
      <c r="T291">
        <f>IF(Tabela3[[#This Row],[Income]]="&gt;50K",Tabela3[[#This Row],[education-num]],NA())</f>
        <v>9</v>
      </c>
    </row>
    <row r="292" spans="1:20">
      <c r="A292">
        <v>291</v>
      </c>
      <c r="B292">
        <v>43</v>
      </c>
      <c r="C292" t="s">
        <v>34</v>
      </c>
      <c r="D292">
        <v>373403</v>
      </c>
      <c r="E292" t="s">
        <v>78</v>
      </c>
      <c r="F292">
        <v>11</v>
      </c>
      <c r="G292" t="s">
        <v>63</v>
      </c>
      <c r="H292" t="s">
        <v>50</v>
      </c>
      <c r="I292" t="s">
        <v>66</v>
      </c>
      <c r="J292" t="s">
        <v>39</v>
      </c>
      <c r="K292" t="s">
        <v>52</v>
      </c>
      <c r="L292">
        <v>0</v>
      </c>
      <c r="M292">
        <v>0</v>
      </c>
      <c r="N292">
        <v>40</v>
      </c>
      <c r="O292" t="s">
        <v>41</v>
      </c>
      <c r="P292" t="s">
        <v>42</v>
      </c>
      <c r="Q292">
        <f>IF(Tabela3[[#This Row],[Income]]="&lt;=50K",Tabela3[[#This Row],[Age]],NA())</f>
        <v>43</v>
      </c>
      <c r="R292">
        <f>IF(Tabela3[[#This Row],[Income]]="&lt;=50K",Tabela3[[#This Row],[education-num]],NA())</f>
        <v>11</v>
      </c>
      <c r="S292" t="e">
        <f>IF(Tabela3[[#This Row],[Income]]="&gt;50K",Tabela3[[#This Row],[Age]],NA())</f>
        <v>#N/A</v>
      </c>
      <c r="T292" t="e">
        <f>IF(Tabela3[[#This Row],[Income]]="&gt;50K",Tabela3[[#This Row],[education-num]],NA())</f>
        <v>#N/A</v>
      </c>
    </row>
    <row r="293" spans="1:20">
      <c r="A293">
        <v>292</v>
      </c>
      <c r="B293">
        <v>20</v>
      </c>
      <c r="C293" t="s">
        <v>34</v>
      </c>
      <c r="D293">
        <v>38620</v>
      </c>
      <c r="E293" t="s">
        <v>46</v>
      </c>
      <c r="F293">
        <v>10</v>
      </c>
      <c r="G293" t="s">
        <v>36</v>
      </c>
      <c r="H293" t="s">
        <v>37</v>
      </c>
      <c r="I293" t="s">
        <v>38</v>
      </c>
      <c r="J293" t="s">
        <v>39</v>
      </c>
      <c r="K293" t="s">
        <v>52</v>
      </c>
      <c r="L293">
        <v>0</v>
      </c>
      <c r="M293">
        <v>0</v>
      </c>
      <c r="N293">
        <v>20</v>
      </c>
      <c r="O293" t="s">
        <v>41</v>
      </c>
      <c r="P293" t="s">
        <v>42</v>
      </c>
      <c r="Q293">
        <f>IF(Tabela3[[#This Row],[Income]]="&lt;=50K",Tabela3[[#This Row],[Age]],NA())</f>
        <v>20</v>
      </c>
      <c r="R293">
        <f>IF(Tabela3[[#This Row],[Income]]="&lt;=50K",Tabela3[[#This Row],[education-num]],NA())</f>
        <v>10</v>
      </c>
      <c r="S293" t="e">
        <f>IF(Tabela3[[#This Row],[Income]]="&gt;50K",Tabela3[[#This Row],[Age]],NA())</f>
        <v>#N/A</v>
      </c>
      <c r="T293" t="e">
        <f>IF(Tabela3[[#This Row],[Income]]="&gt;50K",Tabela3[[#This Row],[education-num]],NA())</f>
        <v>#N/A</v>
      </c>
    </row>
    <row r="294" spans="1:20">
      <c r="A294">
        <v>293</v>
      </c>
      <c r="B294">
        <v>32</v>
      </c>
      <c r="C294" t="s">
        <v>34</v>
      </c>
      <c r="D294">
        <v>192039</v>
      </c>
      <c r="E294" t="s">
        <v>78</v>
      </c>
      <c r="F294">
        <v>11</v>
      </c>
      <c r="G294" t="s">
        <v>63</v>
      </c>
      <c r="H294" t="s">
        <v>61</v>
      </c>
      <c r="I294" t="s">
        <v>65</v>
      </c>
      <c r="J294" t="s">
        <v>39</v>
      </c>
      <c r="K294" t="s">
        <v>40</v>
      </c>
      <c r="L294">
        <v>0</v>
      </c>
      <c r="M294">
        <v>0</v>
      </c>
      <c r="N294">
        <v>40</v>
      </c>
      <c r="O294" t="s">
        <v>41</v>
      </c>
      <c r="P294" t="s">
        <v>53</v>
      </c>
      <c r="Q294" t="e">
        <f>IF(Tabela3[[#This Row],[Income]]="&lt;=50K",Tabela3[[#This Row],[Age]],NA())</f>
        <v>#N/A</v>
      </c>
      <c r="R294" t="e">
        <f>IF(Tabela3[[#This Row],[Income]]="&lt;=50K",Tabela3[[#This Row],[education-num]],NA())</f>
        <v>#N/A</v>
      </c>
      <c r="S294">
        <f>IF(Tabela3[[#This Row],[Income]]="&gt;50K",Tabela3[[#This Row],[Age]],NA())</f>
        <v>32</v>
      </c>
      <c r="T294">
        <f>IF(Tabela3[[#This Row],[Income]]="&gt;50K",Tabela3[[#This Row],[education-num]],NA())</f>
        <v>11</v>
      </c>
    </row>
    <row r="295" spans="1:20">
      <c r="A295">
        <v>294</v>
      </c>
      <c r="B295">
        <v>31</v>
      </c>
      <c r="C295" t="s">
        <v>34</v>
      </c>
      <c r="D295">
        <v>200117</v>
      </c>
      <c r="E295" t="s">
        <v>62</v>
      </c>
      <c r="F295">
        <v>9</v>
      </c>
      <c r="G295" t="s">
        <v>49</v>
      </c>
      <c r="H295" t="s">
        <v>67</v>
      </c>
      <c r="I295" t="s">
        <v>45</v>
      </c>
      <c r="J295" t="s">
        <v>39</v>
      </c>
      <c r="K295" t="s">
        <v>52</v>
      </c>
      <c r="L295">
        <v>0</v>
      </c>
      <c r="M295">
        <v>0</v>
      </c>
      <c r="N295">
        <v>40</v>
      </c>
      <c r="O295" t="s">
        <v>41</v>
      </c>
      <c r="P295" t="s">
        <v>42</v>
      </c>
      <c r="Q295">
        <f>IF(Tabela3[[#This Row],[Income]]="&lt;=50K",Tabela3[[#This Row],[Age]],NA())</f>
        <v>31</v>
      </c>
      <c r="R295">
        <f>IF(Tabela3[[#This Row],[Income]]="&lt;=50K",Tabela3[[#This Row],[education-num]],NA())</f>
        <v>9</v>
      </c>
      <c r="S295" t="e">
        <f>IF(Tabela3[[#This Row],[Income]]="&gt;50K",Tabela3[[#This Row],[Age]],NA())</f>
        <v>#N/A</v>
      </c>
      <c r="T295" t="e">
        <f>IF(Tabela3[[#This Row],[Income]]="&gt;50K",Tabela3[[#This Row],[education-num]],NA())</f>
        <v>#N/A</v>
      </c>
    </row>
    <row r="296" spans="1:20">
      <c r="A296">
        <v>295</v>
      </c>
      <c r="B296">
        <v>45</v>
      </c>
      <c r="C296" t="s">
        <v>34</v>
      </c>
      <c r="D296">
        <v>200471</v>
      </c>
      <c r="E296" t="s">
        <v>62</v>
      </c>
      <c r="F296">
        <v>9</v>
      </c>
      <c r="G296" t="s">
        <v>63</v>
      </c>
      <c r="H296" t="s">
        <v>67</v>
      </c>
      <c r="I296" t="s">
        <v>66</v>
      </c>
      <c r="J296" t="s">
        <v>39</v>
      </c>
      <c r="K296" t="s">
        <v>52</v>
      </c>
      <c r="L296">
        <v>0</v>
      </c>
      <c r="M296">
        <v>0</v>
      </c>
      <c r="N296">
        <v>35</v>
      </c>
      <c r="O296" t="s">
        <v>41</v>
      </c>
      <c r="P296" t="s">
        <v>42</v>
      </c>
      <c r="Q296">
        <f>IF(Tabela3[[#This Row],[Income]]="&lt;=50K",Tabela3[[#This Row],[Age]],NA())</f>
        <v>45</v>
      </c>
      <c r="R296">
        <f>IF(Tabela3[[#This Row],[Income]]="&lt;=50K",Tabela3[[#This Row],[education-num]],NA())</f>
        <v>9</v>
      </c>
      <c r="S296" t="e">
        <f>IF(Tabela3[[#This Row],[Income]]="&gt;50K",Tabela3[[#This Row],[Age]],NA())</f>
        <v>#N/A</v>
      </c>
      <c r="T296" t="e">
        <f>IF(Tabela3[[#This Row],[Income]]="&gt;50K",Tabela3[[#This Row],[education-num]],NA())</f>
        <v>#N/A</v>
      </c>
    </row>
    <row r="297" spans="1:20">
      <c r="A297">
        <v>296</v>
      </c>
      <c r="B297">
        <v>23</v>
      </c>
      <c r="C297" t="s">
        <v>34</v>
      </c>
      <c r="D297">
        <v>112683</v>
      </c>
      <c r="E297" t="s">
        <v>46</v>
      </c>
      <c r="F297">
        <v>10</v>
      </c>
      <c r="G297" t="s">
        <v>36</v>
      </c>
      <c r="H297" t="s">
        <v>44</v>
      </c>
      <c r="I297" t="s">
        <v>38</v>
      </c>
      <c r="J297" t="s">
        <v>39</v>
      </c>
      <c r="K297" t="s">
        <v>40</v>
      </c>
      <c r="L297">
        <v>0</v>
      </c>
      <c r="M297">
        <v>0</v>
      </c>
      <c r="N297">
        <v>12</v>
      </c>
      <c r="O297" t="s">
        <v>41</v>
      </c>
      <c r="P297" t="s">
        <v>42</v>
      </c>
      <c r="Q297">
        <f>IF(Tabela3[[#This Row],[Income]]="&lt;=50K",Tabela3[[#This Row],[Age]],NA())</f>
        <v>23</v>
      </c>
      <c r="R297">
        <f>IF(Tabela3[[#This Row],[Income]]="&lt;=50K",Tabela3[[#This Row],[education-num]],NA())</f>
        <v>10</v>
      </c>
      <c r="S297" t="e">
        <f>IF(Tabela3[[#This Row],[Income]]="&gt;50K",Tabela3[[#This Row],[Age]],NA())</f>
        <v>#N/A</v>
      </c>
      <c r="T297" t="e">
        <f>IF(Tabela3[[#This Row],[Income]]="&gt;50K",Tabela3[[#This Row],[education-num]],NA())</f>
        <v>#N/A</v>
      </c>
    </row>
    <row r="298" spans="1:20">
      <c r="A298">
        <v>297</v>
      </c>
      <c r="B298">
        <v>34</v>
      </c>
      <c r="C298" t="s">
        <v>34</v>
      </c>
      <c r="D298">
        <v>345705</v>
      </c>
      <c r="E298" t="s">
        <v>62</v>
      </c>
      <c r="F298">
        <v>9</v>
      </c>
      <c r="G298" t="s">
        <v>49</v>
      </c>
      <c r="H298" t="s">
        <v>50</v>
      </c>
      <c r="I298" t="s">
        <v>45</v>
      </c>
      <c r="J298" t="s">
        <v>39</v>
      </c>
      <c r="K298" t="s">
        <v>52</v>
      </c>
      <c r="L298">
        <v>0</v>
      </c>
      <c r="M298">
        <v>1408</v>
      </c>
      <c r="N298">
        <v>38</v>
      </c>
      <c r="O298" t="s">
        <v>41</v>
      </c>
      <c r="P298" t="s">
        <v>42</v>
      </c>
      <c r="Q298">
        <f>IF(Tabela3[[#This Row],[Income]]="&lt;=50K",Tabela3[[#This Row],[Age]],NA())</f>
        <v>34</v>
      </c>
      <c r="R298">
        <f>IF(Tabela3[[#This Row],[Income]]="&lt;=50K",Tabela3[[#This Row],[education-num]],NA())</f>
        <v>9</v>
      </c>
      <c r="S298" t="e">
        <f>IF(Tabela3[[#This Row],[Income]]="&gt;50K",Tabela3[[#This Row],[Age]],NA())</f>
        <v>#N/A</v>
      </c>
      <c r="T298" t="e">
        <f>IF(Tabela3[[#This Row],[Income]]="&gt;50K",Tabela3[[#This Row],[education-num]],NA())</f>
        <v>#N/A</v>
      </c>
    </row>
    <row r="299" spans="1:20">
      <c r="A299">
        <v>298</v>
      </c>
      <c r="B299">
        <v>36</v>
      </c>
      <c r="C299" t="s">
        <v>34</v>
      </c>
      <c r="D299">
        <v>201769</v>
      </c>
      <c r="E299" t="s">
        <v>35</v>
      </c>
      <c r="F299">
        <v>7</v>
      </c>
      <c r="G299" t="s">
        <v>36</v>
      </c>
      <c r="H299" t="s">
        <v>89</v>
      </c>
      <c r="I299" t="s">
        <v>45</v>
      </c>
      <c r="J299" t="s">
        <v>57</v>
      </c>
      <c r="K299" t="s">
        <v>52</v>
      </c>
      <c r="L299">
        <v>13550</v>
      </c>
      <c r="M299">
        <v>0</v>
      </c>
      <c r="N299">
        <v>40</v>
      </c>
      <c r="O299" t="s">
        <v>41</v>
      </c>
      <c r="P299" t="s">
        <v>53</v>
      </c>
      <c r="Q299" t="e">
        <f>IF(Tabela3[[#This Row],[Income]]="&lt;=50K",Tabela3[[#This Row],[Age]],NA())</f>
        <v>#N/A</v>
      </c>
      <c r="R299" t="e">
        <f>IF(Tabela3[[#This Row],[Income]]="&lt;=50K",Tabela3[[#This Row],[education-num]],NA())</f>
        <v>#N/A</v>
      </c>
      <c r="S299">
        <f>IF(Tabela3[[#This Row],[Income]]="&gt;50K",Tabela3[[#This Row],[Age]],NA())</f>
        <v>36</v>
      </c>
      <c r="T299">
        <f>IF(Tabela3[[#This Row],[Income]]="&gt;50K",Tabela3[[#This Row],[education-num]],NA())</f>
        <v>7</v>
      </c>
    </row>
    <row r="300" spans="1:20">
      <c r="A300">
        <v>299</v>
      </c>
      <c r="B300">
        <v>42</v>
      </c>
      <c r="C300" t="s">
        <v>34</v>
      </c>
      <c r="D300">
        <v>99679</v>
      </c>
      <c r="E300" t="s">
        <v>62</v>
      </c>
      <c r="F300">
        <v>9</v>
      </c>
      <c r="G300" t="s">
        <v>63</v>
      </c>
      <c r="H300" t="s">
        <v>72</v>
      </c>
      <c r="I300" t="s">
        <v>66</v>
      </c>
      <c r="J300" t="s">
        <v>39</v>
      </c>
      <c r="K300" t="s">
        <v>52</v>
      </c>
      <c r="L300">
        <v>0</v>
      </c>
      <c r="M300">
        <v>0</v>
      </c>
      <c r="N300">
        <v>60</v>
      </c>
      <c r="O300" t="s">
        <v>41</v>
      </c>
      <c r="P300" t="s">
        <v>53</v>
      </c>
      <c r="Q300" t="e">
        <f>IF(Tabela3[[#This Row],[Income]]="&lt;=50K",Tabela3[[#This Row],[Age]],NA())</f>
        <v>#N/A</v>
      </c>
      <c r="R300" t="e">
        <f>IF(Tabela3[[#This Row],[Income]]="&lt;=50K",Tabela3[[#This Row],[education-num]],NA())</f>
        <v>#N/A</v>
      </c>
      <c r="S300">
        <f>IF(Tabela3[[#This Row],[Income]]="&gt;50K",Tabela3[[#This Row],[Age]],NA())</f>
        <v>42</v>
      </c>
      <c r="T300">
        <f>IF(Tabela3[[#This Row],[Income]]="&gt;50K",Tabela3[[#This Row],[education-num]],NA())</f>
        <v>9</v>
      </c>
    </row>
    <row r="301" spans="1:20">
      <c r="A301">
        <v>300</v>
      </c>
      <c r="B301">
        <v>63</v>
      </c>
      <c r="C301" t="s">
        <v>74</v>
      </c>
      <c r="D301">
        <v>420629</v>
      </c>
      <c r="E301" t="s">
        <v>78</v>
      </c>
      <c r="F301">
        <v>11</v>
      </c>
      <c r="G301" t="s">
        <v>63</v>
      </c>
      <c r="H301" t="s">
        <v>37</v>
      </c>
      <c r="I301" t="s">
        <v>66</v>
      </c>
      <c r="J301" t="s">
        <v>39</v>
      </c>
      <c r="K301" t="s">
        <v>52</v>
      </c>
      <c r="L301">
        <v>0</v>
      </c>
      <c r="M301">
        <v>0</v>
      </c>
      <c r="N301">
        <v>45</v>
      </c>
      <c r="O301" t="s">
        <v>41</v>
      </c>
      <c r="P301" t="s">
        <v>42</v>
      </c>
      <c r="Q301">
        <f>IF(Tabela3[[#This Row],[Income]]="&lt;=50K",Tabela3[[#This Row],[Age]],NA())</f>
        <v>63</v>
      </c>
      <c r="R301">
        <f>IF(Tabela3[[#This Row],[Income]]="&lt;=50K",Tabela3[[#This Row],[education-num]],NA())</f>
        <v>11</v>
      </c>
      <c r="S301" t="e">
        <f>IF(Tabela3[[#This Row],[Income]]="&gt;50K",Tabela3[[#This Row],[Age]],NA())</f>
        <v>#N/A</v>
      </c>
      <c r="T301" t="e">
        <f>IF(Tabela3[[#This Row],[Income]]="&gt;50K",Tabela3[[#This Row],[education-num]],NA())</f>
        <v>#N/A</v>
      </c>
    </row>
    <row r="302" spans="1:20">
      <c r="A302">
        <v>301</v>
      </c>
      <c r="B302">
        <v>44</v>
      </c>
      <c r="C302" t="s">
        <v>75</v>
      </c>
      <c r="D302">
        <v>102238</v>
      </c>
      <c r="E302" t="s">
        <v>62</v>
      </c>
      <c r="F302">
        <v>9</v>
      </c>
      <c r="G302" t="s">
        <v>49</v>
      </c>
      <c r="H302" t="s">
        <v>50</v>
      </c>
      <c r="I302" t="s">
        <v>69</v>
      </c>
      <c r="J302" t="s">
        <v>39</v>
      </c>
      <c r="K302" t="s">
        <v>52</v>
      </c>
      <c r="L302">
        <v>0</v>
      </c>
      <c r="M302">
        <v>0</v>
      </c>
      <c r="N302">
        <v>40</v>
      </c>
      <c r="O302" t="s">
        <v>41</v>
      </c>
      <c r="P302" t="s">
        <v>42</v>
      </c>
      <c r="Q302">
        <f>IF(Tabela3[[#This Row],[Income]]="&lt;=50K",Tabela3[[#This Row],[Age]],NA())</f>
        <v>44</v>
      </c>
      <c r="R302">
        <f>IF(Tabela3[[#This Row],[Income]]="&lt;=50K",Tabela3[[#This Row],[education-num]],NA())</f>
        <v>9</v>
      </c>
      <c r="S302" t="e">
        <f>IF(Tabela3[[#This Row],[Income]]="&gt;50K",Tabela3[[#This Row],[Age]],NA())</f>
        <v>#N/A</v>
      </c>
      <c r="T302" t="e">
        <f>IF(Tabela3[[#This Row],[Income]]="&gt;50K",Tabela3[[#This Row],[education-num]],NA())</f>
        <v>#N/A</v>
      </c>
    </row>
    <row r="303" spans="1:20">
      <c r="A303">
        <v>302</v>
      </c>
      <c r="B303">
        <v>35</v>
      </c>
      <c r="C303" t="s">
        <v>34</v>
      </c>
      <c r="D303">
        <v>178322</v>
      </c>
      <c r="E303" t="s">
        <v>60</v>
      </c>
      <c r="F303">
        <v>13</v>
      </c>
      <c r="G303" t="s">
        <v>63</v>
      </c>
      <c r="H303" t="s">
        <v>44</v>
      </c>
      <c r="I303" t="s">
        <v>66</v>
      </c>
      <c r="J303" t="s">
        <v>39</v>
      </c>
      <c r="K303" t="s">
        <v>52</v>
      </c>
      <c r="L303">
        <v>0</v>
      </c>
      <c r="M303">
        <v>0</v>
      </c>
      <c r="N303">
        <v>40</v>
      </c>
      <c r="O303" t="s">
        <v>41</v>
      </c>
      <c r="P303" t="s">
        <v>53</v>
      </c>
      <c r="Q303" t="e">
        <f>IF(Tabela3[[#This Row],[Income]]="&lt;=50K",Tabela3[[#This Row],[Age]],NA())</f>
        <v>#N/A</v>
      </c>
      <c r="R303" t="e">
        <f>IF(Tabela3[[#This Row],[Income]]="&lt;=50K",Tabela3[[#This Row],[education-num]],NA())</f>
        <v>#N/A</v>
      </c>
      <c r="S303">
        <f>IF(Tabela3[[#This Row],[Income]]="&gt;50K",Tabela3[[#This Row],[Age]],NA())</f>
        <v>35</v>
      </c>
      <c r="T303">
        <f>IF(Tabela3[[#This Row],[Income]]="&gt;50K",Tabela3[[#This Row],[education-num]],NA())</f>
        <v>13</v>
      </c>
    </row>
    <row r="304" spans="1:20">
      <c r="A304">
        <v>303</v>
      </c>
      <c r="B304">
        <v>30</v>
      </c>
      <c r="C304" t="s">
        <v>34</v>
      </c>
      <c r="D304">
        <v>149427</v>
      </c>
      <c r="E304" t="s">
        <v>98</v>
      </c>
      <c r="F304">
        <v>5</v>
      </c>
      <c r="G304" t="s">
        <v>36</v>
      </c>
      <c r="H304" t="s">
        <v>50</v>
      </c>
      <c r="I304" t="s">
        <v>38</v>
      </c>
      <c r="J304" t="s">
        <v>39</v>
      </c>
      <c r="K304" t="s">
        <v>52</v>
      </c>
      <c r="L304">
        <v>0</v>
      </c>
      <c r="M304">
        <v>0</v>
      </c>
      <c r="N304">
        <v>45</v>
      </c>
      <c r="O304" t="s">
        <v>41</v>
      </c>
      <c r="P304" t="s">
        <v>42</v>
      </c>
      <c r="Q304">
        <f>IF(Tabela3[[#This Row],[Income]]="&lt;=50K",Tabela3[[#This Row],[Age]],NA())</f>
        <v>30</v>
      </c>
      <c r="R304">
        <f>IF(Tabela3[[#This Row],[Income]]="&lt;=50K",Tabela3[[#This Row],[education-num]],NA())</f>
        <v>5</v>
      </c>
      <c r="S304" t="e">
        <f>IF(Tabela3[[#This Row],[Income]]="&gt;50K",Tabela3[[#This Row],[Age]],NA())</f>
        <v>#N/A</v>
      </c>
      <c r="T304" t="e">
        <f>IF(Tabela3[[#This Row],[Income]]="&gt;50K",Tabela3[[#This Row],[education-num]],NA())</f>
        <v>#N/A</v>
      </c>
    </row>
    <row r="305" spans="1:20">
      <c r="A305">
        <v>304</v>
      </c>
      <c r="B305">
        <v>47</v>
      </c>
      <c r="C305" t="s">
        <v>71</v>
      </c>
      <c r="D305">
        <v>178013</v>
      </c>
      <c r="E305" t="s">
        <v>77</v>
      </c>
      <c r="F305">
        <v>6</v>
      </c>
      <c r="G305" t="s">
        <v>63</v>
      </c>
      <c r="H305" t="s">
        <v>71</v>
      </c>
      <c r="I305" t="s">
        <v>65</v>
      </c>
      <c r="J305" t="s">
        <v>39</v>
      </c>
      <c r="K305" t="s">
        <v>40</v>
      </c>
      <c r="L305">
        <v>0</v>
      </c>
      <c r="M305">
        <v>0</v>
      </c>
      <c r="N305">
        <v>20</v>
      </c>
      <c r="O305" t="s">
        <v>102</v>
      </c>
      <c r="P305" t="s">
        <v>42</v>
      </c>
      <c r="Q305">
        <f>IF(Tabela3[[#This Row],[Income]]="&lt;=50K",Tabela3[[#This Row],[Age]],NA())</f>
        <v>47</v>
      </c>
      <c r="R305">
        <f>IF(Tabela3[[#This Row],[Income]]="&lt;=50K",Tabela3[[#This Row],[education-num]],NA())</f>
        <v>6</v>
      </c>
      <c r="S305" t="e">
        <f>IF(Tabela3[[#This Row],[Income]]="&gt;50K",Tabela3[[#This Row],[Age]],NA())</f>
        <v>#N/A</v>
      </c>
      <c r="T305" t="e">
        <f>IF(Tabela3[[#This Row],[Income]]="&gt;50K",Tabela3[[#This Row],[education-num]],NA())</f>
        <v>#N/A</v>
      </c>
    </row>
    <row r="306" spans="1:20">
      <c r="A306">
        <v>305</v>
      </c>
      <c r="B306">
        <v>34</v>
      </c>
      <c r="C306" t="s">
        <v>34</v>
      </c>
      <c r="D306">
        <v>318886</v>
      </c>
      <c r="E306" t="s">
        <v>62</v>
      </c>
      <c r="F306">
        <v>9</v>
      </c>
      <c r="G306" t="s">
        <v>63</v>
      </c>
      <c r="H306" t="s">
        <v>58</v>
      </c>
      <c r="I306" t="s">
        <v>66</v>
      </c>
      <c r="J306" t="s">
        <v>57</v>
      </c>
      <c r="K306" t="s">
        <v>52</v>
      </c>
      <c r="L306">
        <v>0</v>
      </c>
      <c r="M306">
        <v>0</v>
      </c>
      <c r="N306">
        <v>40</v>
      </c>
      <c r="O306" t="s">
        <v>41</v>
      </c>
      <c r="P306" t="s">
        <v>42</v>
      </c>
      <c r="Q306">
        <f>IF(Tabela3[[#This Row],[Income]]="&lt;=50K",Tabela3[[#This Row],[Age]],NA())</f>
        <v>34</v>
      </c>
      <c r="R306">
        <f>IF(Tabela3[[#This Row],[Income]]="&lt;=50K",Tabela3[[#This Row],[education-num]],NA())</f>
        <v>9</v>
      </c>
      <c r="S306" t="e">
        <f>IF(Tabela3[[#This Row],[Income]]="&gt;50K",Tabela3[[#This Row],[Age]],NA())</f>
        <v>#N/A</v>
      </c>
      <c r="T306" t="e">
        <f>IF(Tabela3[[#This Row],[Income]]="&gt;50K",Tabela3[[#This Row],[education-num]],NA())</f>
        <v>#N/A</v>
      </c>
    </row>
    <row r="307" spans="1:20">
      <c r="A307">
        <v>306</v>
      </c>
      <c r="B307">
        <v>38</v>
      </c>
      <c r="C307" t="s">
        <v>34</v>
      </c>
      <c r="D307">
        <v>110402</v>
      </c>
      <c r="E307" t="s">
        <v>78</v>
      </c>
      <c r="F307">
        <v>11</v>
      </c>
      <c r="G307" t="s">
        <v>63</v>
      </c>
      <c r="H307" t="s">
        <v>56</v>
      </c>
      <c r="I307" t="s">
        <v>66</v>
      </c>
      <c r="J307" t="s">
        <v>39</v>
      </c>
      <c r="K307" t="s">
        <v>52</v>
      </c>
      <c r="L307">
        <v>0</v>
      </c>
      <c r="M307">
        <v>0</v>
      </c>
      <c r="N307">
        <v>40</v>
      </c>
      <c r="O307" t="s">
        <v>41</v>
      </c>
      <c r="P307" t="s">
        <v>42</v>
      </c>
      <c r="Q307">
        <f>IF(Tabela3[[#This Row],[Income]]="&lt;=50K",Tabela3[[#This Row],[Age]],NA())</f>
        <v>38</v>
      </c>
      <c r="R307">
        <f>IF(Tabela3[[#This Row],[Income]]="&lt;=50K",Tabela3[[#This Row],[education-num]],NA())</f>
        <v>11</v>
      </c>
      <c r="S307" t="e">
        <f>IF(Tabela3[[#This Row],[Income]]="&gt;50K",Tabela3[[#This Row],[Age]],NA())</f>
        <v>#N/A</v>
      </c>
      <c r="T307" t="e">
        <f>IF(Tabela3[[#This Row],[Income]]="&gt;50K",Tabela3[[#This Row],[education-num]],NA())</f>
        <v>#N/A</v>
      </c>
    </row>
    <row r="308" spans="1:20">
      <c r="A308">
        <v>307</v>
      </c>
      <c r="B308">
        <v>31</v>
      </c>
      <c r="C308" t="s">
        <v>34</v>
      </c>
      <c r="D308">
        <v>323069</v>
      </c>
      <c r="E308" t="s">
        <v>43</v>
      </c>
      <c r="F308">
        <v>12</v>
      </c>
      <c r="G308" t="s">
        <v>49</v>
      </c>
      <c r="H308" t="s">
        <v>44</v>
      </c>
      <c r="I308" t="s">
        <v>69</v>
      </c>
      <c r="J308" t="s">
        <v>39</v>
      </c>
      <c r="K308" t="s">
        <v>40</v>
      </c>
      <c r="L308">
        <v>0</v>
      </c>
      <c r="M308">
        <v>880</v>
      </c>
      <c r="N308">
        <v>45</v>
      </c>
      <c r="O308" t="s">
        <v>41</v>
      </c>
      <c r="P308" t="s">
        <v>42</v>
      </c>
      <c r="Q308">
        <f>IF(Tabela3[[#This Row],[Income]]="&lt;=50K",Tabela3[[#This Row],[Age]],NA())</f>
        <v>31</v>
      </c>
      <c r="R308">
        <f>IF(Tabela3[[#This Row],[Income]]="&lt;=50K",Tabela3[[#This Row],[education-num]],NA())</f>
        <v>12</v>
      </c>
      <c r="S308" t="e">
        <f>IF(Tabela3[[#This Row],[Income]]="&gt;50K",Tabela3[[#This Row],[Age]],NA())</f>
        <v>#N/A</v>
      </c>
      <c r="T308" t="e">
        <f>IF(Tabela3[[#This Row],[Income]]="&gt;50K",Tabela3[[#This Row],[education-num]],NA())</f>
        <v>#N/A</v>
      </c>
    </row>
    <row r="309" spans="1:20">
      <c r="A309">
        <v>308</v>
      </c>
      <c r="B309">
        <v>60</v>
      </c>
      <c r="C309" t="s">
        <v>34</v>
      </c>
      <c r="D309">
        <v>114263</v>
      </c>
      <c r="E309" t="s">
        <v>60</v>
      </c>
      <c r="F309">
        <v>13</v>
      </c>
      <c r="G309" t="s">
        <v>49</v>
      </c>
      <c r="H309" t="s">
        <v>80</v>
      </c>
      <c r="I309" t="s">
        <v>45</v>
      </c>
      <c r="J309" t="s">
        <v>39</v>
      </c>
      <c r="K309" t="s">
        <v>40</v>
      </c>
      <c r="L309">
        <v>0</v>
      </c>
      <c r="M309">
        <v>0</v>
      </c>
      <c r="N309">
        <v>40</v>
      </c>
      <c r="O309" t="s">
        <v>103</v>
      </c>
      <c r="P309" t="s">
        <v>53</v>
      </c>
      <c r="Q309" t="e">
        <f>IF(Tabela3[[#This Row],[Income]]="&lt;=50K",Tabela3[[#This Row],[Age]],NA())</f>
        <v>#N/A</v>
      </c>
      <c r="R309" t="e">
        <f>IF(Tabela3[[#This Row],[Income]]="&lt;=50K",Tabela3[[#This Row],[education-num]],NA())</f>
        <v>#N/A</v>
      </c>
      <c r="S309">
        <f>IF(Tabela3[[#This Row],[Income]]="&gt;50K",Tabela3[[#This Row],[Age]],NA())</f>
        <v>60</v>
      </c>
      <c r="T309">
        <f>IF(Tabela3[[#This Row],[Income]]="&gt;50K",Tabela3[[#This Row],[education-num]],NA())</f>
        <v>13</v>
      </c>
    </row>
    <row r="310" spans="1:20">
      <c r="A310">
        <v>309</v>
      </c>
      <c r="B310">
        <v>22</v>
      </c>
      <c r="C310" t="s">
        <v>34</v>
      </c>
      <c r="D310">
        <v>103277</v>
      </c>
      <c r="E310" t="s">
        <v>43</v>
      </c>
      <c r="F310">
        <v>12</v>
      </c>
      <c r="G310" t="s">
        <v>36</v>
      </c>
      <c r="H310" t="s">
        <v>67</v>
      </c>
      <c r="I310" t="s">
        <v>38</v>
      </c>
      <c r="J310" t="s">
        <v>39</v>
      </c>
      <c r="K310" t="s">
        <v>40</v>
      </c>
      <c r="L310">
        <v>0</v>
      </c>
      <c r="M310">
        <v>0</v>
      </c>
      <c r="N310">
        <v>20</v>
      </c>
      <c r="O310" t="s">
        <v>41</v>
      </c>
      <c r="P310" t="s">
        <v>42</v>
      </c>
      <c r="Q310">
        <f>IF(Tabela3[[#This Row],[Income]]="&lt;=50K",Tabela3[[#This Row],[Age]],NA())</f>
        <v>22</v>
      </c>
      <c r="R310">
        <f>IF(Tabela3[[#This Row],[Income]]="&lt;=50K",Tabela3[[#This Row],[education-num]],NA())</f>
        <v>12</v>
      </c>
      <c r="S310" t="e">
        <f>IF(Tabela3[[#This Row],[Income]]="&gt;50K",Tabela3[[#This Row],[Age]],NA())</f>
        <v>#N/A</v>
      </c>
      <c r="T310" t="e">
        <f>IF(Tabela3[[#This Row],[Income]]="&gt;50K",Tabela3[[#This Row],[education-num]],NA())</f>
        <v>#N/A</v>
      </c>
    </row>
    <row r="311" spans="1:20">
      <c r="A311">
        <v>310</v>
      </c>
      <c r="B311">
        <v>53</v>
      </c>
      <c r="C311" t="s">
        <v>34</v>
      </c>
      <c r="D311">
        <v>82646</v>
      </c>
      <c r="E311" t="s">
        <v>97</v>
      </c>
      <c r="F311">
        <v>16</v>
      </c>
      <c r="G311" t="s">
        <v>49</v>
      </c>
      <c r="H311" t="s">
        <v>80</v>
      </c>
      <c r="I311" t="s">
        <v>45</v>
      </c>
      <c r="J311" t="s">
        <v>39</v>
      </c>
      <c r="K311" t="s">
        <v>40</v>
      </c>
      <c r="L311">
        <v>0</v>
      </c>
      <c r="M311">
        <v>0</v>
      </c>
      <c r="N311">
        <v>55</v>
      </c>
      <c r="O311" t="s">
        <v>41</v>
      </c>
      <c r="P311" t="s">
        <v>53</v>
      </c>
      <c r="Q311" t="e">
        <f>IF(Tabela3[[#This Row],[Income]]="&lt;=50K",Tabela3[[#This Row],[Age]],NA())</f>
        <v>#N/A</v>
      </c>
      <c r="R311" t="e">
        <f>IF(Tabela3[[#This Row],[Income]]="&lt;=50K",Tabela3[[#This Row],[education-num]],NA())</f>
        <v>#N/A</v>
      </c>
      <c r="S311">
        <f>IF(Tabela3[[#This Row],[Income]]="&gt;50K",Tabela3[[#This Row],[Age]],NA())</f>
        <v>53</v>
      </c>
      <c r="T311">
        <f>IF(Tabela3[[#This Row],[Income]]="&gt;50K",Tabela3[[#This Row],[education-num]],NA())</f>
        <v>16</v>
      </c>
    </row>
    <row r="312" spans="1:20">
      <c r="A312">
        <v>311</v>
      </c>
      <c r="B312">
        <v>90</v>
      </c>
      <c r="C312" t="s">
        <v>34</v>
      </c>
      <c r="D312">
        <v>90523</v>
      </c>
      <c r="E312" t="s">
        <v>62</v>
      </c>
      <c r="F312">
        <v>9</v>
      </c>
      <c r="G312" t="s">
        <v>81</v>
      </c>
      <c r="H312" t="s">
        <v>72</v>
      </c>
      <c r="I312" t="s">
        <v>69</v>
      </c>
      <c r="J312" t="s">
        <v>39</v>
      </c>
      <c r="K312" t="s">
        <v>52</v>
      </c>
      <c r="L312">
        <v>0</v>
      </c>
      <c r="M312">
        <v>0</v>
      </c>
      <c r="N312">
        <v>99</v>
      </c>
      <c r="O312" t="s">
        <v>41</v>
      </c>
      <c r="P312" t="s">
        <v>42</v>
      </c>
      <c r="Q312">
        <f>IF(Tabela3[[#This Row],[Income]]="&lt;=50K",Tabela3[[#This Row],[Age]],NA())</f>
        <v>90</v>
      </c>
      <c r="R312">
        <f>IF(Tabela3[[#This Row],[Income]]="&lt;=50K",Tabela3[[#This Row],[education-num]],NA())</f>
        <v>9</v>
      </c>
      <c r="S312" t="e">
        <f>IF(Tabela3[[#This Row],[Income]]="&gt;50K",Tabela3[[#This Row],[Age]],NA())</f>
        <v>#N/A</v>
      </c>
      <c r="T312" t="e">
        <f>IF(Tabela3[[#This Row],[Income]]="&gt;50K",Tabela3[[#This Row],[education-num]],NA())</f>
        <v>#N/A</v>
      </c>
    </row>
    <row r="313" spans="1:20">
      <c r="A313">
        <v>312</v>
      </c>
      <c r="B313">
        <v>39</v>
      </c>
      <c r="C313" t="s">
        <v>34</v>
      </c>
      <c r="D313">
        <v>147548</v>
      </c>
      <c r="E313" t="s">
        <v>62</v>
      </c>
      <c r="F313">
        <v>9</v>
      </c>
      <c r="G313" t="s">
        <v>63</v>
      </c>
      <c r="H313" t="s">
        <v>50</v>
      </c>
      <c r="I313" t="s">
        <v>66</v>
      </c>
      <c r="J313" t="s">
        <v>39</v>
      </c>
      <c r="K313" t="s">
        <v>52</v>
      </c>
      <c r="L313">
        <v>0</v>
      </c>
      <c r="M313">
        <v>0</v>
      </c>
      <c r="N313">
        <v>40</v>
      </c>
      <c r="O313" t="s">
        <v>41</v>
      </c>
      <c r="P313" t="s">
        <v>42</v>
      </c>
      <c r="Q313">
        <f>IF(Tabela3[[#This Row],[Income]]="&lt;=50K",Tabela3[[#This Row],[Age]],NA())</f>
        <v>39</v>
      </c>
      <c r="R313">
        <f>IF(Tabela3[[#This Row],[Income]]="&lt;=50K",Tabela3[[#This Row],[education-num]],NA())</f>
        <v>9</v>
      </c>
      <c r="S313" t="e">
        <f>IF(Tabela3[[#This Row],[Income]]="&gt;50K",Tabela3[[#This Row],[Age]],NA())</f>
        <v>#N/A</v>
      </c>
      <c r="T313" t="e">
        <f>IF(Tabela3[[#This Row],[Income]]="&gt;50K",Tabela3[[#This Row],[education-num]],NA())</f>
        <v>#N/A</v>
      </c>
    </row>
    <row r="314" spans="1:20">
      <c r="A314">
        <v>313</v>
      </c>
      <c r="B314">
        <v>51</v>
      </c>
      <c r="C314" t="s">
        <v>34</v>
      </c>
      <c r="D314">
        <v>108435</v>
      </c>
      <c r="E314" t="s">
        <v>73</v>
      </c>
      <c r="F314">
        <v>14</v>
      </c>
      <c r="G314" t="s">
        <v>63</v>
      </c>
      <c r="H314" t="s">
        <v>61</v>
      </c>
      <c r="I314" t="s">
        <v>66</v>
      </c>
      <c r="J314" t="s">
        <v>39</v>
      </c>
      <c r="K314" t="s">
        <v>52</v>
      </c>
      <c r="L314">
        <v>0</v>
      </c>
      <c r="M314">
        <v>0</v>
      </c>
      <c r="N314">
        <v>47</v>
      </c>
      <c r="O314" t="s">
        <v>41</v>
      </c>
      <c r="P314" t="s">
        <v>53</v>
      </c>
      <c r="Q314" t="e">
        <f>IF(Tabela3[[#This Row],[Income]]="&lt;=50K",Tabela3[[#This Row],[Age]],NA())</f>
        <v>#N/A</v>
      </c>
      <c r="R314" t="e">
        <f>IF(Tabela3[[#This Row],[Income]]="&lt;=50K",Tabela3[[#This Row],[education-num]],NA())</f>
        <v>#N/A</v>
      </c>
      <c r="S314">
        <f>IF(Tabela3[[#This Row],[Income]]="&gt;50K",Tabela3[[#This Row],[Age]],NA())</f>
        <v>51</v>
      </c>
      <c r="T314">
        <f>IF(Tabela3[[#This Row],[Income]]="&gt;50K",Tabela3[[#This Row],[education-num]],NA())</f>
        <v>14</v>
      </c>
    </row>
    <row r="315" spans="1:20">
      <c r="A315">
        <v>314</v>
      </c>
      <c r="B315">
        <v>51</v>
      </c>
      <c r="C315" t="s">
        <v>74</v>
      </c>
      <c r="D315">
        <v>136836</v>
      </c>
      <c r="E315" t="s">
        <v>43</v>
      </c>
      <c r="F315">
        <v>12</v>
      </c>
      <c r="G315" t="s">
        <v>49</v>
      </c>
      <c r="H315" t="s">
        <v>72</v>
      </c>
      <c r="I315" t="s">
        <v>69</v>
      </c>
      <c r="J315" t="s">
        <v>57</v>
      </c>
      <c r="K315" t="s">
        <v>40</v>
      </c>
      <c r="L315">
        <v>0</v>
      </c>
      <c r="M315">
        <v>0</v>
      </c>
      <c r="N315">
        <v>30</v>
      </c>
      <c r="O315" t="s">
        <v>41</v>
      </c>
      <c r="P315" t="s">
        <v>42</v>
      </c>
      <c r="Q315">
        <f>IF(Tabela3[[#This Row],[Income]]="&lt;=50K",Tabela3[[#This Row],[Age]],NA())</f>
        <v>51</v>
      </c>
      <c r="R315">
        <f>IF(Tabela3[[#This Row],[Income]]="&lt;=50K",Tabela3[[#This Row],[education-num]],NA())</f>
        <v>12</v>
      </c>
      <c r="S315" t="e">
        <f>IF(Tabela3[[#This Row],[Income]]="&gt;50K",Tabela3[[#This Row],[Age]],NA())</f>
        <v>#N/A</v>
      </c>
      <c r="T315" t="e">
        <f>IF(Tabela3[[#This Row],[Income]]="&gt;50K",Tabela3[[#This Row],[education-num]],NA())</f>
        <v>#N/A</v>
      </c>
    </row>
    <row r="316" spans="1:20">
      <c r="A316">
        <v>315</v>
      </c>
      <c r="B316">
        <v>42</v>
      </c>
      <c r="C316" t="s">
        <v>34</v>
      </c>
      <c r="D316">
        <v>350387</v>
      </c>
      <c r="E316" t="s">
        <v>62</v>
      </c>
      <c r="F316">
        <v>9</v>
      </c>
      <c r="G316" t="s">
        <v>55</v>
      </c>
      <c r="H316" t="s">
        <v>56</v>
      </c>
      <c r="I316" t="s">
        <v>45</v>
      </c>
      <c r="J316" t="s">
        <v>39</v>
      </c>
      <c r="K316" t="s">
        <v>52</v>
      </c>
      <c r="L316">
        <v>0</v>
      </c>
      <c r="M316">
        <v>0</v>
      </c>
      <c r="N316">
        <v>15</v>
      </c>
      <c r="O316" t="s">
        <v>41</v>
      </c>
      <c r="P316" t="s">
        <v>42</v>
      </c>
      <c r="Q316">
        <f>IF(Tabela3[[#This Row],[Income]]="&lt;=50K",Tabela3[[#This Row],[Age]],NA())</f>
        <v>42</v>
      </c>
      <c r="R316">
        <f>IF(Tabela3[[#This Row],[Income]]="&lt;=50K",Tabela3[[#This Row],[education-num]],NA())</f>
        <v>9</v>
      </c>
      <c r="S316" t="e">
        <f>IF(Tabela3[[#This Row],[Income]]="&gt;50K",Tabela3[[#This Row],[Age]],NA())</f>
        <v>#N/A</v>
      </c>
      <c r="T316" t="e">
        <f>IF(Tabela3[[#This Row],[Income]]="&gt;50K",Tabela3[[#This Row],[education-num]],NA())</f>
        <v>#N/A</v>
      </c>
    </row>
    <row r="317" spans="1:20">
      <c r="A317">
        <v>316</v>
      </c>
      <c r="B317">
        <v>36</v>
      </c>
      <c r="C317" t="s">
        <v>34</v>
      </c>
      <c r="D317">
        <v>149833</v>
      </c>
      <c r="E317" t="s">
        <v>62</v>
      </c>
      <c r="F317">
        <v>9</v>
      </c>
      <c r="G317" t="s">
        <v>63</v>
      </c>
      <c r="H317" t="s">
        <v>80</v>
      </c>
      <c r="I317" t="s">
        <v>65</v>
      </c>
      <c r="J317" t="s">
        <v>39</v>
      </c>
      <c r="K317" t="s">
        <v>40</v>
      </c>
      <c r="L317">
        <v>0</v>
      </c>
      <c r="M317">
        <v>0</v>
      </c>
      <c r="N317">
        <v>40</v>
      </c>
      <c r="O317" t="s">
        <v>41</v>
      </c>
      <c r="P317" t="s">
        <v>42</v>
      </c>
      <c r="Q317">
        <f>IF(Tabela3[[#This Row],[Income]]="&lt;=50K",Tabela3[[#This Row],[Age]],NA())</f>
        <v>36</v>
      </c>
      <c r="R317">
        <f>IF(Tabela3[[#This Row],[Income]]="&lt;=50K",Tabela3[[#This Row],[education-num]],NA())</f>
        <v>9</v>
      </c>
      <c r="S317" t="e">
        <f>IF(Tabela3[[#This Row],[Income]]="&gt;50K",Tabela3[[#This Row],[Age]],NA())</f>
        <v>#N/A</v>
      </c>
      <c r="T317" t="e">
        <f>IF(Tabela3[[#This Row],[Income]]="&gt;50K",Tabela3[[#This Row],[education-num]],NA())</f>
        <v>#N/A</v>
      </c>
    </row>
    <row r="318" spans="1:20">
      <c r="A318">
        <v>317</v>
      </c>
      <c r="B318">
        <v>57</v>
      </c>
      <c r="C318" t="s">
        <v>54</v>
      </c>
      <c r="D318">
        <v>130532</v>
      </c>
      <c r="E318" t="s">
        <v>60</v>
      </c>
      <c r="F318">
        <v>13</v>
      </c>
      <c r="G318" t="s">
        <v>81</v>
      </c>
      <c r="H318" t="s">
        <v>61</v>
      </c>
      <c r="I318" t="s">
        <v>45</v>
      </c>
      <c r="J318" t="s">
        <v>39</v>
      </c>
      <c r="K318" t="s">
        <v>40</v>
      </c>
      <c r="L318">
        <v>0</v>
      </c>
      <c r="M318">
        <v>0</v>
      </c>
      <c r="N318">
        <v>35</v>
      </c>
      <c r="O318" t="s">
        <v>41</v>
      </c>
      <c r="P318" t="s">
        <v>42</v>
      </c>
      <c r="Q318">
        <f>IF(Tabela3[[#This Row],[Income]]="&lt;=50K",Tabela3[[#This Row],[Age]],NA())</f>
        <v>57</v>
      </c>
      <c r="R318">
        <f>IF(Tabela3[[#This Row],[Income]]="&lt;=50K",Tabela3[[#This Row],[education-num]],NA())</f>
        <v>13</v>
      </c>
      <c r="S318" t="e">
        <f>IF(Tabela3[[#This Row],[Income]]="&gt;50K",Tabela3[[#This Row],[Age]],NA())</f>
        <v>#N/A</v>
      </c>
      <c r="T318" t="e">
        <f>IF(Tabela3[[#This Row],[Income]]="&gt;50K",Tabela3[[#This Row],[education-num]],NA())</f>
        <v>#N/A</v>
      </c>
    </row>
    <row r="319" spans="1:20">
      <c r="A319">
        <v>318</v>
      </c>
      <c r="B319">
        <v>71</v>
      </c>
      <c r="C319" t="s">
        <v>54</v>
      </c>
      <c r="D319">
        <v>229110</v>
      </c>
      <c r="E319" t="s">
        <v>62</v>
      </c>
      <c r="F319">
        <v>9</v>
      </c>
      <c r="G319" t="s">
        <v>81</v>
      </c>
      <c r="H319" t="s">
        <v>80</v>
      </c>
      <c r="I319" t="s">
        <v>79</v>
      </c>
      <c r="J319" t="s">
        <v>39</v>
      </c>
      <c r="K319" t="s">
        <v>40</v>
      </c>
      <c r="L319">
        <v>0</v>
      </c>
      <c r="M319">
        <v>0</v>
      </c>
      <c r="N319">
        <v>33</v>
      </c>
      <c r="O319" t="s">
        <v>41</v>
      </c>
      <c r="P319" t="s">
        <v>42</v>
      </c>
      <c r="Q319">
        <f>IF(Tabela3[[#This Row],[Income]]="&lt;=50K",Tabela3[[#This Row],[Age]],NA())</f>
        <v>71</v>
      </c>
      <c r="R319">
        <f>IF(Tabela3[[#This Row],[Income]]="&lt;=50K",Tabela3[[#This Row],[education-num]],NA())</f>
        <v>9</v>
      </c>
      <c r="S319" t="e">
        <f>IF(Tabela3[[#This Row],[Income]]="&gt;50K",Tabela3[[#This Row],[Age]],NA())</f>
        <v>#N/A</v>
      </c>
      <c r="T319" t="e">
        <f>IF(Tabela3[[#This Row],[Income]]="&gt;50K",Tabela3[[#This Row],[education-num]],NA())</f>
        <v>#N/A</v>
      </c>
    </row>
    <row r="320" spans="1:20">
      <c r="A320">
        <v>319</v>
      </c>
      <c r="B320">
        <v>53</v>
      </c>
      <c r="C320" t="s">
        <v>34</v>
      </c>
      <c r="D320">
        <v>260106</v>
      </c>
      <c r="E320" t="s">
        <v>62</v>
      </c>
      <c r="F320">
        <v>9</v>
      </c>
      <c r="G320" t="s">
        <v>81</v>
      </c>
      <c r="H320" t="s">
        <v>44</v>
      </c>
      <c r="I320" t="s">
        <v>45</v>
      </c>
      <c r="J320" t="s">
        <v>39</v>
      </c>
      <c r="K320" t="s">
        <v>40</v>
      </c>
      <c r="L320">
        <v>0</v>
      </c>
      <c r="M320">
        <v>0</v>
      </c>
      <c r="N320">
        <v>30</v>
      </c>
      <c r="O320" t="s">
        <v>41</v>
      </c>
      <c r="P320" t="s">
        <v>42</v>
      </c>
      <c r="Q320">
        <f>IF(Tabela3[[#This Row],[Income]]="&lt;=50K",Tabela3[[#This Row],[Age]],NA())</f>
        <v>53</v>
      </c>
      <c r="R320">
        <f>IF(Tabela3[[#This Row],[Income]]="&lt;=50K",Tabela3[[#This Row],[education-num]],NA())</f>
        <v>9</v>
      </c>
      <c r="S320" t="e">
        <f>IF(Tabela3[[#This Row],[Income]]="&gt;50K",Tabela3[[#This Row],[Age]],NA())</f>
        <v>#N/A</v>
      </c>
      <c r="T320" t="e">
        <f>IF(Tabela3[[#This Row],[Income]]="&gt;50K",Tabela3[[#This Row],[education-num]],NA())</f>
        <v>#N/A</v>
      </c>
    </row>
    <row r="321" spans="1:20">
      <c r="A321">
        <v>320</v>
      </c>
      <c r="B321">
        <v>23</v>
      </c>
      <c r="C321" t="s">
        <v>34</v>
      </c>
      <c r="D321">
        <v>51985</v>
      </c>
      <c r="E321" t="s">
        <v>62</v>
      </c>
      <c r="F321">
        <v>9</v>
      </c>
      <c r="G321" t="s">
        <v>36</v>
      </c>
      <c r="H321" t="s">
        <v>72</v>
      </c>
      <c r="I321" t="s">
        <v>45</v>
      </c>
      <c r="J321" t="s">
        <v>39</v>
      </c>
      <c r="K321" t="s">
        <v>52</v>
      </c>
      <c r="L321">
        <v>0</v>
      </c>
      <c r="M321">
        <v>0</v>
      </c>
      <c r="N321">
        <v>38</v>
      </c>
      <c r="O321" t="s">
        <v>41</v>
      </c>
      <c r="P321" t="s">
        <v>42</v>
      </c>
      <c r="Q321">
        <f>IF(Tabela3[[#This Row],[Income]]="&lt;=50K",Tabela3[[#This Row],[Age]],NA())</f>
        <v>23</v>
      </c>
      <c r="R321">
        <f>IF(Tabela3[[#This Row],[Income]]="&lt;=50K",Tabela3[[#This Row],[education-num]],NA())</f>
        <v>9</v>
      </c>
      <c r="S321" t="e">
        <f>IF(Tabela3[[#This Row],[Income]]="&gt;50K",Tabela3[[#This Row],[Age]],NA())</f>
        <v>#N/A</v>
      </c>
      <c r="T321" t="e">
        <f>IF(Tabela3[[#This Row],[Income]]="&gt;50K",Tabela3[[#This Row],[education-num]],NA())</f>
        <v>#N/A</v>
      </c>
    </row>
    <row r="322" spans="1:20">
      <c r="A322">
        <v>321</v>
      </c>
      <c r="B322">
        <v>45</v>
      </c>
      <c r="C322" t="s">
        <v>54</v>
      </c>
      <c r="D322">
        <v>166181</v>
      </c>
      <c r="E322" t="s">
        <v>62</v>
      </c>
      <c r="F322">
        <v>9</v>
      </c>
      <c r="G322" t="s">
        <v>49</v>
      </c>
      <c r="H322" t="s">
        <v>37</v>
      </c>
      <c r="I322" t="s">
        <v>38</v>
      </c>
      <c r="J322" t="s">
        <v>57</v>
      </c>
      <c r="K322" t="s">
        <v>40</v>
      </c>
      <c r="L322">
        <v>0</v>
      </c>
      <c r="M322">
        <v>0</v>
      </c>
      <c r="N322">
        <v>40</v>
      </c>
      <c r="O322" t="s">
        <v>41</v>
      </c>
      <c r="P322" t="s">
        <v>42</v>
      </c>
      <c r="Q322">
        <f>IF(Tabela3[[#This Row],[Income]]="&lt;=50K",Tabela3[[#This Row],[Age]],NA())</f>
        <v>45</v>
      </c>
      <c r="R322">
        <f>IF(Tabela3[[#This Row],[Income]]="&lt;=50K",Tabela3[[#This Row],[education-num]],NA())</f>
        <v>9</v>
      </c>
      <c r="S322" t="e">
        <f>IF(Tabela3[[#This Row],[Income]]="&gt;50K",Tabela3[[#This Row],[Age]],NA())</f>
        <v>#N/A</v>
      </c>
      <c r="T322" t="e">
        <f>IF(Tabela3[[#This Row],[Income]]="&gt;50K",Tabela3[[#This Row],[education-num]],NA())</f>
        <v>#N/A</v>
      </c>
    </row>
    <row r="323" spans="1:20">
      <c r="A323">
        <v>322</v>
      </c>
      <c r="B323">
        <v>19</v>
      </c>
      <c r="C323" t="s">
        <v>71</v>
      </c>
      <c r="D323">
        <v>131982</v>
      </c>
      <c r="E323" t="s">
        <v>46</v>
      </c>
      <c r="F323">
        <v>10</v>
      </c>
      <c r="G323" t="s">
        <v>36</v>
      </c>
      <c r="H323" t="s">
        <v>71</v>
      </c>
      <c r="I323" t="s">
        <v>38</v>
      </c>
      <c r="J323" t="s">
        <v>39</v>
      </c>
      <c r="K323" t="s">
        <v>52</v>
      </c>
      <c r="L323">
        <v>0</v>
      </c>
      <c r="M323">
        <v>0</v>
      </c>
      <c r="N323">
        <v>40</v>
      </c>
      <c r="O323" t="s">
        <v>41</v>
      </c>
      <c r="P323" t="s">
        <v>42</v>
      </c>
      <c r="Q323">
        <f>IF(Tabela3[[#This Row],[Income]]="&lt;=50K",Tabela3[[#This Row],[Age]],NA())</f>
        <v>19</v>
      </c>
      <c r="R323">
        <f>IF(Tabela3[[#This Row],[Income]]="&lt;=50K",Tabela3[[#This Row],[education-num]],NA())</f>
        <v>10</v>
      </c>
      <c r="S323" t="e">
        <f>IF(Tabela3[[#This Row],[Income]]="&gt;50K",Tabela3[[#This Row],[Age]],NA())</f>
        <v>#N/A</v>
      </c>
      <c r="T323" t="e">
        <f>IF(Tabela3[[#This Row],[Income]]="&gt;50K",Tabela3[[#This Row],[education-num]],NA())</f>
        <v>#N/A</v>
      </c>
    </row>
    <row r="324" spans="1:20">
      <c r="A324">
        <v>323</v>
      </c>
      <c r="B324">
        <v>49</v>
      </c>
      <c r="C324" t="s">
        <v>75</v>
      </c>
      <c r="D324">
        <v>128990</v>
      </c>
      <c r="E324" t="s">
        <v>60</v>
      </c>
      <c r="F324">
        <v>13</v>
      </c>
      <c r="G324" t="s">
        <v>63</v>
      </c>
      <c r="H324" t="s">
        <v>61</v>
      </c>
      <c r="I324" t="s">
        <v>66</v>
      </c>
      <c r="J324" t="s">
        <v>39</v>
      </c>
      <c r="K324" t="s">
        <v>52</v>
      </c>
      <c r="L324">
        <v>0</v>
      </c>
      <c r="M324">
        <v>0</v>
      </c>
      <c r="N324">
        <v>40</v>
      </c>
      <c r="O324" t="s">
        <v>41</v>
      </c>
      <c r="P324" t="s">
        <v>53</v>
      </c>
      <c r="Q324" t="e">
        <f>IF(Tabela3[[#This Row],[Income]]="&lt;=50K",Tabela3[[#This Row],[Age]],NA())</f>
        <v>#N/A</v>
      </c>
      <c r="R324" t="e">
        <f>IF(Tabela3[[#This Row],[Income]]="&lt;=50K",Tabela3[[#This Row],[education-num]],NA())</f>
        <v>#N/A</v>
      </c>
      <c r="S324">
        <f>IF(Tabela3[[#This Row],[Income]]="&gt;50K",Tabela3[[#This Row],[Age]],NA())</f>
        <v>49</v>
      </c>
      <c r="T324">
        <f>IF(Tabela3[[#This Row],[Income]]="&gt;50K",Tabela3[[#This Row],[education-num]],NA())</f>
        <v>13</v>
      </c>
    </row>
    <row r="325" spans="1:20">
      <c r="A325">
        <v>324</v>
      </c>
      <c r="B325">
        <v>36</v>
      </c>
      <c r="C325" t="s">
        <v>54</v>
      </c>
      <c r="D325">
        <v>130620</v>
      </c>
      <c r="E325" t="s">
        <v>62</v>
      </c>
      <c r="F325">
        <v>9</v>
      </c>
      <c r="G325" t="s">
        <v>63</v>
      </c>
      <c r="H325" t="s">
        <v>67</v>
      </c>
      <c r="I325" t="s">
        <v>65</v>
      </c>
      <c r="J325" t="s">
        <v>70</v>
      </c>
      <c r="K325" t="s">
        <v>40</v>
      </c>
      <c r="L325">
        <v>0</v>
      </c>
      <c r="M325">
        <v>0</v>
      </c>
      <c r="N325">
        <v>40</v>
      </c>
      <c r="O325" t="s">
        <v>93</v>
      </c>
      <c r="P325" t="s">
        <v>53</v>
      </c>
      <c r="Q325" t="e">
        <f>IF(Tabela3[[#This Row],[Income]]="&lt;=50K",Tabela3[[#This Row],[Age]],NA())</f>
        <v>#N/A</v>
      </c>
      <c r="R325" t="e">
        <f>IF(Tabela3[[#This Row],[Income]]="&lt;=50K",Tabela3[[#This Row],[education-num]],NA())</f>
        <v>#N/A</v>
      </c>
      <c r="S325">
        <f>IF(Tabela3[[#This Row],[Income]]="&gt;50K",Tabela3[[#This Row],[Age]],NA())</f>
        <v>36</v>
      </c>
      <c r="T325">
        <f>IF(Tabela3[[#This Row],[Income]]="&gt;50K",Tabela3[[#This Row],[education-num]],NA())</f>
        <v>9</v>
      </c>
    </row>
    <row r="326" spans="1:20">
      <c r="A326">
        <v>325</v>
      </c>
      <c r="B326">
        <v>32</v>
      </c>
      <c r="C326" t="s">
        <v>34</v>
      </c>
      <c r="D326">
        <v>123291</v>
      </c>
      <c r="E326" t="s">
        <v>51</v>
      </c>
      <c r="F326">
        <v>8</v>
      </c>
      <c r="G326" t="s">
        <v>63</v>
      </c>
      <c r="H326" t="s">
        <v>56</v>
      </c>
      <c r="I326" t="s">
        <v>66</v>
      </c>
      <c r="J326" t="s">
        <v>39</v>
      </c>
      <c r="K326" t="s">
        <v>52</v>
      </c>
      <c r="L326">
        <v>0</v>
      </c>
      <c r="M326">
        <v>0</v>
      </c>
      <c r="N326">
        <v>40</v>
      </c>
      <c r="O326" t="s">
        <v>41</v>
      </c>
      <c r="P326" t="s">
        <v>42</v>
      </c>
      <c r="Q326">
        <f>IF(Tabela3[[#This Row],[Income]]="&lt;=50K",Tabela3[[#This Row],[Age]],NA())</f>
        <v>32</v>
      </c>
      <c r="R326">
        <f>IF(Tabela3[[#This Row],[Income]]="&lt;=50K",Tabela3[[#This Row],[education-num]],NA())</f>
        <v>8</v>
      </c>
      <c r="S326" t="e">
        <f>IF(Tabela3[[#This Row],[Income]]="&gt;50K",Tabela3[[#This Row],[Age]],NA())</f>
        <v>#N/A</v>
      </c>
      <c r="T326" t="e">
        <f>IF(Tabela3[[#This Row],[Income]]="&gt;50K",Tabela3[[#This Row],[education-num]],NA())</f>
        <v>#N/A</v>
      </c>
    </row>
    <row r="327" spans="1:20">
      <c r="A327">
        <v>326</v>
      </c>
      <c r="B327">
        <v>43</v>
      </c>
      <c r="C327" t="s">
        <v>34</v>
      </c>
      <c r="D327">
        <v>427382</v>
      </c>
      <c r="E327" t="s">
        <v>73</v>
      </c>
      <c r="F327">
        <v>14</v>
      </c>
      <c r="G327" t="s">
        <v>36</v>
      </c>
      <c r="H327" t="s">
        <v>61</v>
      </c>
      <c r="I327" t="s">
        <v>45</v>
      </c>
      <c r="J327" t="s">
        <v>39</v>
      </c>
      <c r="K327" t="s">
        <v>52</v>
      </c>
      <c r="L327">
        <v>0</v>
      </c>
      <c r="M327">
        <v>0</v>
      </c>
      <c r="N327">
        <v>50</v>
      </c>
      <c r="O327" t="s">
        <v>41</v>
      </c>
      <c r="P327" t="s">
        <v>53</v>
      </c>
      <c r="Q327" t="e">
        <f>IF(Tabela3[[#This Row],[Income]]="&lt;=50K",Tabela3[[#This Row],[Age]],NA())</f>
        <v>#N/A</v>
      </c>
      <c r="R327" t="e">
        <f>IF(Tabela3[[#This Row],[Income]]="&lt;=50K",Tabela3[[#This Row],[education-num]],NA())</f>
        <v>#N/A</v>
      </c>
      <c r="S327">
        <f>IF(Tabela3[[#This Row],[Income]]="&gt;50K",Tabela3[[#This Row],[Age]],NA())</f>
        <v>43</v>
      </c>
      <c r="T327">
        <f>IF(Tabela3[[#This Row],[Income]]="&gt;50K",Tabela3[[#This Row],[education-num]],NA())</f>
        <v>14</v>
      </c>
    </row>
    <row r="328" spans="1:20">
      <c r="A328">
        <v>327</v>
      </c>
      <c r="B328">
        <v>23</v>
      </c>
      <c r="C328" t="s">
        <v>34</v>
      </c>
      <c r="D328">
        <v>198996</v>
      </c>
      <c r="E328" t="s">
        <v>62</v>
      </c>
      <c r="F328">
        <v>9</v>
      </c>
      <c r="G328" t="s">
        <v>36</v>
      </c>
      <c r="H328" t="s">
        <v>67</v>
      </c>
      <c r="I328" t="s">
        <v>45</v>
      </c>
      <c r="J328" t="s">
        <v>39</v>
      </c>
      <c r="K328" t="s">
        <v>40</v>
      </c>
      <c r="L328">
        <v>0</v>
      </c>
      <c r="M328">
        <v>0</v>
      </c>
      <c r="N328">
        <v>40</v>
      </c>
      <c r="O328" t="s">
        <v>41</v>
      </c>
      <c r="P328" t="s">
        <v>42</v>
      </c>
      <c r="Q328">
        <f>IF(Tabela3[[#This Row],[Income]]="&lt;=50K",Tabela3[[#This Row],[Age]],NA())</f>
        <v>23</v>
      </c>
      <c r="R328">
        <f>IF(Tabela3[[#This Row],[Income]]="&lt;=50K",Tabela3[[#This Row],[education-num]],NA())</f>
        <v>9</v>
      </c>
      <c r="S328" t="e">
        <f>IF(Tabela3[[#This Row],[Income]]="&gt;50K",Tabela3[[#This Row],[Age]],NA())</f>
        <v>#N/A</v>
      </c>
      <c r="T328" t="e">
        <f>IF(Tabela3[[#This Row],[Income]]="&gt;50K",Tabela3[[#This Row],[education-num]],NA())</f>
        <v>#N/A</v>
      </c>
    </row>
    <row r="329" spans="1:20">
      <c r="A329">
        <v>328</v>
      </c>
      <c r="B329">
        <v>32</v>
      </c>
      <c r="C329" t="s">
        <v>34</v>
      </c>
      <c r="D329">
        <v>207668</v>
      </c>
      <c r="E329" t="s">
        <v>62</v>
      </c>
      <c r="F329">
        <v>9</v>
      </c>
      <c r="G329" t="s">
        <v>63</v>
      </c>
      <c r="H329" t="s">
        <v>50</v>
      </c>
      <c r="I329" t="s">
        <v>66</v>
      </c>
      <c r="J329" t="s">
        <v>39</v>
      </c>
      <c r="K329" t="s">
        <v>52</v>
      </c>
      <c r="L329">
        <v>0</v>
      </c>
      <c r="M329">
        <v>0</v>
      </c>
      <c r="N329">
        <v>50</v>
      </c>
      <c r="O329" t="s">
        <v>41</v>
      </c>
      <c r="P329" t="s">
        <v>42</v>
      </c>
      <c r="Q329">
        <f>IF(Tabela3[[#This Row],[Income]]="&lt;=50K",Tabela3[[#This Row],[Age]],NA())</f>
        <v>32</v>
      </c>
      <c r="R329">
        <f>IF(Tabela3[[#This Row],[Income]]="&lt;=50K",Tabela3[[#This Row],[education-num]],NA())</f>
        <v>9</v>
      </c>
      <c r="S329" t="e">
        <f>IF(Tabela3[[#This Row],[Income]]="&gt;50K",Tabela3[[#This Row],[Age]],NA())</f>
        <v>#N/A</v>
      </c>
      <c r="T329" t="e">
        <f>IF(Tabela3[[#This Row],[Income]]="&gt;50K",Tabela3[[#This Row],[education-num]],NA())</f>
        <v>#N/A</v>
      </c>
    </row>
    <row r="330" spans="1:20">
      <c r="A330">
        <v>329</v>
      </c>
      <c r="B330">
        <v>35</v>
      </c>
      <c r="C330" t="s">
        <v>34</v>
      </c>
      <c r="D330">
        <v>170092</v>
      </c>
      <c r="E330" t="s">
        <v>62</v>
      </c>
      <c r="F330">
        <v>9</v>
      </c>
      <c r="G330" t="s">
        <v>90</v>
      </c>
      <c r="H330" t="s">
        <v>37</v>
      </c>
      <c r="I330" t="s">
        <v>69</v>
      </c>
      <c r="J330" t="s">
        <v>57</v>
      </c>
      <c r="K330" t="s">
        <v>40</v>
      </c>
      <c r="L330">
        <v>0</v>
      </c>
      <c r="M330">
        <v>0</v>
      </c>
      <c r="N330">
        <v>20</v>
      </c>
      <c r="O330" t="s">
        <v>41</v>
      </c>
      <c r="P330" t="s">
        <v>42</v>
      </c>
      <c r="Q330">
        <f>IF(Tabela3[[#This Row],[Income]]="&lt;=50K",Tabela3[[#This Row],[Age]],NA())</f>
        <v>35</v>
      </c>
      <c r="R330">
        <f>IF(Tabela3[[#This Row],[Income]]="&lt;=50K",Tabela3[[#This Row],[education-num]],NA())</f>
        <v>9</v>
      </c>
      <c r="S330" t="e">
        <f>IF(Tabela3[[#This Row],[Income]]="&gt;50K",Tabela3[[#This Row],[Age]],NA())</f>
        <v>#N/A</v>
      </c>
      <c r="T330" t="e">
        <f>IF(Tabela3[[#This Row],[Income]]="&gt;50K",Tabela3[[#This Row],[education-num]],NA())</f>
        <v>#N/A</v>
      </c>
    </row>
    <row r="331" spans="1:20">
      <c r="A331">
        <v>330</v>
      </c>
      <c r="B331">
        <v>30</v>
      </c>
      <c r="C331" t="s">
        <v>34</v>
      </c>
      <c r="D331">
        <v>114691</v>
      </c>
      <c r="E331" t="s">
        <v>62</v>
      </c>
      <c r="F331">
        <v>9</v>
      </c>
      <c r="G331" t="s">
        <v>36</v>
      </c>
      <c r="H331" t="s">
        <v>58</v>
      </c>
      <c r="I331" t="s">
        <v>38</v>
      </c>
      <c r="J331" t="s">
        <v>39</v>
      </c>
      <c r="K331" t="s">
        <v>52</v>
      </c>
      <c r="L331">
        <v>0</v>
      </c>
      <c r="M331">
        <v>0</v>
      </c>
      <c r="N331">
        <v>40</v>
      </c>
      <c r="O331" t="s">
        <v>41</v>
      </c>
      <c r="P331" t="s">
        <v>42</v>
      </c>
      <c r="Q331">
        <f>IF(Tabela3[[#This Row],[Income]]="&lt;=50K",Tabela3[[#This Row],[Age]],NA())</f>
        <v>30</v>
      </c>
      <c r="R331">
        <f>IF(Tabela3[[#This Row],[Income]]="&lt;=50K",Tabela3[[#This Row],[education-num]],NA())</f>
        <v>9</v>
      </c>
      <c r="S331" t="e">
        <f>IF(Tabela3[[#This Row],[Income]]="&gt;50K",Tabela3[[#This Row],[Age]],NA())</f>
        <v>#N/A</v>
      </c>
      <c r="T331" t="e">
        <f>IF(Tabela3[[#This Row],[Income]]="&gt;50K",Tabela3[[#This Row],[education-num]],NA())</f>
        <v>#N/A</v>
      </c>
    </row>
    <row r="332" spans="1:20">
      <c r="A332">
        <v>331</v>
      </c>
      <c r="B332">
        <v>59</v>
      </c>
      <c r="C332" t="s">
        <v>34</v>
      </c>
      <c r="D332">
        <v>307423</v>
      </c>
      <c r="E332" t="s">
        <v>98</v>
      </c>
      <c r="F332">
        <v>5</v>
      </c>
      <c r="G332" t="s">
        <v>36</v>
      </c>
      <c r="H332" t="s">
        <v>37</v>
      </c>
      <c r="I332" t="s">
        <v>45</v>
      </c>
      <c r="J332" t="s">
        <v>57</v>
      </c>
      <c r="K332" t="s">
        <v>52</v>
      </c>
      <c r="L332">
        <v>0</v>
      </c>
      <c r="M332">
        <v>0</v>
      </c>
      <c r="N332">
        <v>50</v>
      </c>
      <c r="O332" t="s">
        <v>41</v>
      </c>
      <c r="P332" t="s">
        <v>42</v>
      </c>
      <c r="Q332">
        <f>IF(Tabela3[[#This Row],[Income]]="&lt;=50K",Tabela3[[#This Row],[Age]],NA())</f>
        <v>59</v>
      </c>
      <c r="R332">
        <f>IF(Tabela3[[#This Row],[Income]]="&lt;=50K",Tabela3[[#This Row],[education-num]],NA())</f>
        <v>5</v>
      </c>
      <c r="S332" t="e">
        <f>IF(Tabela3[[#This Row],[Income]]="&gt;50K",Tabela3[[#This Row],[Age]],NA())</f>
        <v>#N/A</v>
      </c>
      <c r="T332" t="e">
        <f>IF(Tabela3[[#This Row],[Income]]="&gt;50K",Tabela3[[#This Row],[education-num]],NA())</f>
        <v>#N/A</v>
      </c>
    </row>
    <row r="333" spans="1:20">
      <c r="A333">
        <v>332</v>
      </c>
      <c r="B333">
        <v>37</v>
      </c>
      <c r="C333" t="s">
        <v>34</v>
      </c>
      <c r="D333">
        <v>103323</v>
      </c>
      <c r="E333" t="s">
        <v>43</v>
      </c>
      <c r="F333">
        <v>12</v>
      </c>
      <c r="G333" t="s">
        <v>63</v>
      </c>
      <c r="H333" t="s">
        <v>44</v>
      </c>
      <c r="I333" t="s">
        <v>66</v>
      </c>
      <c r="J333" t="s">
        <v>39</v>
      </c>
      <c r="K333" t="s">
        <v>52</v>
      </c>
      <c r="L333">
        <v>0</v>
      </c>
      <c r="M333">
        <v>0</v>
      </c>
      <c r="N333">
        <v>40</v>
      </c>
      <c r="O333" t="s">
        <v>41</v>
      </c>
      <c r="P333" t="s">
        <v>42</v>
      </c>
      <c r="Q333">
        <f>IF(Tabela3[[#This Row],[Income]]="&lt;=50K",Tabela3[[#This Row],[Age]],NA())</f>
        <v>37</v>
      </c>
      <c r="R333">
        <f>IF(Tabela3[[#This Row],[Income]]="&lt;=50K",Tabela3[[#This Row],[education-num]],NA())</f>
        <v>12</v>
      </c>
      <c r="S333" t="e">
        <f>IF(Tabela3[[#This Row],[Income]]="&gt;50K",Tabela3[[#This Row],[Age]],NA())</f>
        <v>#N/A</v>
      </c>
      <c r="T333" t="e">
        <f>IF(Tabela3[[#This Row],[Income]]="&gt;50K",Tabela3[[#This Row],[education-num]],NA())</f>
        <v>#N/A</v>
      </c>
    </row>
    <row r="334" spans="1:20">
      <c r="A334">
        <v>333</v>
      </c>
      <c r="B334">
        <v>36</v>
      </c>
      <c r="C334" t="s">
        <v>34</v>
      </c>
      <c r="D334">
        <v>162651</v>
      </c>
      <c r="E334" t="s">
        <v>62</v>
      </c>
      <c r="F334">
        <v>9</v>
      </c>
      <c r="G334" t="s">
        <v>55</v>
      </c>
      <c r="H334" t="s">
        <v>67</v>
      </c>
      <c r="I334" t="s">
        <v>45</v>
      </c>
      <c r="J334" t="s">
        <v>39</v>
      </c>
      <c r="K334" t="s">
        <v>52</v>
      </c>
      <c r="L334">
        <v>0</v>
      </c>
      <c r="M334">
        <v>0</v>
      </c>
      <c r="N334">
        <v>40</v>
      </c>
      <c r="O334" t="s">
        <v>95</v>
      </c>
      <c r="P334" t="s">
        <v>42</v>
      </c>
      <c r="Q334">
        <f>IF(Tabela3[[#This Row],[Income]]="&lt;=50K",Tabela3[[#This Row],[Age]],NA())</f>
        <v>36</v>
      </c>
      <c r="R334">
        <f>IF(Tabela3[[#This Row],[Income]]="&lt;=50K",Tabela3[[#This Row],[education-num]],NA())</f>
        <v>9</v>
      </c>
      <c r="S334" t="e">
        <f>IF(Tabela3[[#This Row],[Income]]="&gt;50K",Tabela3[[#This Row],[Age]],NA())</f>
        <v>#N/A</v>
      </c>
      <c r="T334" t="e">
        <f>IF(Tabela3[[#This Row],[Income]]="&gt;50K",Tabela3[[#This Row],[education-num]],NA())</f>
        <v>#N/A</v>
      </c>
    </row>
    <row r="335" spans="1:20">
      <c r="A335">
        <v>334</v>
      </c>
      <c r="B335">
        <v>34</v>
      </c>
      <c r="C335" t="s">
        <v>71</v>
      </c>
      <c r="D335">
        <v>205256</v>
      </c>
      <c r="E335" t="s">
        <v>62</v>
      </c>
      <c r="F335">
        <v>9</v>
      </c>
      <c r="G335" t="s">
        <v>63</v>
      </c>
      <c r="H335" t="s">
        <v>71</v>
      </c>
      <c r="I335" t="s">
        <v>66</v>
      </c>
      <c r="J335" t="s">
        <v>39</v>
      </c>
      <c r="K335" t="s">
        <v>52</v>
      </c>
      <c r="L335">
        <v>2885</v>
      </c>
      <c r="M335">
        <v>0</v>
      </c>
      <c r="N335">
        <v>80</v>
      </c>
      <c r="O335" t="s">
        <v>41</v>
      </c>
      <c r="P335" t="s">
        <v>42</v>
      </c>
      <c r="Q335">
        <f>IF(Tabela3[[#This Row],[Income]]="&lt;=50K",Tabela3[[#This Row],[Age]],NA())</f>
        <v>34</v>
      </c>
      <c r="R335">
        <f>IF(Tabela3[[#This Row],[Income]]="&lt;=50K",Tabela3[[#This Row],[education-num]],NA())</f>
        <v>9</v>
      </c>
      <c r="S335" t="e">
        <f>IF(Tabela3[[#This Row],[Income]]="&gt;50K",Tabela3[[#This Row],[Age]],NA())</f>
        <v>#N/A</v>
      </c>
      <c r="T335" t="e">
        <f>IF(Tabela3[[#This Row],[Income]]="&gt;50K",Tabela3[[#This Row],[education-num]],NA())</f>
        <v>#N/A</v>
      </c>
    </row>
    <row r="336" spans="1:20">
      <c r="A336">
        <v>335</v>
      </c>
      <c r="B336">
        <v>25</v>
      </c>
      <c r="C336" t="s">
        <v>34</v>
      </c>
      <c r="D336">
        <v>148300</v>
      </c>
      <c r="E336" t="s">
        <v>60</v>
      </c>
      <c r="F336">
        <v>13</v>
      </c>
      <c r="G336" t="s">
        <v>36</v>
      </c>
      <c r="H336" t="s">
        <v>61</v>
      </c>
      <c r="I336" t="s">
        <v>38</v>
      </c>
      <c r="J336" t="s">
        <v>39</v>
      </c>
      <c r="K336" t="s">
        <v>40</v>
      </c>
      <c r="L336">
        <v>0</v>
      </c>
      <c r="M336">
        <v>0</v>
      </c>
      <c r="N336">
        <v>15</v>
      </c>
      <c r="O336" t="s">
        <v>41</v>
      </c>
      <c r="P336" t="s">
        <v>42</v>
      </c>
      <c r="Q336">
        <f>IF(Tabela3[[#This Row],[Income]]="&lt;=50K",Tabela3[[#This Row],[Age]],NA())</f>
        <v>25</v>
      </c>
      <c r="R336">
        <f>IF(Tabela3[[#This Row],[Income]]="&lt;=50K",Tabela3[[#This Row],[education-num]],NA())</f>
        <v>13</v>
      </c>
      <c r="S336" t="e">
        <f>IF(Tabela3[[#This Row],[Income]]="&gt;50K",Tabela3[[#This Row],[Age]],NA())</f>
        <v>#N/A</v>
      </c>
      <c r="T336" t="e">
        <f>IF(Tabela3[[#This Row],[Income]]="&gt;50K",Tabela3[[#This Row],[education-num]],NA())</f>
        <v>#N/A</v>
      </c>
    </row>
    <row r="337" spans="1:20">
      <c r="A337">
        <v>336</v>
      </c>
      <c r="B337">
        <v>32</v>
      </c>
      <c r="C337" t="s">
        <v>34</v>
      </c>
      <c r="D337">
        <v>169589</v>
      </c>
      <c r="E337" t="s">
        <v>78</v>
      </c>
      <c r="F337">
        <v>11</v>
      </c>
      <c r="G337" t="s">
        <v>63</v>
      </c>
      <c r="H337" t="s">
        <v>68</v>
      </c>
      <c r="I337" t="s">
        <v>66</v>
      </c>
      <c r="J337" t="s">
        <v>39</v>
      </c>
      <c r="K337" t="s">
        <v>52</v>
      </c>
      <c r="L337">
        <v>0</v>
      </c>
      <c r="M337">
        <v>0</v>
      </c>
      <c r="N337">
        <v>40</v>
      </c>
      <c r="O337" t="s">
        <v>41</v>
      </c>
      <c r="P337" t="s">
        <v>53</v>
      </c>
      <c r="Q337" t="e">
        <f>IF(Tabela3[[#This Row],[Income]]="&lt;=50K",Tabela3[[#This Row],[Age]],NA())</f>
        <v>#N/A</v>
      </c>
      <c r="R337" t="e">
        <f>IF(Tabela3[[#This Row],[Income]]="&lt;=50K",Tabela3[[#This Row],[education-num]],NA())</f>
        <v>#N/A</v>
      </c>
      <c r="S337">
        <f>IF(Tabela3[[#This Row],[Income]]="&gt;50K",Tabela3[[#This Row],[Age]],NA())</f>
        <v>32</v>
      </c>
      <c r="T337">
        <f>IF(Tabela3[[#This Row],[Income]]="&gt;50K",Tabela3[[#This Row],[education-num]],NA())</f>
        <v>11</v>
      </c>
    </row>
    <row r="338" spans="1:20">
      <c r="A338">
        <v>337</v>
      </c>
      <c r="B338">
        <v>43</v>
      </c>
      <c r="C338" t="s">
        <v>34</v>
      </c>
      <c r="D338">
        <v>145441</v>
      </c>
      <c r="E338" t="s">
        <v>60</v>
      </c>
      <c r="F338">
        <v>13</v>
      </c>
      <c r="G338" t="s">
        <v>63</v>
      </c>
      <c r="H338" t="s">
        <v>80</v>
      </c>
      <c r="I338" t="s">
        <v>66</v>
      </c>
      <c r="J338" t="s">
        <v>39</v>
      </c>
      <c r="K338" t="s">
        <v>52</v>
      </c>
      <c r="L338">
        <v>0</v>
      </c>
      <c r="M338">
        <v>0</v>
      </c>
      <c r="N338">
        <v>38</v>
      </c>
      <c r="O338" t="s">
        <v>41</v>
      </c>
      <c r="P338" t="s">
        <v>53</v>
      </c>
      <c r="Q338" t="e">
        <f>IF(Tabela3[[#This Row],[Income]]="&lt;=50K",Tabela3[[#This Row],[Age]],NA())</f>
        <v>#N/A</v>
      </c>
      <c r="R338" t="e">
        <f>IF(Tabela3[[#This Row],[Income]]="&lt;=50K",Tabela3[[#This Row],[education-num]],NA())</f>
        <v>#N/A</v>
      </c>
      <c r="S338">
        <f>IF(Tabela3[[#This Row],[Income]]="&gt;50K",Tabela3[[#This Row],[Age]],NA())</f>
        <v>43</v>
      </c>
      <c r="T338">
        <f>IF(Tabela3[[#This Row],[Income]]="&gt;50K",Tabela3[[#This Row],[education-num]],NA())</f>
        <v>13</v>
      </c>
    </row>
    <row r="339" spans="1:20">
      <c r="A339">
        <v>338</v>
      </c>
      <c r="B339">
        <v>58</v>
      </c>
      <c r="C339" t="s">
        <v>34</v>
      </c>
      <c r="D339">
        <v>238438</v>
      </c>
      <c r="E339" t="s">
        <v>46</v>
      </c>
      <c r="F339">
        <v>10</v>
      </c>
      <c r="G339" t="s">
        <v>63</v>
      </c>
      <c r="H339" t="s">
        <v>61</v>
      </c>
      <c r="I339" t="s">
        <v>66</v>
      </c>
      <c r="J339" t="s">
        <v>39</v>
      </c>
      <c r="K339" t="s">
        <v>52</v>
      </c>
      <c r="L339">
        <v>0</v>
      </c>
      <c r="M339">
        <v>0</v>
      </c>
      <c r="N339">
        <v>42</v>
      </c>
      <c r="O339" t="s">
        <v>41</v>
      </c>
      <c r="P339" t="s">
        <v>42</v>
      </c>
      <c r="Q339">
        <f>IF(Tabela3[[#This Row],[Income]]="&lt;=50K",Tabela3[[#This Row],[Age]],NA())</f>
        <v>58</v>
      </c>
      <c r="R339">
        <f>IF(Tabela3[[#This Row],[Income]]="&lt;=50K",Tabela3[[#This Row],[education-num]],NA())</f>
        <v>10</v>
      </c>
      <c r="S339" t="e">
        <f>IF(Tabela3[[#This Row],[Income]]="&gt;50K",Tabela3[[#This Row],[Age]],NA())</f>
        <v>#N/A</v>
      </c>
      <c r="T339" t="e">
        <f>IF(Tabela3[[#This Row],[Income]]="&gt;50K",Tabela3[[#This Row],[education-num]],NA())</f>
        <v>#N/A</v>
      </c>
    </row>
    <row r="340" spans="1:20">
      <c r="A340">
        <v>339</v>
      </c>
      <c r="B340">
        <v>23</v>
      </c>
      <c r="C340" t="s">
        <v>34</v>
      </c>
      <c r="D340">
        <v>170070</v>
      </c>
      <c r="E340" t="s">
        <v>51</v>
      </c>
      <c r="F340">
        <v>8</v>
      </c>
      <c r="G340" t="s">
        <v>36</v>
      </c>
      <c r="H340" t="s">
        <v>37</v>
      </c>
      <c r="I340" t="s">
        <v>45</v>
      </c>
      <c r="J340" t="s">
        <v>39</v>
      </c>
      <c r="K340" t="s">
        <v>40</v>
      </c>
      <c r="L340">
        <v>0</v>
      </c>
      <c r="M340">
        <v>0</v>
      </c>
      <c r="N340">
        <v>38</v>
      </c>
      <c r="O340" t="s">
        <v>41</v>
      </c>
      <c r="P340" t="s">
        <v>42</v>
      </c>
      <c r="Q340">
        <f>IF(Tabela3[[#This Row],[Income]]="&lt;=50K",Tabela3[[#This Row],[Age]],NA())</f>
        <v>23</v>
      </c>
      <c r="R340">
        <f>IF(Tabela3[[#This Row],[Income]]="&lt;=50K",Tabela3[[#This Row],[education-num]],NA())</f>
        <v>8</v>
      </c>
      <c r="S340" t="e">
        <f>IF(Tabela3[[#This Row],[Income]]="&gt;50K",Tabela3[[#This Row],[Age]],NA())</f>
        <v>#N/A</v>
      </c>
      <c r="T340" t="e">
        <f>IF(Tabela3[[#This Row],[Income]]="&gt;50K",Tabela3[[#This Row],[education-num]],NA())</f>
        <v>#N/A</v>
      </c>
    </row>
    <row r="341" spans="1:20">
      <c r="A341">
        <v>340</v>
      </c>
      <c r="B341">
        <v>25</v>
      </c>
      <c r="C341" t="s">
        <v>34</v>
      </c>
      <c r="D341">
        <v>207875</v>
      </c>
      <c r="E341" t="s">
        <v>91</v>
      </c>
      <c r="F341">
        <v>4</v>
      </c>
      <c r="G341" t="s">
        <v>63</v>
      </c>
      <c r="H341" t="s">
        <v>68</v>
      </c>
      <c r="I341" t="s">
        <v>66</v>
      </c>
      <c r="J341" t="s">
        <v>39</v>
      </c>
      <c r="K341" t="s">
        <v>52</v>
      </c>
      <c r="L341">
        <v>0</v>
      </c>
      <c r="M341">
        <v>0</v>
      </c>
      <c r="N341">
        <v>40</v>
      </c>
      <c r="O341" t="s">
        <v>88</v>
      </c>
      <c r="P341" t="s">
        <v>42</v>
      </c>
      <c r="Q341">
        <f>IF(Tabela3[[#This Row],[Income]]="&lt;=50K",Tabela3[[#This Row],[Age]],NA())</f>
        <v>25</v>
      </c>
      <c r="R341">
        <f>IF(Tabela3[[#This Row],[Income]]="&lt;=50K",Tabela3[[#This Row],[education-num]],NA())</f>
        <v>4</v>
      </c>
      <c r="S341" t="e">
        <f>IF(Tabela3[[#This Row],[Income]]="&gt;50K",Tabela3[[#This Row],[Age]],NA())</f>
        <v>#N/A</v>
      </c>
      <c r="T341" t="e">
        <f>IF(Tabela3[[#This Row],[Income]]="&gt;50K",Tabela3[[#This Row],[education-num]],NA())</f>
        <v>#N/A</v>
      </c>
    </row>
    <row r="342" spans="1:20">
      <c r="A342">
        <v>341</v>
      </c>
      <c r="B342">
        <v>28</v>
      </c>
      <c r="C342" t="s">
        <v>34</v>
      </c>
      <c r="D342">
        <v>137296</v>
      </c>
      <c r="E342" t="s">
        <v>43</v>
      </c>
      <c r="F342">
        <v>12</v>
      </c>
      <c r="G342" t="s">
        <v>36</v>
      </c>
      <c r="H342" t="s">
        <v>37</v>
      </c>
      <c r="I342" t="s">
        <v>45</v>
      </c>
      <c r="J342" t="s">
        <v>57</v>
      </c>
      <c r="K342" t="s">
        <v>40</v>
      </c>
      <c r="L342">
        <v>0</v>
      </c>
      <c r="M342">
        <v>0</v>
      </c>
      <c r="N342">
        <v>40</v>
      </c>
      <c r="O342" t="s">
        <v>41</v>
      </c>
      <c r="P342" t="s">
        <v>42</v>
      </c>
      <c r="Q342">
        <f>IF(Tabela3[[#This Row],[Income]]="&lt;=50K",Tabela3[[#This Row],[Age]],NA())</f>
        <v>28</v>
      </c>
      <c r="R342">
        <f>IF(Tabela3[[#This Row],[Income]]="&lt;=50K",Tabela3[[#This Row],[education-num]],NA())</f>
        <v>12</v>
      </c>
      <c r="S342" t="e">
        <f>IF(Tabela3[[#This Row],[Income]]="&gt;50K",Tabela3[[#This Row],[Age]],NA())</f>
        <v>#N/A</v>
      </c>
      <c r="T342" t="e">
        <f>IF(Tabela3[[#This Row],[Income]]="&gt;50K",Tabela3[[#This Row],[education-num]],NA())</f>
        <v>#N/A</v>
      </c>
    </row>
    <row r="343" spans="1:20">
      <c r="A343">
        <v>342</v>
      </c>
      <c r="B343">
        <v>34</v>
      </c>
      <c r="C343" t="s">
        <v>74</v>
      </c>
      <c r="D343">
        <v>319165</v>
      </c>
      <c r="E343" t="s">
        <v>97</v>
      </c>
      <c r="F343">
        <v>16</v>
      </c>
      <c r="G343" t="s">
        <v>63</v>
      </c>
      <c r="H343" t="s">
        <v>61</v>
      </c>
      <c r="I343" t="s">
        <v>66</v>
      </c>
      <c r="J343" t="s">
        <v>39</v>
      </c>
      <c r="K343" t="s">
        <v>52</v>
      </c>
      <c r="L343">
        <v>0</v>
      </c>
      <c r="M343">
        <v>0</v>
      </c>
      <c r="N343">
        <v>50</v>
      </c>
      <c r="O343" t="s">
        <v>41</v>
      </c>
      <c r="P343" t="s">
        <v>53</v>
      </c>
      <c r="Q343" t="e">
        <f>IF(Tabela3[[#This Row],[Income]]="&lt;=50K",Tabela3[[#This Row],[Age]],NA())</f>
        <v>#N/A</v>
      </c>
      <c r="R343" t="e">
        <f>IF(Tabela3[[#This Row],[Income]]="&lt;=50K",Tabela3[[#This Row],[education-num]],NA())</f>
        <v>#N/A</v>
      </c>
      <c r="S343">
        <f>IF(Tabela3[[#This Row],[Income]]="&gt;50K",Tabela3[[#This Row],[Age]],NA())</f>
        <v>34</v>
      </c>
      <c r="T343">
        <f>IF(Tabela3[[#This Row],[Income]]="&gt;50K",Tabela3[[#This Row],[education-num]],NA())</f>
        <v>16</v>
      </c>
    </row>
    <row r="344" spans="1:20">
      <c r="A344">
        <v>343</v>
      </c>
      <c r="B344">
        <v>44</v>
      </c>
      <c r="C344" t="s">
        <v>34</v>
      </c>
      <c r="D344">
        <v>128485</v>
      </c>
      <c r="E344" t="s">
        <v>78</v>
      </c>
      <c r="F344">
        <v>11</v>
      </c>
      <c r="G344" t="s">
        <v>63</v>
      </c>
      <c r="H344" t="s">
        <v>50</v>
      </c>
      <c r="I344" t="s">
        <v>66</v>
      </c>
      <c r="J344" t="s">
        <v>57</v>
      </c>
      <c r="K344" t="s">
        <v>52</v>
      </c>
      <c r="L344">
        <v>0</v>
      </c>
      <c r="M344">
        <v>0</v>
      </c>
      <c r="N344">
        <v>40</v>
      </c>
      <c r="O344" t="s">
        <v>41</v>
      </c>
      <c r="P344" t="s">
        <v>42</v>
      </c>
      <c r="Q344">
        <f>IF(Tabela3[[#This Row],[Income]]="&lt;=50K",Tabela3[[#This Row],[Age]],NA())</f>
        <v>44</v>
      </c>
      <c r="R344">
        <f>IF(Tabela3[[#This Row],[Income]]="&lt;=50K",Tabela3[[#This Row],[education-num]],NA())</f>
        <v>11</v>
      </c>
      <c r="S344" t="e">
        <f>IF(Tabela3[[#This Row],[Income]]="&gt;50K",Tabela3[[#This Row],[Age]],NA())</f>
        <v>#N/A</v>
      </c>
      <c r="T344" t="e">
        <f>IF(Tabela3[[#This Row],[Income]]="&gt;50K",Tabela3[[#This Row],[education-num]],NA())</f>
        <v>#N/A</v>
      </c>
    </row>
    <row r="345" spans="1:20">
      <c r="A345">
        <v>344</v>
      </c>
      <c r="B345">
        <v>22</v>
      </c>
      <c r="C345" t="s">
        <v>34</v>
      </c>
      <c r="D345">
        <v>204935</v>
      </c>
      <c r="E345" t="s">
        <v>62</v>
      </c>
      <c r="F345">
        <v>9</v>
      </c>
      <c r="G345" t="s">
        <v>36</v>
      </c>
      <c r="H345" t="s">
        <v>56</v>
      </c>
      <c r="I345" t="s">
        <v>38</v>
      </c>
      <c r="J345" t="s">
        <v>39</v>
      </c>
      <c r="K345" t="s">
        <v>52</v>
      </c>
      <c r="L345">
        <v>0</v>
      </c>
      <c r="M345">
        <v>0</v>
      </c>
      <c r="N345">
        <v>40</v>
      </c>
      <c r="O345" t="s">
        <v>41</v>
      </c>
      <c r="P345" t="s">
        <v>42</v>
      </c>
      <c r="Q345">
        <f>IF(Tabela3[[#This Row],[Income]]="&lt;=50K",Tabela3[[#This Row],[Age]],NA())</f>
        <v>22</v>
      </c>
      <c r="R345">
        <f>IF(Tabela3[[#This Row],[Income]]="&lt;=50K",Tabela3[[#This Row],[education-num]],NA())</f>
        <v>9</v>
      </c>
      <c r="S345" t="e">
        <f>IF(Tabela3[[#This Row],[Income]]="&gt;50K",Tabela3[[#This Row],[Age]],NA())</f>
        <v>#N/A</v>
      </c>
      <c r="T345" t="e">
        <f>IF(Tabela3[[#This Row],[Income]]="&gt;50K",Tabela3[[#This Row],[education-num]],NA())</f>
        <v>#N/A</v>
      </c>
    </row>
    <row r="346" spans="1:20">
      <c r="A346">
        <v>345</v>
      </c>
      <c r="B346">
        <v>25</v>
      </c>
      <c r="C346" t="s">
        <v>34</v>
      </c>
      <c r="D346">
        <v>441210</v>
      </c>
      <c r="E346" t="s">
        <v>62</v>
      </c>
      <c r="F346">
        <v>9</v>
      </c>
      <c r="G346" t="s">
        <v>36</v>
      </c>
      <c r="H346" t="s">
        <v>61</v>
      </c>
      <c r="I346" t="s">
        <v>38</v>
      </c>
      <c r="J346" t="s">
        <v>39</v>
      </c>
      <c r="K346" t="s">
        <v>52</v>
      </c>
      <c r="L346">
        <v>0</v>
      </c>
      <c r="M346">
        <v>0</v>
      </c>
      <c r="N346">
        <v>40</v>
      </c>
      <c r="O346" t="s">
        <v>41</v>
      </c>
      <c r="P346" t="s">
        <v>42</v>
      </c>
      <c r="Q346">
        <f>IF(Tabela3[[#This Row],[Income]]="&lt;=50K",Tabela3[[#This Row],[Age]],NA())</f>
        <v>25</v>
      </c>
      <c r="R346">
        <f>IF(Tabela3[[#This Row],[Income]]="&lt;=50K",Tabela3[[#This Row],[education-num]],NA())</f>
        <v>9</v>
      </c>
      <c r="S346" t="e">
        <f>IF(Tabela3[[#This Row],[Income]]="&gt;50K",Tabela3[[#This Row],[Age]],NA())</f>
        <v>#N/A</v>
      </c>
      <c r="T346" t="e">
        <f>IF(Tabela3[[#This Row],[Income]]="&gt;50K",Tabela3[[#This Row],[education-num]],NA())</f>
        <v>#N/A</v>
      </c>
    </row>
    <row r="347" spans="1:20">
      <c r="A347">
        <v>346</v>
      </c>
      <c r="B347">
        <v>52</v>
      </c>
      <c r="C347" t="s">
        <v>34</v>
      </c>
      <c r="D347">
        <v>137428</v>
      </c>
      <c r="E347" t="s">
        <v>62</v>
      </c>
      <c r="F347">
        <v>9</v>
      </c>
      <c r="G347" t="s">
        <v>49</v>
      </c>
      <c r="H347" t="s">
        <v>72</v>
      </c>
      <c r="I347" t="s">
        <v>45</v>
      </c>
      <c r="J347" t="s">
        <v>39</v>
      </c>
      <c r="K347" t="s">
        <v>52</v>
      </c>
      <c r="L347">
        <v>0</v>
      </c>
      <c r="M347">
        <v>0</v>
      </c>
      <c r="N347">
        <v>45</v>
      </c>
      <c r="O347" t="s">
        <v>41</v>
      </c>
      <c r="P347" t="s">
        <v>42</v>
      </c>
      <c r="Q347">
        <f>IF(Tabela3[[#This Row],[Income]]="&lt;=50K",Tabela3[[#This Row],[Age]],NA())</f>
        <v>52</v>
      </c>
      <c r="R347">
        <f>IF(Tabela3[[#This Row],[Income]]="&lt;=50K",Tabela3[[#This Row],[education-num]],NA())</f>
        <v>9</v>
      </c>
      <c r="S347" t="e">
        <f>IF(Tabela3[[#This Row],[Income]]="&gt;50K",Tabela3[[#This Row],[Age]],NA())</f>
        <v>#N/A</v>
      </c>
      <c r="T347" t="e">
        <f>IF(Tabela3[[#This Row],[Income]]="&gt;50K",Tabela3[[#This Row],[education-num]],NA())</f>
        <v>#N/A</v>
      </c>
    </row>
    <row r="348" spans="1:20">
      <c r="A348">
        <v>347</v>
      </c>
      <c r="B348">
        <v>32</v>
      </c>
      <c r="C348" t="s">
        <v>34</v>
      </c>
      <c r="D348">
        <v>286689</v>
      </c>
      <c r="E348" t="s">
        <v>43</v>
      </c>
      <c r="F348">
        <v>12</v>
      </c>
      <c r="G348" t="s">
        <v>63</v>
      </c>
      <c r="H348" t="s">
        <v>64</v>
      </c>
      <c r="I348" t="s">
        <v>66</v>
      </c>
      <c r="J348" t="s">
        <v>39</v>
      </c>
      <c r="K348" t="s">
        <v>52</v>
      </c>
      <c r="L348">
        <v>0</v>
      </c>
      <c r="M348">
        <v>0</v>
      </c>
      <c r="N348">
        <v>42</v>
      </c>
      <c r="O348" t="s">
        <v>41</v>
      </c>
      <c r="P348" t="s">
        <v>53</v>
      </c>
      <c r="Q348" t="e">
        <f>IF(Tabela3[[#This Row],[Income]]="&lt;=50K",Tabela3[[#This Row],[Age]],NA())</f>
        <v>#N/A</v>
      </c>
      <c r="R348" t="e">
        <f>IF(Tabela3[[#This Row],[Income]]="&lt;=50K",Tabela3[[#This Row],[education-num]],NA())</f>
        <v>#N/A</v>
      </c>
      <c r="S348">
        <f>IF(Tabela3[[#This Row],[Income]]="&gt;50K",Tabela3[[#This Row],[Age]],NA())</f>
        <v>32</v>
      </c>
      <c r="T348">
        <f>IF(Tabela3[[#This Row],[Income]]="&gt;50K",Tabela3[[#This Row],[education-num]],NA())</f>
        <v>12</v>
      </c>
    </row>
    <row r="349" spans="1:20">
      <c r="A349">
        <v>348</v>
      </c>
      <c r="B349">
        <v>41</v>
      </c>
      <c r="C349" t="s">
        <v>34</v>
      </c>
      <c r="D349">
        <v>244945</v>
      </c>
      <c r="E349" t="s">
        <v>46</v>
      </c>
      <c r="F349">
        <v>10</v>
      </c>
      <c r="G349" t="s">
        <v>63</v>
      </c>
      <c r="H349" t="s">
        <v>80</v>
      </c>
      <c r="I349" t="s">
        <v>66</v>
      </c>
      <c r="J349" t="s">
        <v>39</v>
      </c>
      <c r="K349" t="s">
        <v>52</v>
      </c>
      <c r="L349">
        <v>0</v>
      </c>
      <c r="M349">
        <v>0</v>
      </c>
      <c r="N349">
        <v>40</v>
      </c>
      <c r="O349" t="s">
        <v>41</v>
      </c>
      <c r="P349" t="s">
        <v>42</v>
      </c>
      <c r="Q349">
        <f>IF(Tabela3[[#This Row],[Income]]="&lt;=50K",Tabela3[[#This Row],[Age]],NA())</f>
        <v>41</v>
      </c>
      <c r="R349">
        <f>IF(Tabela3[[#This Row],[Income]]="&lt;=50K",Tabela3[[#This Row],[education-num]],NA())</f>
        <v>10</v>
      </c>
      <c r="S349" t="e">
        <f>IF(Tabela3[[#This Row],[Income]]="&gt;50K",Tabela3[[#This Row],[Age]],NA())</f>
        <v>#N/A</v>
      </c>
      <c r="T349" t="e">
        <f>IF(Tabela3[[#This Row],[Income]]="&gt;50K",Tabela3[[#This Row],[education-num]],NA())</f>
        <v>#N/A</v>
      </c>
    </row>
    <row r="350" spans="1:20">
      <c r="A350">
        <v>349</v>
      </c>
      <c r="B350">
        <v>18</v>
      </c>
      <c r="C350" t="s">
        <v>34</v>
      </c>
      <c r="D350">
        <v>92008</v>
      </c>
      <c r="E350" t="s">
        <v>62</v>
      </c>
      <c r="F350">
        <v>9</v>
      </c>
      <c r="G350" t="s">
        <v>36</v>
      </c>
      <c r="H350" t="s">
        <v>68</v>
      </c>
      <c r="I350" t="s">
        <v>79</v>
      </c>
      <c r="J350" t="s">
        <v>39</v>
      </c>
      <c r="K350" t="s">
        <v>40</v>
      </c>
      <c r="L350">
        <v>0</v>
      </c>
      <c r="M350">
        <v>0</v>
      </c>
      <c r="N350">
        <v>28</v>
      </c>
      <c r="O350" t="s">
        <v>41</v>
      </c>
      <c r="P350" t="s">
        <v>42</v>
      </c>
      <c r="Q350">
        <f>IF(Tabela3[[#This Row],[Income]]="&lt;=50K",Tabela3[[#This Row],[Age]],NA())</f>
        <v>18</v>
      </c>
      <c r="R350">
        <f>IF(Tabela3[[#This Row],[Income]]="&lt;=50K",Tabela3[[#This Row],[education-num]],NA())</f>
        <v>9</v>
      </c>
      <c r="S350" t="e">
        <f>IF(Tabela3[[#This Row],[Income]]="&gt;50K",Tabela3[[#This Row],[Age]],NA())</f>
        <v>#N/A</v>
      </c>
      <c r="T350" t="e">
        <f>IF(Tabela3[[#This Row],[Income]]="&gt;50K",Tabela3[[#This Row],[education-num]],NA())</f>
        <v>#N/A</v>
      </c>
    </row>
    <row r="351" spans="1:20">
      <c r="A351">
        <v>350</v>
      </c>
      <c r="B351">
        <v>37</v>
      </c>
      <c r="C351" t="s">
        <v>34</v>
      </c>
      <c r="D351">
        <v>334291</v>
      </c>
      <c r="E351" t="s">
        <v>60</v>
      </c>
      <c r="F351">
        <v>13</v>
      </c>
      <c r="G351" t="s">
        <v>36</v>
      </c>
      <c r="H351" t="s">
        <v>80</v>
      </c>
      <c r="I351" t="s">
        <v>45</v>
      </c>
      <c r="J351" t="s">
        <v>39</v>
      </c>
      <c r="K351" t="s">
        <v>52</v>
      </c>
      <c r="L351">
        <v>0</v>
      </c>
      <c r="M351">
        <v>0</v>
      </c>
      <c r="N351">
        <v>50</v>
      </c>
      <c r="O351" t="s">
        <v>41</v>
      </c>
      <c r="P351" t="s">
        <v>42</v>
      </c>
      <c r="Q351">
        <f>IF(Tabela3[[#This Row],[Income]]="&lt;=50K",Tabela3[[#This Row],[Age]],NA())</f>
        <v>37</v>
      </c>
      <c r="R351">
        <f>IF(Tabela3[[#This Row],[Income]]="&lt;=50K",Tabela3[[#This Row],[education-num]],NA())</f>
        <v>13</v>
      </c>
      <c r="S351" t="e">
        <f>IF(Tabela3[[#This Row],[Income]]="&gt;50K",Tabela3[[#This Row],[Age]],NA())</f>
        <v>#N/A</v>
      </c>
      <c r="T351" t="e">
        <f>IF(Tabela3[[#This Row],[Income]]="&gt;50K",Tabela3[[#This Row],[education-num]],NA())</f>
        <v>#N/A</v>
      </c>
    </row>
    <row r="352" spans="1:20">
      <c r="A352">
        <v>351</v>
      </c>
      <c r="B352">
        <v>41</v>
      </c>
      <c r="C352" t="s">
        <v>34</v>
      </c>
      <c r="D352">
        <v>279914</v>
      </c>
      <c r="E352" t="s">
        <v>46</v>
      </c>
      <c r="F352">
        <v>10</v>
      </c>
      <c r="G352" t="s">
        <v>63</v>
      </c>
      <c r="H352" t="s">
        <v>67</v>
      </c>
      <c r="I352" t="s">
        <v>66</v>
      </c>
      <c r="J352" t="s">
        <v>39</v>
      </c>
      <c r="K352" t="s">
        <v>52</v>
      </c>
      <c r="L352">
        <v>0</v>
      </c>
      <c r="M352">
        <v>0</v>
      </c>
      <c r="N352">
        <v>45</v>
      </c>
      <c r="O352" t="s">
        <v>41</v>
      </c>
      <c r="P352" t="s">
        <v>53</v>
      </c>
      <c r="Q352" t="e">
        <f>IF(Tabela3[[#This Row],[Income]]="&lt;=50K",Tabela3[[#This Row],[Age]],NA())</f>
        <v>#N/A</v>
      </c>
      <c r="R352" t="e">
        <f>IF(Tabela3[[#This Row],[Income]]="&lt;=50K",Tabela3[[#This Row],[education-num]],NA())</f>
        <v>#N/A</v>
      </c>
      <c r="S352">
        <f>IF(Tabela3[[#This Row],[Income]]="&gt;50K",Tabela3[[#This Row],[Age]],NA())</f>
        <v>41</v>
      </c>
      <c r="T352">
        <f>IF(Tabela3[[#This Row],[Income]]="&gt;50K",Tabela3[[#This Row],[education-num]],NA())</f>
        <v>10</v>
      </c>
    </row>
    <row r="353" spans="1:20">
      <c r="A353">
        <v>352</v>
      </c>
      <c r="B353">
        <v>28</v>
      </c>
      <c r="C353" t="s">
        <v>34</v>
      </c>
      <c r="D353">
        <v>201954</v>
      </c>
      <c r="E353" t="s">
        <v>43</v>
      </c>
      <c r="F353">
        <v>12</v>
      </c>
      <c r="G353" t="s">
        <v>36</v>
      </c>
      <c r="H353" t="s">
        <v>80</v>
      </c>
      <c r="I353" t="s">
        <v>45</v>
      </c>
      <c r="J353" t="s">
        <v>39</v>
      </c>
      <c r="K353" t="s">
        <v>52</v>
      </c>
      <c r="L353">
        <v>0</v>
      </c>
      <c r="M353">
        <v>0</v>
      </c>
      <c r="N353">
        <v>65</v>
      </c>
      <c r="O353" t="s">
        <v>41</v>
      </c>
      <c r="P353" t="s">
        <v>53</v>
      </c>
      <c r="Q353" t="e">
        <f>IF(Tabela3[[#This Row],[Income]]="&lt;=50K",Tabela3[[#This Row],[Age]],NA())</f>
        <v>#N/A</v>
      </c>
      <c r="R353" t="e">
        <f>IF(Tabela3[[#This Row],[Income]]="&lt;=50K",Tabela3[[#This Row],[education-num]],NA())</f>
        <v>#N/A</v>
      </c>
      <c r="S353">
        <f>IF(Tabela3[[#This Row],[Income]]="&gt;50K",Tabela3[[#This Row],[Age]],NA())</f>
        <v>28</v>
      </c>
      <c r="T353">
        <f>IF(Tabela3[[#This Row],[Income]]="&gt;50K",Tabela3[[#This Row],[education-num]],NA())</f>
        <v>12</v>
      </c>
    </row>
    <row r="354" spans="1:20">
      <c r="A354">
        <v>353</v>
      </c>
      <c r="B354">
        <v>40</v>
      </c>
      <c r="C354" t="s">
        <v>34</v>
      </c>
      <c r="D354">
        <v>374367</v>
      </c>
      <c r="E354" t="s">
        <v>78</v>
      </c>
      <c r="F354">
        <v>11</v>
      </c>
      <c r="G354" t="s">
        <v>55</v>
      </c>
      <c r="H354" t="s">
        <v>44</v>
      </c>
      <c r="I354" t="s">
        <v>45</v>
      </c>
      <c r="J354" t="s">
        <v>57</v>
      </c>
      <c r="K354" t="s">
        <v>52</v>
      </c>
      <c r="L354">
        <v>0</v>
      </c>
      <c r="M354">
        <v>0</v>
      </c>
      <c r="N354">
        <v>44</v>
      </c>
      <c r="O354" t="s">
        <v>41</v>
      </c>
      <c r="P354" t="s">
        <v>42</v>
      </c>
      <c r="Q354">
        <f>IF(Tabela3[[#This Row],[Income]]="&lt;=50K",Tabela3[[#This Row],[Age]],NA())</f>
        <v>40</v>
      </c>
      <c r="R354">
        <f>IF(Tabela3[[#This Row],[Income]]="&lt;=50K",Tabela3[[#This Row],[education-num]],NA())</f>
        <v>11</v>
      </c>
      <c r="S354" t="e">
        <f>IF(Tabela3[[#This Row],[Income]]="&gt;50K",Tabela3[[#This Row],[Age]],NA())</f>
        <v>#N/A</v>
      </c>
      <c r="T354" t="e">
        <f>IF(Tabela3[[#This Row],[Income]]="&gt;50K",Tabela3[[#This Row],[education-num]],NA())</f>
        <v>#N/A</v>
      </c>
    </row>
    <row r="355" spans="1:20">
      <c r="A355">
        <v>354</v>
      </c>
      <c r="B355">
        <v>44</v>
      </c>
      <c r="C355" t="s">
        <v>34</v>
      </c>
      <c r="D355">
        <v>175669</v>
      </c>
      <c r="E355" t="s">
        <v>35</v>
      </c>
      <c r="F355">
        <v>7</v>
      </c>
      <c r="G355" t="s">
        <v>63</v>
      </c>
      <c r="H355" t="s">
        <v>61</v>
      </c>
      <c r="I355" t="s">
        <v>65</v>
      </c>
      <c r="J355" t="s">
        <v>39</v>
      </c>
      <c r="K355" t="s">
        <v>40</v>
      </c>
      <c r="L355">
        <v>5178</v>
      </c>
      <c r="M355">
        <v>0</v>
      </c>
      <c r="N355">
        <v>36</v>
      </c>
      <c r="O355" t="s">
        <v>41</v>
      </c>
      <c r="P355" t="s">
        <v>53</v>
      </c>
      <c r="Q355" t="e">
        <f>IF(Tabela3[[#This Row],[Income]]="&lt;=50K",Tabela3[[#This Row],[Age]],NA())</f>
        <v>#N/A</v>
      </c>
      <c r="R355" t="e">
        <f>IF(Tabela3[[#This Row],[Income]]="&lt;=50K",Tabela3[[#This Row],[education-num]],NA())</f>
        <v>#N/A</v>
      </c>
      <c r="S355">
        <f>IF(Tabela3[[#This Row],[Income]]="&gt;50K",Tabela3[[#This Row],[Age]],NA())</f>
        <v>44</v>
      </c>
      <c r="T355">
        <f>IF(Tabela3[[#This Row],[Income]]="&gt;50K",Tabela3[[#This Row],[education-num]],NA())</f>
        <v>7</v>
      </c>
    </row>
    <row r="356" spans="1:20">
      <c r="A356">
        <v>355</v>
      </c>
      <c r="B356">
        <v>48</v>
      </c>
      <c r="C356" t="s">
        <v>71</v>
      </c>
      <c r="D356">
        <v>167381</v>
      </c>
      <c r="E356" t="s">
        <v>62</v>
      </c>
      <c r="F356">
        <v>9</v>
      </c>
      <c r="G356" t="s">
        <v>81</v>
      </c>
      <c r="H356" t="s">
        <v>71</v>
      </c>
      <c r="I356" t="s">
        <v>69</v>
      </c>
      <c r="J356" t="s">
        <v>39</v>
      </c>
      <c r="K356" t="s">
        <v>40</v>
      </c>
      <c r="L356">
        <v>0</v>
      </c>
      <c r="M356">
        <v>0</v>
      </c>
      <c r="N356">
        <v>25</v>
      </c>
      <c r="O356" t="s">
        <v>41</v>
      </c>
      <c r="P356" t="s">
        <v>42</v>
      </c>
      <c r="Q356">
        <f>IF(Tabela3[[#This Row],[Income]]="&lt;=50K",Tabela3[[#This Row],[Age]],NA())</f>
        <v>48</v>
      </c>
      <c r="R356">
        <f>IF(Tabela3[[#This Row],[Income]]="&lt;=50K",Tabela3[[#This Row],[education-num]],NA())</f>
        <v>9</v>
      </c>
      <c r="S356" t="e">
        <f>IF(Tabela3[[#This Row],[Income]]="&gt;50K",Tabela3[[#This Row],[Age]],NA())</f>
        <v>#N/A</v>
      </c>
      <c r="T356" t="e">
        <f>IF(Tabela3[[#This Row],[Income]]="&gt;50K",Tabela3[[#This Row],[education-num]],NA())</f>
        <v>#N/A</v>
      </c>
    </row>
    <row r="357" spans="1:20">
      <c r="A357">
        <v>356</v>
      </c>
      <c r="B357">
        <v>38</v>
      </c>
      <c r="C357" t="s">
        <v>34</v>
      </c>
      <c r="D357">
        <v>497788</v>
      </c>
      <c r="E357" t="s">
        <v>62</v>
      </c>
      <c r="F357">
        <v>9</v>
      </c>
      <c r="G357" t="s">
        <v>63</v>
      </c>
      <c r="H357" t="s">
        <v>50</v>
      </c>
      <c r="I357" t="s">
        <v>66</v>
      </c>
      <c r="J357" t="s">
        <v>39</v>
      </c>
      <c r="K357" t="s">
        <v>52</v>
      </c>
      <c r="L357">
        <v>0</v>
      </c>
      <c r="M357">
        <v>0</v>
      </c>
      <c r="N357">
        <v>50</v>
      </c>
      <c r="O357" t="s">
        <v>41</v>
      </c>
      <c r="P357" t="s">
        <v>42</v>
      </c>
      <c r="Q357">
        <f>IF(Tabela3[[#This Row],[Income]]="&lt;=50K",Tabela3[[#This Row],[Age]],NA())</f>
        <v>38</v>
      </c>
      <c r="R357">
        <f>IF(Tabela3[[#This Row],[Income]]="&lt;=50K",Tabela3[[#This Row],[education-num]],NA())</f>
        <v>9</v>
      </c>
      <c r="S357" t="e">
        <f>IF(Tabela3[[#This Row],[Income]]="&gt;50K",Tabela3[[#This Row],[Age]],NA())</f>
        <v>#N/A</v>
      </c>
      <c r="T357" t="e">
        <f>IF(Tabela3[[#This Row],[Income]]="&gt;50K",Tabela3[[#This Row],[education-num]],NA())</f>
        <v>#N/A</v>
      </c>
    </row>
    <row r="358" spans="1:20">
      <c r="A358">
        <v>357</v>
      </c>
      <c r="B358">
        <v>35</v>
      </c>
      <c r="C358" t="s">
        <v>34</v>
      </c>
      <c r="D358">
        <v>82622</v>
      </c>
      <c r="E358" t="s">
        <v>62</v>
      </c>
      <c r="F358">
        <v>9</v>
      </c>
      <c r="G358" t="s">
        <v>49</v>
      </c>
      <c r="H358" t="s">
        <v>80</v>
      </c>
      <c r="I358" t="s">
        <v>45</v>
      </c>
      <c r="J358" t="s">
        <v>39</v>
      </c>
      <c r="K358" t="s">
        <v>52</v>
      </c>
      <c r="L358">
        <v>0</v>
      </c>
      <c r="M358">
        <v>0</v>
      </c>
      <c r="N358">
        <v>50</v>
      </c>
      <c r="O358" t="s">
        <v>41</v>
      </c>
      <c r="P358" t="s">
        <v>42</v>
      </c>
      <c r="Q358">
        <f>IF(Tabela3[[#This Row],[Income]]="&lt;=50K",Tabela3[[#This Row],[Age]],NA())</f>
        <v>35</v>
      </c>
      <c r="R358">
        <f>IF(Tabela3[[#This Row],[Income]]="&lt;=50K",Tabela3[[#This Row],[education-num]],NA())</f>
        <v>9</v>
      </c>
      <c r="S358" t="e">
        <f>IF(Tabela3[[#This Row],[Income]]="&gt;50K",Tabela3[[#This Row],[Age]],NA())</f>
        <v>#N/A</v>
      </c>
      <c r="T358" t="e">
        <f>IF(Tabela3[[#This Row],[Income]]="&gt;50K",Tabela3[[#This Row],[education-num]],NA())</f>
        <v>#N/A</v>
      </c>
    </row>
    <row r="359" spans="1:20">
      <c r="A359">
        <v>358</v>
      </c>
      <c r="B359">
        <v>22</v>
      </c>
      <c r="C359" t="s">
        <v>34</v>
      </c>
      <c r="D359">
        <v>311376</v>
      </c>
      <c r="E359" t="s">
        <v>60</v>
      </c>
      <c r="F359">
        <v>13</v>
      </c>
      <c r="G359" t="s">
        <v>36</v>
      </c>
      <c r="H359" t="s">
        <v>67</v>
      </c>
      <c r="I359" t="s">
        <v>38</v>
      </c>
      <c r="J359" t="s">
        <v>39</v>
      </c>
      <c r="K359" t="s">
        <v>40</v>
      </c>
      <c r="L359">
        <v>0</v>
      </c>
      <c r="M359">
        <v>0</v>
      </c>
      <c r="N359">
        <v>40</v>
      </c>
      <c r="O359" t="s">
        <v>41</v>
      </c>
      <c r="P359" t="s">
        <v>42</v>
      </c>
      <c r="Q359">
        <f>IF(Tabela3[[#This Row],[Income]]="&lt;=50K",Tabela3[[#This Row],[Age]],NA())</f>
        <v>22</v>
      </c>
      <c r="R359">
        <f>IF(Tabela3[[#This Row],[Income]]="&lt;=50K",Tabela3[[#This Row],[education-num]],NA())</f>
        <v>13</v>
      </c>
      <c r="S359" t="e">
        <f>IF(Tabela3[[#This Row],[Income]]="&gt;50K",Tabela3[[#This Row],[Age]],NA())</f>
        <v>#N/A</v>
      </c>
      <c r="T359" t="e">
        <f>IF(Tabela3[[#This Row],[Income]]="&gt;50K",Tabela3[[#This Row],[education-num]],NA())</f>
        <v>#N/A</v>
      </c>
    </row>
    <row r="360" spans="1:20">
      <c r="A360">
        <v>359</v>
      </c>
      <c r="B360">
        <v>35</v>
      </c>
      <c r="C360" t="s">
        <v>34</v>
      </c>
      <c r="D360">
        <v>224889</v>
      </c>
      <c r="E360" t="s">
        <v>60</v>
      </c>
      <c r="F360">
        <v>13</v>
      </c>
      <c r="G360" t="s">
        <v>63</v>
      </c>
      <c r="H360" t="s">
        <v>44</v>
      </c>
      <c r="I360" t="s">
        <v>66</v>
      </c>
      <c r="J360" t="s">
        <v>39</v>
      </c>
      <c r="K360" t="s">
        <v>52</v>
      </c>
      <c r="L360">
        <v>0</v>
      </c>
      <c r="M360">
        <v>0</v>
      </c>
      <c r="N360">
        <v>40</v>
      </c>
      <c r="O360" t="s">
        <v>41</v>
      </c>
      <c r="P360" t="s">
        <v>42</v>
      </c>
      <c r="Q360">
        <f>IF(Tabela3[[#This Row],[Income]]="&lt;=50K",Tabela3[[#This Row],[Age]],NA())</f>
        <v>35</v>
      </c>
      <c r="R360">
        <f>IF(Tabela3[[#This Row],[Income]]="&lt;=50K",Tabela3[[#This Row],[education-num]],NA())</f>
        <v>13</v>
      </c>
      <c r="S360" t="e">
        <f>IF(Tabela3[[#This Row],[Income]]="&gt;50K",Tabela3[[#This Row],[Age]],NA())</f>
        <v>#N/A</v>
      </c>
      <c r="T360" t="e">
        <f>IF(Tabela3[[#This Row],[Income]]="&gt;50K",Tabela3[[#This Row],[education-num]],NA())</f>
        <v>#N/A</v>
      </c>
    </row>
    <row r="361" spans="1:20">
      <c r="A361">
        <v>360</v>
      </c>
      <c r="B361">
        <v>28</v>
      </c>
      <c r="C361" t="s">
        <v>75</v>
      </c>
      <c r="D361">
        <v>281860</v>
      </c>
      <c r="E361" t="s">
        <v>60</v>
      </c>
      <c r="F361">
        <v>13</v>
      </c>
      <c r="G361" t="s">
        <v>36</v>
      </c>
      <c r="H361" t="s">
        <v>61</v>
      </c>
      <c r="I361" t="s">
        <v>45</v>
      </c>
      <c r="J361" t="s">
        <v>39</v>
      </c>
      <c r="K361" t="s">
        <v>40</v>
      </c>
      <c r="L361">
        <v>0</v>
      </c>
      <c r="M361">
        <v>0</v>
      </c>
      <c r="N361">
        <v>40</v>
      </c>
      <c r="O361" t="s">
        <v>41</v>
      </c>
      <c r="P361" t="s">
        <v>42</v>
      </c>
      <c r="Q361">
        <f>IF(Tabela3[[#This Row],[Income]]="&lt;=50K",Tabela3[[#This Row],[Age]],NA())</f>
        <v>28</v>
      </c>
      <c r="R361">
        <f>IF(Tabela3[[#This Row],[Income]]="&lt;=50K",Tabela3[[#This Row],[education-num]],NA())</f>
        <v>13</v>
      </c>
      <c r="S361" t="e">
        <f>IF(Tabela3[[#This Row],[Income]]="&gt;50K",Tabela3[[#This Row],[Age]],NA())</f>
        <v>#N/A</v>
      </c>
      <c r="T361" t="e">
        <f>IF(Tabela3[[#This Row],[Income]]="&gt;50K",Tabela3[[#This Row],[education-num]],NA())</f>
        <v>#N/A</v>
      </c>
    </row>
    <row r="362" spans="1:20">
      <c r="A362">
        <v>361</v>
      </c>
      <c r="B362">
        <v>61</v>
      </c>
      <c r="C362" t="s">
        <v>71</v>
      </c>
      <c r="D362">
        <v>139391</v>
      </c>
      <c r="E362" t="s">
        <v>46</v>
      </c>
      <c r="F362">
        <v>10</v>
      </c>
      <c r="G362" t="s">
        <v>63</v>
      </c>
      <c r="H362" t="s">
        <v>71</v>
      </c>
      <c r="I362" t="s">
        <v>66</v>
      </c>
      <c r="J362" t="s">
        <v>39</v>
      </c>
      <c r="K362" t="s">
        <v>52</v>
      </c>
      <c r="L362">
        <v>99999</v>
      </c>
      <c r="M362">
        <v>0</v>
      </c>
      <c r="N362">
        <v>30</v>
      </c>
      <c r="O362" t="s">
        <v>41</v>
      </c>
      <c r="P362" t="s">
        <v>53</v>
      </c>
      <c r="Q362" t="e">
        <f>IF(Tabela3[[#This Row],[Income]]="&lt;=50K",Tabela3[[#This Row],[Age]],NA())</f>
        <v>#N/A</v>
      </c>
      <c r="R362" t="e">
        <f>IF(Tabela3[[#This Row],[Income]]="&lt;=50K",Tabela3[[#This Row],[education-num]],NA())</f>
        <v>#N/A</v>
      </c>
      <c r="S362">
        <f>IF(Tabela3[[#This Row],[Income]]="&gt;50K",Tabela3[[#This Row],[Age]],NA())</f>
        <v>61</v>
      </c>
      <c r="T362">
        <f>IF(Tabela3[[#This Row],[Income]]="&gt;50K",Tabela3[[#This Row],[education-num]],NA())</f>
        <v>10</v>
      </c>
    </row>
    <row r="363" spans="1:20">
      <c r="A363">
        <v>362</v>
      </c>
      <c r="B363">
        <v>39</v>
      </c>
      <c r="C363" t="s">
        <v>34</v>
      </c>
      <c r="D363">
        <v>216129</v>
      </c>
      <c r="E363" t="s">
        <v>43</v>
      </c>
      <c r="F363">
        <v>12</v>
      </c>
      <c r="G363" t="s">
        <v>49</v>
      </c>
      <c r="H363" t="s">
        <v>80</v>
      </c>
      <c r="I363" t="s">
        <v>69</v>
      </c>
      <c r="J363" t="s">
        <v>57</v>
      </c>
      <c r="K363" t="s">
        <v>40</v>
      </c>
      <c r="L363">
        <v>0</v>
      </c>
      <c r="M363">
        <v>0</v>
      </c>
      <c r="N363">
        <v>35</v>
      </c>
      <c r="O363" t="s">
        <v>104</v>
      </c>
      <c r="P363" t="s">
        <v>42</v>
      </c>
      <c r="Q363">
        <f>IF(Tabela3[[#This Row],[Income]]="&lt;=50K",Tabela3[[#This Row],[Age]],NA())</f>
        <v>39</v>
      </c>
      <c r="R363">
        <f>IF(Tabela3[[#This Row],[Income]]="&lt;=50K",Tabela3[[#This Row],[education-num]],NA())</f>
        <v>12</v>
      </c>
      <c r="S363" t="e">
        <f>IF(Tabela3[[#This Row],[Income]]="&gt;50K",Tabela3[[#This Row],[Age]],NA())</f>
        <v>#N/A</v>
      </c>
      <c r="T363" t="e">
        <f>IF(Tabela3[[#This Row],[Income]]="&gt;50K",Tabela3[[#This Row],[education-num]],NA())</f>
        <v>#N/A</v>
      </c>
    </row>
    <row r="364" spans="1:20">
      <c r="A364">
        <v>363</v>
      </c>
      <c r="B364">
        <v>18</v>
      </c>
      <c r="C364" t="s">
        <v>34</v>
      </c>
      <c r="D364">
        <v>118938</v>
      </c>
      <c r="E364" t="s">
        <v>35</v>
      </c>
      <c r="F364">
        <v>7</v>
      </c>
      <c r="G364" t="s">
        <v>36</v>
      </c>
      <c r="H364" t="s">
        <v>44</v>
      </c>
      <c r="I364" t="s">
        <v>38</v>
      </c>
      <c r="J364" t="s">
        <v>39</v>
      </c>
      <c r="K364" t="s">
        <v>52</v>
      </c>
      <c r="L364">
        <v>0</v>
      </c>
      <c r="M364">
        <v>0</v>
      </c>
      <c r="N364">
        <v>18</v>
      </c>
      <c r="O364" t="s">
        <v>41</v>
      </c>
      <c r="P364" t="s">
        <v>42</v>
      </c>
      <c r="Q364">
        <f>IF(Tabela3[[#This Row],[Income]]="&lt;=50K",Tabela3[[#This Row],[Age]],NA())</f>
        <v>18</v>
      </c>
      <c r="R364">
        <f>IF(Tabela3[[#This Row],[Income]]="&lt;=50K",Tabela3[[#This Row],[education-num]],NA())</f>
        <v>7</v>
      </c>
      <c r="S364" t="e">
        <f>IF(Tabela3[[#This Row],[Income]]="&gt;50K",Tabela3[[#This Row],[Age]],NA())</f>
        <v>#N/A</v>
      </c>
      <c r="T364" t="e">
        <f>IF(Tabela3[[#This Row],[Income]]="&gt;50K",Tabela3[[#This Row],[education-num]],NA())</f>
        <v>#N/A</v>
      </c>
    </row>
    <row r="365" spans="1:20">
      <c r="A365">
        <v>364</v>
      </c>
      <c r="B365">
        <v>57</v>
      </c>
      <c r="C365" t="s">
        <v>83</v>
      </c>
      <c r="D365">
        <v>368797</v>
      </c>
      <c r="E365" t="s">
        <v>62</v>
      </c>
      <c r="F365">
        <v>9</v>
      </c>
      <c r="G365" t="s">
        <v>63</v>
      </c>
      <c r="H365" t="s">
        <v>80</v>
      </c>
      <c r="I365" t="s">
        <v>66</v>
      </c>
      <c r="J365" t="s">
        <v>39</v>
      </c>
      <c r="K365" t="s">
        <v>52</v>
      </c>
      <c r="L365">
        <v>0</v>
      </c>
      <c r="M365">
        <v>0</v>
      </c>
      <c r="N365">
        <v>40</v>
      </c>
      <c r="O365" t="s">
        <v>41</v>
      </c>
      <c r="P365" t="s">
        <v>42</v>
      </c>
      <c r="Q365">
        <f>IF(Tabela3[[#This Row],[Income]]="&lt;=50K",Tabela3[[#This Row],[Age]],NA())</f>
        <v>57</v>
      </c>
      <c r="R365">
        <f>IF(Tabela3[[#This Row],[Income]]="&lt;=50K",Tabela3[[#This Row],[education-num]],NA())</f>
        <v>9</v>
      </c>
      <c r="S365" t="e">
        <f>IF(Tabela3[[#This Row],[Income]]="&gt;50K",Tabela3[[#This Row],[Age]],NA())</f>
        <v>#N/A</v>
      </c>
      <c r="T365" t="e">
        <f>IF(Tabela3[[#This Row],[Income]]="&gt;50K",Tabela3[[#This Row],[education-num]],NA())</f>
        <v>#N/A</v>
      </c>
    </row>
    <row r="366" spans="1:20">
      <c r="A366">
        <v>365</v>
      </c>
      <c r="B366">
        <v>37</v>
      </c>
      <c r="C366" t="s">
        <v>34</v>
      </c>
      <c r="D366">
        <v>215476</v>
      </c>
      <c r="E366" t="s">
        <v>62</v>
      </c>
      <c r="F366">
        <v>9</v>
      </c>
      <c r="G366" t="s">
        <v>36</v>
      </c>
      <c r="H366" t="s">
        <v>68</v>
      </c>
      <c r="I366" t="s">
        <v>69</v>
      </c>
      <c r="J366" t="s">
        <v>57</v>
      </c>
      <c r="K366" t="s">
        <v>40</v>
      </c>
      <c r="L366">
        <v>0</v>
      </c>
      <c r="M366">
        <v>0</v>
      </c>
      <c r="N366">
        <v>30</v>
      </c>
      <c r="O366" t="s">
        <v>41</v>
      </c>
      <c r="P366" t="s">
        <v>42</v>
      </c>
      <c r="Q366">
        <f>IF(Tabela3[[#This Row],[Income]]="&lt;=50K",Tabela3[[#This Row],[Age]],NA())</f>
        <v>37</v>
      </c>
      <c r="R366">
        <f>IF(Tabela3[[#This Row],[Income]]="&lt;=50K",Tabela3[[#This Row],[education-num]],NA())</f>
        <v>9</v>
      </c>
      <c r="S366" t="e">
        <f>IF(Tabela3[[#This Row],[Income]]="&gt;50K",Tabela3[[#This Row],[Age]],NA())</f>
        <v>#N/A</v>
      </c>
      <c r="T366" t="e">
        <f>IF(Tabela3[[#This Row],[Income]]="&gt;50K",Tabela3[[#This Row],[education-num]],NA())</f>
        <v>#N/A</v>
      </c>
    </row>
    <row r="367" spans="1:20">
      <c r="A367">
        <v>366</v>
      </c>
      <c r="B367">
        <v>33</v>
      </c>
      <c r="C367" t="s">
        <v>34</v>
      </c>
      <c r="D367">
        <v>181091</v>
      </c>
      <c r="E367" t="s">
        <v>77</v>
      </c>
      <c r="F367">
        <v>6</v>
      </c>
      <c r="G367" t="s">
        <v>49</v>
      </c>
      <c r="H367" t="s">
        <v>50</v>
      </c>
      <c r="I367" t="s">
        <v>45</v>
      </c>
      <c r="J367" t="s">
        <v>39</v>
      </c>
      <c r="K367" t="s">
        <v>52</v>
      </c>
      <c r="L367">
        <v>0</v>
      </c>
      <c r="M367">
        <v>0</v>
      </c>
      <c r="N367">
        <v>35</v>
      </c>
      <c r="O367" t="s">
        <v>105</v>
      </c>
      <c r="P367" t="s">
        <v>42</v>
      </c>
      <c r="Q367">
        <f>IF(Tabela3[[#This Row],[Income]]="&lt;=50K",Tabela3[[#This Row],[Age]],NA())</f>
        <v>33</v>
      </c>
      <c r="R367">
        <f>IF(Tabela3[[#This Row],[Income]]="&lt;=50K",Tabela3[[#This Row],[education-num]],NA())</f>
        <v>6</v>
      </c>
      <c r="S367" t="e">
        <f>IF(Tabela3[[#This Row],[Income]]="&gt;50K",Tabela3[[#This Row],[Age]],NA())</f>
        <v>#N/A</v>
      </c>
      <c r="T367" t="e">
        <f>IF(Tabela3[[#This Row],[Income]]="&gt;50K",Tabela3[[#This Row],[education-num]],NA())</f>
        <v>#N/A</v>
      </c>
    </row>
    <row r="368" spans="1:20">
      <c r="A368">
        <v>367</v>
      </c>
      <c r="B368">
        <v>17</v>
      </c>
      <c r="C368" t="s">
        <v>71</v>
      </c>
      <c r="D368">
        <v>104025</v>
      </c>
      <c r="E368" t="s">
        <v>35</v>
      </c>
      <c r="F368">
        <v>7</v>
      </c>
      <c r="G368" t="s">
        <v>36</v>
      </c>
      <c r="H368" t="s">
        <v>71</v>
      </c>
      <c r="I368" t="s">
        <v>38</v>
      </c>
      <c r="J368" t="s">
        <v>39</v>
      </c>
      <c r="K368" t="s">
        <v>52</v>
      </c>
      <c r="L368">
        <v>0</v>
      </c>
      <c r="M368">
        <v>0</v>
      </c>
      <c r="N368">
        <v>18</v>
      </c>
      <c r="O368" t="s">
        <v>41</v>
      </c>
      <c r="P368" t="s">
        <v>42</v>
      </c>
      <c r="Q368">
        <f>IF(Tabela3[[#This Row],[Income]]="&lt;=50K",Tabela3[[#This Row],[Age]],NA())</f>
        <v>17</v>
      </c>
      <c r="R368">
        <f>IF(Tabela3[[#This Row],[Income]]="&lt;=50K",Tabela3[[#This Row],[education-num]],NA())</f>
        <v>7</v>
      </c>
      <c r="S368" t="e">
        <f>IF(Tabela3[[#This Row],[Income]]="&gt;50K",Tabela3[[#This Row],[Age]],NA())</f>
        <v>#N/A</v>
      </c>
      <c r="T368" t="e">
        <f>IF(Tabela3[[#This Row],[Income]]="&gt;50K",Tabela3[[#This Row],[education-num]],NA())</f>
        <v>#N/A</v>
      </c>
    </row>
    <row r="369" spans="1:20">
      <c r="A369">
        <v>368</v>
      </c>
      <c r="B369">
        <v>64</v>
      </c>
      <c r="C369" t="s">
        <v>34</v>
      </c>
      <c r="D369">
        <v>143110</v>
      </c>
      <c r="E369" t="s">
        <v>60</v>
      </c>
      <c r="F369">
        <v>13</v>
      </c>
      <c r="G369" t="s">
        <v>81</v>
      </c>
      <c r="H369" t="s">
        <v>61</v>
      </c>
      <c r="I369" t="s">
        <v>45</v>
      </c>
      <c r="J369" t="s">
        <v>39</v>
      </c>
      <c r="K369" t="s">
        <v>40</v>
      </c>
      <c r="L369">
        <v>0</v>
      </c>
      <c r="M369">
        <v>0</v>
      </c>
      <c r="N369">
        <v>30</v>
      </c>
      <c r="O369" t="s">
        <v>41</v>
      </c>
      <c r="P369" t="s">
        <v>42</v>
      </c>
      <c r="Q369">
        <f>IF(Tabela3[[#This Row],[Income]]="&lt;=50K",Tabela3[[#This Row],[Age]],NA())</f>
        <v>64</v>
      </c>
      <c r="R369">
        <f>IF(Tabela3[[#This Row],[Income]]="&lt;=50K",Tabela3[[#This Row],[education-num]],NA())</f>
        <v>13</v>
      </c>
      <c r="S369" t="e">
        <f>IF(Tabela3[[#This Row],[Income]]="&gt;50K",Tabela3[[#This Row],[Age]],NA())</f>
        <v>#N/A</v>
      </c>
      <c r="T369" t="e">
        <f>IF(Tabela3[[#This Row],[Income]]="&gt;50K",Tabela3[[#This Row],[education-num]],NA())</f>
        <v>#N/A</v>
      </c>
    </row>
    <row r="370" spans="1:20">
      <c r="A370">
        <v>369</v>
      </c>
      <c r="B370">
        <v>33</v>
      </c>
      <c r="C370" t="s">
        <v>34</v>
      </c>
      <c r="D370">
        <v>277455</v>
      </c>
      <c r="E370" t="s">
        <v>73</v>
      </c>
      <c r="F370">
        <v>14</v>
      </c>
      <c r="G370" t="s">
        <v>36</v>
      </c>
      <c r="H370" t="s">
        <v>61</v>
      </c>
      <c r="I370" t="s">
        <v>45</v>
      </c>
      <c r="J370" t="s">
        <v>39</v>
      </c>
      <c r="K370" t="s">
        <v>52</v>
      </c>
      <c r="L370">
        <v>0</v>
      </c>
      <c r="M370">
        <v>0</v>
      </c>
      <c r="N370">
        <v>40</v>
      </c>
      <c r="O370" t="s">
        <v>41</v>
      </c>
      <c r="P370" t="s">
        <v>42</v>
      </c>
      <c r="Q370">
        <f>IF(Tabela3[[#This Row],[Income]]="&lt;=50K",Tabela3[[#This Row],[Age]],NA())</f>
        <v>33</v>
      </c>
      <c r="R370">
        <f>IF(Tabela3[[#This Row],[Income]]="&lt;=50K",Tabela3[[#This Row],[education-num]],NA())</f>
        <v>14</v>
      </c>
      <c r="S370" t="e">
        <f>IF(Tabela3[[#This Row],[Income]]="&gt;50K",Tabela3[[#This Row],[Age]],NA())</f>
        <v>#N/A</v>
      </c>
      <c r="T370" t="e">
        <f>IF(Tabela3[[#This Row],[Income]]="&gt;50K",Tabela3[[#This Row],[education-num]],NA())</f>
        <v>#N/A</v>
      </c>
    </row>
    <row r="371" spans="1:20">
      <c r="A371">
        <v>370</v>
      </c>
      <c r="B371">
        <v>20</v>
      </c>
      <c r="C371" t="s">
        <v>34</v>
      </c>
      <c r="D371">
        <v>219122</v>
      </c>
      <c r="E371" t="s">
        <v>46</v>
      </c>
      <c r="F371">
        <v>10</v>
      </c>
      <c r="G371" t="s">
        <v>36</v>
      </c>
      <c r="H371" t="s">
        <v>37</v>
      </c>
      <c r="I371" t="s">
        <v>45</v>
      </c>
      <c r="J371" t="s">
        <v>39</v>
      </c>
      <c r="K371" t="s">
        <v>52</v>
      </c>
      <c r="L371">
        <v>0</v>
      </c>
      <c r="M371">
        <v>0</v>
      </c>
      <c r="N371">
        <v>40</v>
      </c>
      <c r="O371" t="s">
        <v>41</v>
      </c>
      <c r="P371" t="s">
        <v>42</v>
      </c>
      <c r="Q371">
        <f>IF(Tabela3[[#This Row],[Income]]="&lt;=50K",Tabela3[[#This Row],[Age]],NA())</f>
        <v>20</v>
      </c>
      <c r="R371">
        <f>IF(Tabela3[[#This Row],[Income]]="&lt;=50K",Tabela3[[#This Row],[education-num]],NA())</f>
        <v>10</v>
      </c>
      <c r="S371" t="e">
        <f>IF(Tabela3[[#This Row],[Income]]="&gt;50K",Tabela3[[#This Row],[Age]],NA())</f>
        <v>#N/A</v>
      </c>
      <c r="T371" t="e">
        <f>IF(Tabela3[[#This Row],[Income]]="&gt;50K",Tabela3[[#This Row],[education-num]],NA())</f>
        <v>#N/A</v>
      </c>
    </row>
    <row r="372" spans="1:20">
      <c r="A372">
        <v>371</v>
      </c>
      <c r="B372">
        <v>44</v>
      </c>
      <c r="C372" t="s">
        <v>34</v>
      </c>
      <c r="D372">
        <v>121781</v>
      </c>
      <c r="E372" t="s">
        <v>46</v>
      </c>
      <c r="F372">
        <v>10</v>
      </c>
      <c r="G372" t="s">
        <v>49</v>
      </c>
      <c r="H372" t="s">
        <v>67</v>
      </c>
      <c r="I372" t="s">
        <v>45</v>
      </c>
      <c r="J372" t="s">
        <v>70</v>
      </c>
      <c r="K372" t="s">
        <v>40</v>
      </c>
      <c r="L372">
        <v>0</v>
      </c>
      <c r="M372">
        <v>0</v>
      </c>
      <c r="N372">
        <v>37</v>
      </c>
      <c r="O372" t="s">
        <v>41</v>
      </c>
      <c r="P372" t="s">
        <v>42</v>
      </c>
      <c r="Q372">
        <f>IF(Tabela3[[#This Row],[Income]]="&lt;=50K",Tabela3[[#This Row],[Age]],NA())</f>
        <v>44</v>
      </c>
      <c r="R372">
        <f>IF(Tabela3[[#This Row],[Income]]="&lt;=50K",Tabela3[[#This Row],[education-num]],NA())</f>
        <v>10</v>
      </c>
      <c r="S372" t="e">
        <f>IF(Tabela3[[#This Row],[Income]]="&gt;50K",Tabela3[[#This Row],[Age]],NA())</f>
        <v>#N/A</v>
      </c>
      <c r="T372" t="e">
        <f>IF(Tabela3[[#This Row],[Income]]="&gt;50K",Tabela3[[#This Row],[education-num]],NA())</f>
        <v>#N/A</v>
      </c>
    </row>
    <row r="373" spans="1:20">
      <c r="A373">
        <v>372</v>
      </c>
      <c r="B373">
        <v>42</v>
      </c>
      <c r="C373" t="s">
        <v>74</v>
      </c>
      <c r="D373">
        <v>79036</v>
      </c>
      <c r="E373" t="s">
        <v>60</v>
      </c>
      <c r="F373">
        <v>13</v>
      </c>
      <c r="G373" t="s">
        <v>63</v>
      </c>
      <c r="H373" t="s">
        <v>58</v>
      </c>
      <c r="I373" t="s">
        <v>66</v>
      </c>
      <c r="J373" t="s">
        <v>39</v>
      </c>
      <c r="K373" t="s">
        <v>52</v>
      </c>
      <c r="L373">
        <v>0</v>
      </c>
      <c r="M373">
        <v>0</v>
      </c>
      <c r="N373">
        <v>65</v>
      </c>
      <c r="O373" t="s">
        <v>41</v>
      </c>
      <c r="P373" t="s">
        <v>42</v>
      </c>
      <c r="Q373">
        <f>IF(Tabela3[[#This Row],[Income]]="&lt;=50K",Tabela3[[#This Row],[Age]],NA())</f>
        <v>42</v>
      </c>
      <c r="R373">
        <f>IF(Tabela3[[#This Row],[Income]]="&lt;=50K",Tabela3[[#This Row],[education-num]],NA())</f>
        <v>13</v>
      </c>
      <c r="S373" t="e">
        <f>IF(Tabela3[[#This Row],[Income]]="&gt;50K",Tabela3[[#This Row],[Age]],NA())</f>
        <v>#N/A</v>
      </c>
      <c r="T373" t="e">
        <f>IF(Tabela3[[#This Row],[Income]]="&gt;50K",Tabela3[[#This Row],[education-num]],NA())</f>
        <v>#N/A</v>
      </c>
    </row>
    <row r="374" spans="1:20">
      <c r="A374">
        <v>373</v>
      </c>
      <c r="B374">
        <v>28</v>
      </c>
      <c r="C374" t="s">
        <v>34</v>
      </c>
      <c r="D374">
        <v>168901</v>
      </c>
      <c r="E374" t="s">
        <v>60</v>
      </c>
      <c r="F374">
        <v>13</v>
      </c>
      <c r="G374" t="s">
        <v>63</v>
      </c>
      <c r="H374" t="s">
        <v>61</v>
      </c>
      <c r="I374" t="s">
        <v>66</v>
      </c>
      <c r="J374" t="s">
        <v>70</v>
      </c>
      <c r="K374" t="s">
        <v>52</v>
      </c>
      <c r="L374">
        <v>0</v>
      </c>
      <c r="M374">
        <v>0</v>
      </c>
      <c r="N374">
        <v>40</v>
      </c>
      <c r="O374" t="s">
        <v>94</v>
      </c>
      <c r="P374" t="s">
        <v>42</v>
      </c>
      <c r="Q374">
        <f>IF(Tabela3[[#This Row],[Income]]="&lt;=50K",Tabela3[[#This Row],[Age]],NA())</f>
        <v>28</v>
      </c>
      <c r="R374">
        <f>IF(Tabela3[[#This Row],[Income]]="&lt;=50K",Tabela3[[#This Row],[education-num]],NA())</f>
        <v>13</v>
      </c>
      <c r="S374" t="e">
        <f>IF(Tabela3[[#This Row],[Income]]="&gt;50K",Tabela3[[#This Row],[Age]],NA())</f>
        <v>#N/A</v>
      </c>
      <c r="T374" t="e">
        <f>IF(Tabela3[[#This Row],[Income]]="&gt;50K",Tabela3[[#This Row],[education-num]],NA())</f>
        <v>#N/A</v>
      </c>
    </row>
    <row r="375" spans="1:20">
      <c r="A375">
        <v>374</v>
      </c>
      <c r="B375">
        <v>39</v>
      </c>
      <c r="C375" t="s">
        <v>59</v>
      </c>
      <c r="D375">
        <v>55568</v>
      </c>
      <c r="E375" t="s">
        <v>62</v>
      </c>
      <c r="F375">
        <v>9</v>
      </c>
      <c r="G375" t="s">
        <v>63</v>
      </c>
      <c r="H375" t="s">
        <v>67</v>
      </c>
      <c r="I375" t="s">
        <v>65</v>
      </c>
      <c r="J375" t="s">
        <v>39</v>
      </c>
      <c r="K375" t="s">
        <v>40</v>
      </c>
      <c r="L375">
        <v>0</v>
      </c>
      <c r="M375">
        <v>0</v>
      </c>
      <c r="N375">
        <v>40</v>
      </c>
      <c r="O375" t="s">
        <v>41</v>
      </c>
      <c r="P375" t="s">
        <v>42</v>
      </c>
      <c r="Q375">
        <f>IF(Tabela3[[#This Row],[Income]]="&lt;=50K",Tabela3[[#This Row],[Age]],NA())</f>
        <v>39</v>
      </c>
      <c r="R375">
        <f>IF(Tabela3[[#This Row],[Income]]="&lt;=50K",Tabela3[[#This Row],[education-num]],NA())</f>
        <v>9</v>
      </c>
      <c r="S375" t="e">
        <f>IF(Tabela3[[#This Row],[Income]]="&gt;50K",Tabela3[[#This Row],[Age]],NA())</f>
        <v>#N/A</v>
      </c>
      <c r="T375" t="e">
        <f>IF(Tabela3[[#This Row],[Income]]="&gt;50K",Tabela3[[#This Row],[education-num]],NA())</f>
        <v>#N/A</v>
      </c>
    </row>
    <row r="376" spans="1:20">
      <c r="A376">
        <v>375</v>
      </c>
      <c r="B376">
        <v>32</v>
      </c>
      <c r="C376" t="s">
        <v>34</v>
      </c>
      <c r="D376">
        <v>316470</v>
      </c>
      <c r="E376" t="s">
        <v>48</v>
      </c>
      <c r="F376">
        <v>3</v>
      </c>
      <c r="G376" t="s">
        <v>63</v>
      </c>
      <c r="H376" t="s">
        <v>50</v>
      </c>
      <c r="I376" t="s">
        <v>66</v>
      </c>
      <c r="J376" t="s">
        <v>39</v>
      </c>
      <c r="K376" t="s">
        <v>52</v>
      </c>
      <c r="L376">
        <v>0</v>
      </c>
      <c r="M376">
        <v>0</v>
      </c>
      <c r="N376">
        <v>60</v>
      </c>
      <c r="O376" t="s">
        <v>88</v>
      </c>
      <c r="P376" t="s">
        <v>42</v>
      </c>
      <c r="Q376">
        <f>IF(Tabela3[[#This Row],[Income]]="&lt;=50K",Tabela3[[#This Row],[Age]],NA())</f>
        <v>32</v>
      </c>
      <c r="R376">
        <f>IF(Tabela3[[#This Row],[Income]]="&lt;=50K",Tabela3[[#This Row],[education-num]],NA())</f>
        <v>3</v>
      </c>
      <c r="S376" t="e">
        <f>IF(Tabela3[[#This Row],[Income]]="&gt;50K",Tabela3[[#This Row],[Age]],NA())</f>
        <v>#N/A</v>
      </c>
      <c r="T376" t="e">
        <f>IF(Tabela3[[#This Row],[Income]]="&gt;50K",Tabela3[[#This Row],[education-num]],NA())</f>
        <v>#N/A</v>
      </c>
    </row>
    <row r="377" spans="1:20">
      <c r="A377">
        <v>376</v>
      </c>
      <c r="B377">
        <v>22</v>
      </c>
      <c r="C377" t="s">
        <v>75</v>
      </c>
      <c r="D377">
        <v>32950</v>
      </c>
      <c r="E377" t="s">
        <v>46</v>
      </c>
      <c r="F377">
        <v>10</v>
      </c>
      <c r="G377" t="s">
        <v>63</v>
      </c>
      <c r="H377" t="s">
        <v>44</v>
      </c>
      <c r="I377" t="s">
        <v>66</v>
      </c>
      <c r="J377" t="s">
        <v>39</v>
      </c>
      <c r="K377" t="s">
        <v>52</v>
      </c>
      <c r="L377">
        <v>0</v>
      </c>
      <c r="M377">
        <v>1902</v>
      </c>
      <c r="N377">
        <v>37</v>
      </c>
      <c r="O377" t="s">
        <v>41</v>
      </c>
      <c r="P377" t="s">
        <v>42</v>
      </c>
      <c r="Q377">
        <f>IF(Tabela3[[#This Row],[Income]]="&lt;=50K",Tabela3[[#This Row],[Age]],NA())</f>
        <v>22</v>
      </c>
      <c r="R377">
        <f>IF(Tabela3[[#This Row],[Income]]="&lt;=50K",Tabela3[[#This Row],[education-num]],NA())</f>
        <v>10</v>
      </c>
      <c r="S377" t="e">
        <f>IF(Tabela3[[#This Row],[Income]]="&gt;50K",Tabela3[[#This Row],[Age]],NA())</f>
        <v>#N/A</v>
      </c>
      <c r="T377" t="e">
        <f>IF(Tabela3[[#This Row],[Income]]="&gt;50K",Tabela3[[#This Row],[education-num]],NA())</f>
        <v>#N/A</v>
      </c>
    </row>
    <row r="378" spans="1:20">
      <c r="A378">
        <v>377</v>
      </c>
      <c r="B378">
        <v>54</v>
      </c>
      <c r="C378" t="s">
        <v>34</v>
      </c>
      <c r="D378">
        <v>378747</v>
      </c>
      <c r="E378" t="s">
        <v>77</v>
      </c>
      <c r="F378">
        <v>6</v>
      </c>
      <c r="G378" t="s">
        <v>55</v>
      </c>
      <c r="H378" t="s">
        <v>72</v>
      </c>
      <c r="I378" t="s">
        <v>69</v>
      </c>
      <c r="J378" t="s">
        <v>57</v>
      </c>
      <c r="K378" t="s">
        <v>52</v>
      </c>
      <c r="L378">
        <v>0</v>
      </c>
      <c r="M378">
        <v>0</v>
      </c>
      <c r="N378">
        <v>45</v>
      </c>
      <c r="O378" t="s">
        <v>41</v>
      </c>
      <c r="P378" t="s">
        <v>53</v>
      </c>
      <c r="Q378" t="e">
        <f>IF(Tabela3[[#This Row],[Income]]="&lt;=50K",Tabela3[[#This Row],[Age]],NA())</f>
        <v>#N/A</v>
      </c>
      <c r="R378" t="e">
        <f>IF(Tabela3[[#This Row],[Income]]="&lt;=50K",Tabela3[[#This Row],[education-num]],NA())</f>
        <v>#N/A</v>
      </c>
      <c r="S378">
        <f>IF(Tabela3[[#This Row],[Income]]="&gt;50K",Tabela3[[#This Row],[Age]],NA())</f>
        <v>54</v>
      </c>
      <c r="T378">
        <f>IF(Tabela3[[#This Row],[Income]]="&gt;50K",Tabela3[[#This Row],[education-num]],NA())</f>
        <v>6</v>
      </c>
    </row>
    <row r="379" spans="1:20">
      <c r="A379">
        <v>378</v>
      </c>
      <c r="B379">
        <v>44</v>
      </c>
      <c r="C379" t="s">
        <v>34</v>
      </c>
      <c r="D379">
        <v>322391</v>
      </c>
      <c r="E379" t="s">
        <v>35</v>
      </c>
      <c r="F379">
        <v>7</v>
      </c>
      <c r="G379" t="s">
        <v>55</v>
      </c>
      <c r="H379" t="s">
        <v>37</v>
      </c>
      <c r="I379" t="s">
        <v>69</v>
      </c>
      <c r="J379" t="s">
        <v>57</v>
      </c>
      <c r="K379" t="s">
        <v>40</v>
      </c>
      <c r="L379">
        <v>0</v>
      </c>
      <c r="M379">
        <v>0</v>
      </c>
      <c r="N379">
        <v>30</v>
      </c>
      <c r="O379" t="s">
        <v>41</v>
      </c>
      <c r="P379" t="s">
        <v>42</v>
      </c>
      <c r="Q379">
        <f>IF(Tabela3[[#This Row],[Income]]="&lt;=50K",Tabela3[[#This Row],[Age]],NA())</f>
        <v>44</v>
      </c>
      <c r="R379">
        <f>IF(Tabela3[[#This Row],[Income]]="&lt;=50K",Tabela3[[#This Row],[education-num]],NA())</f>
        <v>7</v>
      </c>
      <c r="S379" t="e">
        <f>IF(Tabela3[[#This Row],[Income]]="&gt;50K",Tabela3[[#This Row],[Age]],NA())</f>
        <v>#N/A</v>
      </c>
      <c r="T379" t="e">
        <f>IF(Tabela3[[#This Row],[Income]]="&gt;50K",Tabela3[[#This Row],[education-num]],NA())</f>
        <v>#N/A</v>
      </c>
    </row>
    <row r="380" spans="1:20">
      <c r="A380">
        <v>379</v>
      </c>
      <c r="B380">
        <v>62</v>
      </c>
      <c r="C380" t="s">
        <v>34</v>
      </c>
      <c r="D380">
        <v>174201</v>
      </c>
      <c r="E380" t="s">
        <v>98</v>
      </c>
      <c r="F380">
        <v>5</v>
      </c>
      <c r="G380" t="s">
        <v>81</v>
      </c>
      <c r="H380" t="s">
        <v>37</v>
      </c>
      <c r="I380" t="s">
        <v>69</v>
      </c>
      <c r="J380" t="s">
        <v>57</v>
      </c>
      <c r="K380" t="s">
        <v>40</v>
      </c>
      <c r="L380">
        <v>0</v>
      </c>
      <c r="M380">
        <v>0</v>
      </c>
      <c r="N380">
        <v>25</v>
      </c>
      <c r="O380" t="s">
        <v>41</v>
      </c>
      <c r="P380" t="s">
        <v>42</v>
      </c>
      <c r="Q380">
        <f>IF(Tabela3[[#This Row],[Income]]="&lt;=50K",Tabela3[[#This Row],[Age]],NA())</f>
        <v>62</v>
      </c>
      <c r="R380">
        <f>IF(Tabela3[[#This Row],[Income]]="&lt;=50K",Tabela3[[#This Row],[education-num]],NA())</f>
        <v>5</v>
      </c>
      <c r="S380" t="e">
        <f>IF(Tabela3[[#This Row],[Income]]="&gt;50K",Tabela3[[#This Row],[Age]],NA())</f>
        <v>#N/A</v>
      </c>
      <c r="T380" t="e">
        <f>IF(Tabela3[[#This Row],[Income]]="&gt;50K",Tabela3[[#This Row],[education-num]],NA())</f>
        <v>#N/A</v>
      </c>
    </row>
    <row r="381" spans="1:20">
      <c r="A381">
        <v>380</v>
      </c>
      <c r="B381">
        <v>29</v>
      </c>
      <c r="C381" t="s">
        <v>34</v>
      </c>
      <c r="D381">
        <v>255949</v>
      </c>
      <c r="E381" t="s">
        <v>60</v>
      </c>
      <c r="F381">
        <v>13</v>
      </c>
      <c r="G381" t="s">
        <v>36</v>
      </c>
      <c r="H381" t="s">
        <v>44</v>
      </c>
      <c r="I381" t="s">
        <v>69</v>
      </c>
      <c r="J381" t="s">
        <v>57</v>
      </c>
      <c r="K381" t="s">
        <v>52</v>
      </c>
      <c r="L381">
        <v>0</v>
      </c>
      <c r="M381">
        <v>0</v>
      </c>
      <c r="N381">
        <v>40</v>
      </c>
      <c r="O381" t="s">
        <v>41</v>
      </c>
      <c r="P381" t="s">
        <v>42</v>
      </c>
      <c r="Q381">
        <f>IF(Tabela3[[#This Row],[Income]]="&lt;=50K",Tabela3[[#This Row],[Age]],NA())</f>
        <v>29</v>
      </c>
      <c r="R381">
        <f>IF(Tabela3[[#This Row],[Income]]="&lt;=50K",Tabela3[[#This Row],[education-num]],NA())</f>
        <v>13</v>
      </c>
      <c r="S381" t="e">
        <f>IF(Tabela3[[#This Row],[Income]]="&gt;50K",Tabela3[[#This Row],[Age]],NA())</f>
        <v>#N/A</v>
      </c>
      <c r="T381" t="e">
        <f>IF(Tabela3[[#This Row],[Income]]="&gt;50K",Tabela3[[#This Row],[education-num]],NA())</f>
        <v>#N/A</v>
      </c>
    </row>
    <row r="382" spans="1:20">
      <c r="A382">
        <v>381</v>
      </c>
      <c r="B382">
        <v>31</v>
      </c>
      <c r="C382" t="s">
        <v>34</v>
      </c>
      <c r="D382">
        <v>145935</v>
      </c>
      <c r="E382" t="s">
        <v>62</v>
      </c>
      <c r="F382">
        <v>9</v>
      </c>
      <c r="G382" t="s">
        <v>36</v>
      </c>
      <c r="H382" t="s">
        <v>80</v>
      </c>
      <c r="I382" t="s">
        <v>38</v>
      </c>
      <c r="J382" t="s">
        <v>57</v>
      </c>
      <c r="K382" t="s">
        <v>52</v>
      </c>
      <c r="L382">
        <v>0</v>
      </c>
      <c r="M382">
        <v>0</v>
      </c>
      <c r="N382">
        <v>40</v>
      </c>
      <c r="O382" t="s">
        <v>41</v>
      </c>
      <c r="P382" t="s">
        <v>42</v>
      </c>
      <c r="Q382">
        <f>IF(Tabela3[[#This Row],[Income]]="&lt;=50K",Tabela3[[#This Row],[Age]],NA())</f>
        <v>31</v>
      </c>
      <c r="R382">
        <f>IF(Tabela3[[#This Row],[Income]]="&lt;=50K",Tabela3[[#This Row],[education-num]],NA())</f>
        <v>9</v>
      </c>
      <c r="S382" t="e">
        <f>IF(Tabela3[[#This Row],[Income]]="&gt;50K",Tabela3[[#This Row],[Age]],NA())</f>
        <v>#N/A</v>
      </c>
      <c r="T382" t="e">
        <f>IF(Tabela3[[#This Row],[Income]]="&gt;50K",Tabela3[[#This Row],[education-num]],NA())</f>
        <v>#N/A</v>
      </c>
    </row>
    <row r="383" spans="1:20">
      <c r="A383">
        <v>382</v>
      </c>
      <c r="B383">
        <v>33</v>
      </c>
      <c r="C383" t="s">
        <v>74</v>
      </c>
      <c r="D383">
        <v>67482</v>
      </c>
      <c r="E383" t="s">
        <v>78</v>
      </c>
      <c r="F383">
        <v>11</v>
      </c>
      <c r="G383" t="s">
        <v>49</v>
      </c>
      <c r="H383" t="s">
        <v>37</v>
      </c>
      <c r="I383" t="s">
        <v>69</v>
      </c>
      <c r="J383" t="s">
        <v>39</v>
      </c>
      <c r="K383" t="s">
        <v>40</v>
      </c>
      <c r="L383">
        <v>0</v>
      </c>
      <c r="M383">
        <v>0</v>
      </c>
      <c r="N383">
        <v>99</v>
      </c>
      <c r="O383" t="s">
        <v>41</v>
      </c>
      <c r="P383" t="s">
        <v>42</v>
      </c>
      <c r="Q383">
        <f>IF(Tabela3[[#This Row],[Income]]="&lt;=50K",Tabela3[[#This Row],[Age]],NA())</f>
        <v>33</v>
      </c>
      <c r="R383">
        <f>IF(Tabela3[[#This Row],[Income]]="&lt;=50K",Tabela3[[#This Row],[education-num]],NA())</f>
        <v>11</v>
      </c>
      <c r="S383" t="e">
        <f>IF(Tabela3[[#This Row],[Income]]="&gt;50K",Tabela3[[#This Row],[Age]],NA())</f>
        <v>#N/A</v>
      </c>
      <c r="T383" t="e">
        <f>IF(Tabela3[[#This Row],[Income]]="&gt;50K",Tabela3[[#This Row],[education-num]],NA())</f>
        <v>#N/A</v>
      </c>
    </row>
    <row r="384" spans="1:20">
      <c r="A384">
        <v>383</v>
      </c>
      <c r="B384">
        <v>33</v>
      </c>
      <c r="C384" t="s">
        <v>34</v>
      </c>
      <c r="D384">
        <v>213308</v>
      </c>
      <c r="E384" t="s">
        <v>78</v>
      </c>
      <c r="F384">
        <v>11</v>
      </c>
      <c r="G384" t="s">
        <v>55</v>
      </c>
      <c r="H384" t="s">
        <v>67</v>
      </c>
      <c r="I384" t="s">
        <v>38</v>
      </c>
      <c r="J384" t="s">
        <v>57</v>
      </c>
      <c r="K384" t="s">
        <v>40</v>
      </c>
      <c r="L384">
        <v>0</v>
      </c>
      <c r="M384">
        <v>0</v>
      </c>
      <c r="N384">
        <v>50</v>
      </c>
      <c r="O384" t="s">
        <v>41</v>
      </c>
      <c r="P384" t="s">
        <v>42</v>
      </c>
      <c r="Q384">
        <f>IF(Tabela3[[#This Row],[Income]]="&lt;=50K",Tabela3[[#This Row],[Age]],NA())</f>
        <v>33</v>
      </c>
      <c r="R384">
        <f>IF(Tabela3[[#This Row],[Income]]="&lt;=50K",Tabela3[[#This Row],[education-num]],NA())</f>
        <v>11</v>
      </c>
      <c r="S384" t="e">
        <f>IF(Tabela3[[#This Row],[Income]]="&gt;50K",Tabela3[[#This Row],[Age]],NA())</f>
        <v>#N/A</v>
      </c>
      <c r="T384" t="e">
        <f>IF(Tabela3[[#This Row],[Income]]="&gt;50K",Tabela3[[#This Row],[education-num]],NA())</f>
        <v>#N/A</v>
      </c>
    </row>
    <row r="385" spans="1:20">
      <c r="A385">
        <v>384</v>
      </c>
      <c r="B385">
        <v>21</v>
      </c>
      <c r="C385" t="s">
        <v>71</v>
      </c>
      <c r="D385">
        <v>170070</v>
      </c>
      <c r="E385" t="s">
        <v>46</v>
      </c>
      <c r="F385">
        <v>10</v>
      </c>
      <c r="G385" t="s">
        <v>36</v>
      </c>
      <c r="H385" t="s">
        <v>71</v>
      </c>
      <c r="I385" t="s">
        <v>45</v>
      </c>
      <c r="J385" t="s">
        <v>39</v>
      </c>
      <c r="K385" t="s">
        <v>40</v>
      </c>
      <c r="L385">
        <v>0</v>
      </c>
      <c r="M385">
        <v>0</v>
      </c>
      <c r="N385">
        <v>10</v>
      </c>
      <c r="O385" t="s">
        <v>41</v>
      </c>
      <c r="P385" t="s">
        <v>42</v>
      </c>
      <c r="Q385">
        <f>IF(Tabela3[[#This Row],[Income]]="&lt;=50K",Tabela3[[#This Row],[Age]],NA())</f>
        <v>21</v>
      </c>
      <c r="R385">
        <f>IF(Tabela3[[#This Row],[Income]]="&lt;=50K",Tabela3[[#This Row],[education-num]],NA())</f>
        <v>10</v>
      </c>
      <c r="S385" t="e">
        <f>IF(Tabela3[[#This Row],[Income]]="&gt;50K",Tabela3[[#This Row],[Age]],NA())</f>
        <v>#N/A</v>
      </c>
      <c r="T385" t="e">
        <f>IF(Tabela3[[#This Row],[Income]]="&gt;50K",Tabela3[[#This Row],[education-num]],NA())</f>
        <v>#N/A</v>
      </c>
    </row>
    <row r="386" spans="1:20">
      <c r="A386">
        <v>385</v>
      </c>
      <c r="B386">
        <v>44</v>
      </c>
      <c r="C386" t="s">
        <v>75</v>
      </c>
      <c r="D386">
        <v>161240</v>
      </c>
      <c r="E386" t="s">
        <v>62</v>
      </c>
      <c r="F386">
        <v>9</v>
      </c>
      <c r="G386" t="s">
        <v>49</v>
      </c>
      <c r="H386" t="s">
        <v>56</v>
      </c>
      <c r="I386" t="s">
        <v>45</v>
      </c>
      <c r="J386" t="s">
        <v>39</v>
      </c>
      <c r="K386" t="s">
        <v>52</v>
      </c>
      <c r="L386">
        <v>0</v>
      </c>
      <c r="M386">
        <v>0</v>
      </c>
      <c r="N386">
        <v>40</v>
      </c>
      <c r="O386" t="s">
        <v>41</v>
      </c>
      <c r="P386" t="s">
        <v>42</v>
      </c>
      <c r="Q386">
        <f>IF(Tabela3[[#This Row],[Income]]="&lt;=50K",Tabela3[[#This Row],[Age]],NA())</f>
        <v>44</v>
      </c>
      <c r="R386">
        <f>IF(Tabela3[[#This Row],[Income]]="&lt;=50K",Tabela3[[#This Row],[education-num]],NA())</f>
        <v>9</v>
      </c>
      <c r="S386" t="e">
        <f>IF(Tabela3[[#This Row],[Income]]="&gt;50K",Tabela3[[#This Row],[Age]],NA())</f>
        <v>#N/A</v>
      </c>
      <c r="T386" t="e">
        <f>IF(Tabela3[[#This Row],[Income]]="&gt;50K",Tabela3[[#This Row],[education-num]],NA())</f>
        <v>#N/A</v>
      </c>
    </row>
    <row r="387" spans="1:20">
      <c r="A387">
        <v>386</v>
      </c>
      <c r="B387">
        <v>37</v>
      </c>
      <c r="C387" t="s">
        <v>34</v>
      </c>
      <c r="D387">
        <v>94334</v>
      </c>
      <c r="E387" t="s">
        <v>91</v>
      </c>
      <c r="F387">
        <v>4</v>
      </c>
      <c r="G387" t="s">
        <v>36</v>
      </c>
      <c r="H387" t="s">
        <v>56</v>
      </c>
      <c r="I387" t="s">
        <v>38</v>
      </c>
      <c r="J387" t="s">
        <v>39</v>
      </c>
      <c r="K387" t="s">
        <v>40</v>
      </c>
      <c r="L387">
        <v>0</v>
      </c>
      <c r="M387">
        <v>0</v>
      </c>
      <c r="N387">
        <v>25</v>
      </c>
      <c r="O387" t="s">
        <v>41</v>
      </c>
      <c r="P387" t="s">
        <v>42</v>
      </c>
      <c r="Q387">
        <f>IF(Tabela3[[#This Row],[Income]]="&lt;=50K",Tabela3[[#This Row],[Age]],NA())</f>
        <v>37</v>
      </c>
      <c r="R387">
        <f>IF(Tabela3[[#This Row],[Income]]="&lt;=50K",Tabela3[[#This Row],[education-num]],NA())</f>
        <v>4</v>
      </c>
      <c r="S387" t="e">
        <f>IF(Tabela3[[#This Row],[Income]]="&gt;50K",Tabela3[[#This Row],[Age]],NA())</f>
        <v>#N/A</v>
      </c>
      <c r="T387" t="e">
        <f>IF(Tabela3[[#This Row],[Income]]="&gt;50K",Tabela3[[#This Row],[education-num]],NA())</f>
        <v>#N/A</v>
      </c>
    </row>
    <row r="388" spans="1:20">
      <c r="A388">
        <v>387</v>
      </c>
      <c r="B388">
        <v>19</v>
      </c>
      <c r="C388" t="s">
        <v>34</v>
      </c>
      <c r="D388">
        <v>144911</v>
      </c>
      <c r="E388" t="s">
        <v>46</v>
      </c>
      <c r="F388">
        <v>10</v>
      </c>
      <c r="G388" t="s">
        <v>36</v>
      </c>
      <c r="H388" t="s">
        <v>37</v>
      </c>
      <c r="I388" t="s">
        <v>38</v>
      </c>
      <c r="J388" t="s">
        <v>39</v>
      </c>
      <c r="K388" t="s">
        <v>52</v>
      </c>
      <c r="L388">
        <v>0</v>
      </c>
      <c r="M388">
        <v>0</v>
      </c>
      <c r="N388">
        <v>20</v>
      </c>
      <c r="O388" t="s">
        <v>41</v>
      </c>
      <c r="P388" t="s">
        <v>42</v>
      </c>
      <c r="Q388">
        <f>IF(Tabela3[[#This Row],[Income]]="&lt;=50K",Tabela3[[#This Row],[Age]],NA())</f>
        <v>19</v>
      </c>
      <c r="R388">
        <f>IF(Tabela3[[#This Row],[Income]]="&lt;=50K",Tabela3[[#This Row],[education-num]],NA())</f>
        <v>10</v>
      </c>
      <c r="S388" t="e">
        <f>IF(Tabela3[[#This Row],[Income]]="&gt;50K",Tabela3[[#This Row],[Age]],NA())</f>
        <v>#N/A</v>
      </c>
      <c r="T388" t="e">
        <f>IF(Tabela3[[#This Row],[Income]]="&gt;50K",Tabela3[[#This Row],[education-num]],NA())</f>
        <v>#N/A</v>
      </c>
    </row>
    <row r="389" spans="1:20">
      <c r="A389">
        <v>388</v>
      </c>
      <c r="B389">
        <v>32</v>
      </c>
      <c r="C389" t="s">
        <v>54</v>
      </c>
      <c r="D389">
        <v>100135</v>
      </c>
      <c r="E389" t="s">
        <v>62</v>
      </c>
      <c r="F389">
        <v>9</v>
      </c>
      <c r="G389" t="s">
        <v>49</v>
      </c>
      <c r="H389" t="s">
        <v>67</v>
      </c>
      <c r="I389" t="s">
        <v>69</v>
      </c>
      <c r="J389" t="s">
        <v>39</v>
      </c>
      <c r="K389" t="s">
        <v>40</v>
      </c>
      <c r="L389">
        <v>0</v>
      </c>
      <c r="M389">
        <v>0</v>
      </c>
      <c r="N389">
        <v>40</v>
      </c>
      <c r="O389" t="s">
        <v>41</v>
      </c>
      <c r="P389" t="s">
        <v>42</v>
      </c>
      <c r="Q389">
        <f>IF(Tabela3[[#This Row],[Income]]="&lt;=50K",Tabela3[[#This Row],[Age]],NA())</f>
        <v>32</v>
      </c>
      <c r="R389">
        <f>IF(Tabela3[[#This Row],[Income]]="&lt;=50K",Tabela3[[#This Row],[education-num]],NA())</f>
        <v>9</v>
      </c>
      <c r="S389" t="e">
        <f>IF(Tabela3[[#This Row],[Income]]="&gt;50K",Tabela3[[#This Row],[Age]],NA())</f>
        <v>#N/A</v>
      </c>
      <c r="T389" t="e">
        <f>IF(Tabela3[[#This Row],[Income]]="&gt;50K",Tabela3[[#This Row],[education-num]],NA())</f>
        <v>#N/A</v>
      </c>
    </row>
    <row r="390" spans="1:20">
      <c r="A390">
        <v>389</v>
      </c>
      <c r="B390">
        <v>58</v>
      </c>
      <c r="C390" t="s">
        <v>54</v>
      </c>
      <c r="D390">
        <v>34878</v>
      </c>
      <c r="E390" t="s">
        <v>60</v>
      </c>
      <c r="F390">
        <v>13</v>
      </c>
      <c r="G390" t="s">
        <v>49</v>
      </c>
      <c r="H390" t="s">
        <v>61</v>
      </c>
      <c r="I390" t="s">
        <v>45</v>
      </c>
      <c r="J390" t="s">
        <v>39</v>
      </c>
      <c r="K390" t="s">
        <v>40</v>
      </c>
      <c r="L390">
        <v>0</v>
      </c>
      <c r="M390">
        <v>0</v>
      </c>
      <c r="N390">
        <v>50</v>
      </c>
      <c r="O390" t="s">
        <v>41</v>
      </c>
      <c r="P390" t="s">
        <v>42</v>
      </c>
      <c r="Q390">
        <f>IF(Tabela3[[#This Row],[Income]]="&lt;=50K",Tabela3[[#This Row],[Age]],NA())</f>
        <v>58</v>
      </c>
      <c r="R390">
        <f>IF(Tabela3[[#This Row],[Income]]="&lt;=50K",Tabela3[[#This Row],[education-num]],NA())</f>
        <v>13</v>
      </c>
      <c r="S390" t="e">
        <f>IF(Tabela3[[#This Row],[Income]]="&gt;50K",Tabela3[[#This Row],[Age]],NA())</f>
        <v>#N/A</v>
      </c>
      <c r="T390" t="e">
        <f>IF(Tabela3[[#This Row],[Income]]="&gt;50K",Tabela3[[#This Row],[education-num]],NA())</f>
        <v>#N/A</v>
      </c>
    </row>
    <row r="391" spans="1:20">
      <c r="A391">
        <v>390</v>
      </c>
      <c r="B391">
        <v>44</v>
      </c>
      <c r="C391" t="s">
        <v>83</v>
      </c>
      <c r="D391">
        <v>37997</v>
      </c>
      <c r="E391" t="s">
        <v>62</v>
      </c>
      <c r="F391">
        <v>9</v>
      </c>
      <c r="G391" t="s">
        <v>63</v>
      </c>
      <c r="H391" t="s">
        <v>58</v>
      </c>
      <c r="I391" t="s">
        <v>66</v>
      </c>
      <c r="J391" t="s">
        <v>39</v>
      </c>
      <c r="K391" t="s">
        <v>52</v>
      </c>
      <c r="L391">
        <v>0</v>
      </c>
      <c r="M391">
        <v>0</v>
      </c>
      <c r="N391">
        <v>60</v>
      </c>
      <c r="O391" t="s">
        <v>41</v>
      </c>
      <c r="P391" t="s">
        <v>42</v>
      </c>
      <c r="Q391">
        <f>IF(Tabela3[[#This Row],[Income]]="&lt;=50K",Tabela3[[#This Row],[Age]],NA())</f>
        <v>44</v>
      </c>
      <c r="R391">
        <f>IF(Tabela3[[#This Row],[Income]]="&lt;=50K",Tabela3[[#This Row],[education-num]],NA())</f>
        <v>9</v>
      </c>
      <c r="S391" t="e">
        <f>IF(Tabela3[[#This Row],[Income]]="&gt;50K",Tabela3[[#This Row],[Age]],NA())</f>
        <v>#N/A</v>
      </c>
      <c r="T391" t="e">
        <f>IF(Tabela3[[#This Row],[Income]]="&gt;50K",Tabela3[[#This Row],[education-num]],NA())</f>
        <v>#N/A</v>
      </c>
    </row>
    <row r="392" spans="1:20">
      <c r="A392">
        <v>391</v>
      </c>
      <c r="B392">
        <v>25</v>
      </c>
      <c r="C392" t="s">
        <v>54</v>
      </c>
      <c r="D392">
        <v>176616</v>
      </c>
      <c r="E392" t="s">
        <v>62</v>
      </c>
      <c r="F392">
        <v>9</v>
      </c>
      <c r="G392" t="s">
        <v>36</v>
      </c>
      <c r="H392" t="s">
        <v>37</v>
      </c>
      <c r="I392" t="s">
        <v>38</v>
      </c>
      <c r="J392" t="s">
        <v>39</v>
      </c>
      <c r="K392" t="s">
        <v>52</v>
      </c>
      <c r="L392">
        <v>0</v>
      </c>
      <c r="M392">
        <v>0</v>
      </c>
      <c r="N392">
        <v>40</v>
      </c>
      <c r="O392" t="s">
        <v>41</v>
      </c>
      <c r="P392" t="s">
        <v>42</v>
      </c>
      <c r="Q392">
        <f>IF(Tabela3[[#This Row],[Income]]="&lt;=50K",Tabela3[[#This Row],[Age]],NA())</f>
        <v>25</v>
      </c>
      <c r="R392">
        <f>IF(Tabela3[[#This Row],[Income]]="&lt;=50K",Tabela3[[#This Row],[education-num]],NA())</f>
        <v>9</v>
      </c>
      <c r="S392" t="e">
        <f>IF(Tabela3[[#This Row],[Income]]="&gt;50K",Tabela3[[#This Row],[Age]],NA())</f>
        <v>#N/A</v>
      </c>
      <c r="T392" t="e">
        <f>IF(Tabela3[[#This Row],[Income]]="&gt;50K",Tabela3[[#This Row],[education-num]],NA())</f>
        <v>#N/A</v>
      </c>
    </row>
    <row r="393" spans="1:20">
      <c r="A393">
        <v>392</v>
      </c>
      <c r="B393">
        <v>45</v>
      </c>
      <c r="C393" t="s">
        <v>59</v>
      </c>
      <c r="D393">
        <v>103406</v>
      </c>
      <c r="E393" t="s">
        <v>60</v>
      </c>
      <c r="F393">
        <v>13</v>
      </c>
      <c r="G393" t="s">
        <v>63</v>
      </c>
      <c r="H393" t="s">
        <v>80</v>
      </c>
      <c r="I393" t="s">
        <v>66</v>
      </c>
      <c r="J393" t="s">
        <v>39</v>
      </c>
      <c r="K393" t="s">
        <v>52</v>
      </c>
      <c r="L393">
        <v>0</v>
      </c>
      <c r="M393">
        <v>1977</v>
      </c>
      <c r="N393">
        <v>60</v>
      </c>
      <c r="O393" t="s">
        <v>41</v>
      </c>
      <c r="P393" t="s">
        <v>53</v>
      </c>
      <c r="Q393" t="e">
        <f>IF(Tabela3[[#This Row],[Income]]="&lt;=50K",Tabela3[[#This Row],[Age]],NA())</f>
        <v>#N/A</v>
      </c>
      <c r="R393" t="e">
        <f>IF(Tabela3[[#This Row],[Income]]="&lt;=50K",Tabela3[[#This Row],[education-num]],NA())</f>
        <v>#N/A</v>
      </c>
      <c r="S393">
        <f>IF(Tabela3[[#This Row],[Income]]="&gt;50K",Tabela3[[#This Row],[Age]],NA())</f>
        <v>45</v>
      </c>
      <c r="T393">
        <f>IF(Tabela3[[#This Row],[Income]]="&gt;50K",Tabela3[[#This Row],[education-num]],NA())</f>
        <v>13</v>
      </c>
    </row>
    <row r="394" spans="1:20">
      <c r="A394">
        <v>393</v>
      </c>
      <c r="B394">
        <v>46</v>
      </c>
      <c r="C394" t="s">
        <v>83</v>
      </c>
      <c r="D394">
        <v>110457</v>
      </c>
      <c r="E394" t="s">
        <v>73</v>
      </c>
      <c r="F394">
        <v>14</v>
      </c>
      <c r="G394" t="s">
        <v>63</v>
      </c>
      <c r="H394" t="s">
        <v>80</v>
      </c>
      <c r="I394" t="s">
        <v>66</v>
      </c>
      <c r="J394" t="s">
        <v>39</v>
      </c>
      <c r="K394" t="s">
        <v>52</v>
      </c>
      <c r="L394">
        <v>0</v>
      </c>
      <c r="M394">
        <v>0</v>
      </c>
      <c r="N394">
        <v>55</v>
      </c>
      <c r="O394" t="s">
        <v>41</v>
      </c>
      <c r="P394" t="s">
        <v>53</v>
      </c>
      <c r="Q394" t="e">
        <f>IF(Tabela3[[#This Row],[Income]]="&lt;=50K",Tabela3[[#This Row],[Age]],NA())</f>
        <v>#N/A</v>
      </c>
      <c r="R394" t="e">
        <f>IF(Tabela3[[#This Row],[Income]]="&lt;=50K",Tabela3[[#This Row],[education-num]],NA())</f>
        <v>#N/A</v>
      </c>
      <c r="S394">
        <f>IF(Tabela3[[#This Row],[Income]]="&gt;50K",Tabela3[[#This Row],[Age]],NA())</f>
        <v>46</v>
      </c>
      <c r="T394">
        <f>IF(Tabela3[[#This Row],[Income]]="&gt;50K",Tabela3[[#This Row],[education-num]],NA())</f>
        <v>14</v>
      </c>
    </row>
    <row r="395" spans="1:20">
      <c r="A395">
        <v>394</v>
      </c>
      <c r="B395">
        <v>38</v>
      </c>
      <c r="C395" t="s">
        <v>34</v>
      </c>
      <c r="D395">
        <v>161141</v>
      </c>
      <c r="E395" t="s">
        <v>46</v>
      </c>
      <c r="F395">
        <v>10</v>
      </c>
      <c r="G395" t="s">
        <v>63</v>
      </c>
      <c r="H395" t="s">
        <v>64</v>
      </c>
      <c r="I395" t="s">
        <v>66</v>
      </c>
      <c r="J395" t="s">
        <v>39</v>
      </c>
      <c r="K395" t="s">
        <v>52</v>
      </c>
      <c r="L395">
        <v>0</v>
      </c>
      <c r="M395">
        <v>0</v>
      </c>
      <c r="N395">
        <v>45</v>
      </c>
      <c r="O395" t="s">
        <v>41</v>
      </c>
      <c r="P395" t="s">
        <v>42</v>
      </c>
      <c r="Q395">
        <f>IF(Tabela3[[#This Row],[Income]]="&lt;=50K",Tabela3[[#This Row],[Age]],NA())</f>
        <v>38</v>
      </c>
      <c r="R395">
        <f>IF(Tabela3[[#This Row],[Income]]="&lt;=50K",Tabela3[[#This Row],[education-num]],NA())</f>
        <v>10</v>
      </c>
      <c r="S395" t="e">
        <f>IF(Tabela3[[#This Row],[Income]]="&gt;50K",Tabela3[[#This Row],[Age]],NA())</f>
        <v>#N/A</v>
      </c>
      <c r="T395" t="e">
        <f>IF(Tabela3[[#This Row],[Income]]="&gt;50K",Tabela3[[#This Row],[education-num]],NA())</f>
        <v>#N/A</v>
      </c>
    </row>
    <row r="396" spans="1:20">
      <c r="A396">
        <v>395</v>
      </c>
      <c r="B396">
        <v>47</v>
      </c>
      <c r="C396" t="s">
        <v>34</v>
      </c>
      <c r="D396">
        <v>128796</v>
      </c>
      <c r="E396" t="s">
        <v>62</v>
      </c>
      <c r="F396">
        <v>9</v>
      </c>
      <c r="G396" t="s">
        <v>63</v>
      </c>
      <c r="H396" t="s">
        <v>50</v>
      </c>
      <c r="I396" t="s">
        <v>66</v>
      </c>
      <c r="J396" t="s">
        <v>39</v>
      </c>
      <c r="K396" t="s">
        <v>52</v>
      </c>
      <c r="L396">
        <v>0</v>
      </c>
      <c r="M396">
        <v>0</v>
      </c>
      <c r="N396">
        <v>40</v>
      </c>
      <c r="O396" t="s">
        <v>41</v>
      </c>
      <c r="P396" t="s">
        <v>53</v>
      </c>
      <c r="Q396" t="e">
        <f>IF(Tabela3[[#This Row],[Income]]="&lt;=50K",Tabela3[[#This Row],[Age]],NA())</f>
        <v>#N/A</v>
      </c>
      <c r="R396" t="e">
        <f>IF(Tabela3[[#This Row],[Income]]="&lt;=50K",Tabela3[[#This Row],[education-num]],NA())</f>
        <v>#N/A</v>
      </c>
      <c r="S396">
        <f>IF(Tabela3[[#This Row],[Income]]="&gt;50K",Tabela3[[#This Row],[Age]],NA())</f>
        <v>47</v>
      </c>
      <c r="T396">
        <f>IF(Tabela3[[#This Row],[Income]]="&gt;50K",Tabela3[[#This Row],[education-num]],NA())</f>
        <v>9</v>
      </c>
    </row>
    <row r="397" spans="1:20">
      <c r="A397">
        <v>396</v>
      </c>
      <c r="B397">
        <v>39</v>
      </c>
      <c r="C397" t="s">
        <v>34</v>
      </c>
      <c r="D397">
        <v>24106</v>
      </c>
      <c r="E397" t="s">
        <v>46</v>
      </c>
      <c r="F397">
        <v>10</v>
      </c>
      <c r="G397" t="s">
        <v>63</v>
      </c>
      <c r="H397" t="s">
        <v>44</v>
      </c>
      <c r="I397" t="s">
        <v>66</v>
      </c>
      <c r="J397" t="s">
        <v>39</v>
      </c>
      <c r="K397" t="s">
        <v>52</v>
      </c>
      <c r="L397">
        <v>0</v>
      </c>
      <c r="M397">
        <v>0</v>
      </c>
      <c r="N397">
        <v>40</v>
      </c>
      <c r="O397" t="s">
        <v>106</v>
      </c>
      <c r="P397" t="s">
        <v>53</v>
      </c>
      <c r="Q397" t="e">
        <f>IF(Tabela3[[#This Row],[Income]]="&lt;=50K",Tabela3[[#This Row],[Age]],NA())</f>
        <v>#N/A</v>
      </c>
      <c r="R397" t="e">
        <f>IF(Tabela3[[#This Row],[Income]]="&lt;=50K",Tabela3[[#This Row],[education-num]],NA())</f>
        <v>#N/A</v>
      </c>
      <c r="S397">
        <f>IF(Tabela3[[#This Row],[Income]]="&gt;50K",Tabela3[[#This Row],[Age]],NA())</f>
        <v>39</v>
      </c>
      <c r="T397">
        <f>IF(Tabela3[[#This Row],[Income]]="&gt;50K",Tabela3[[#This Row],[education-num]],NA())</f>
        <v>10</v>
      </c>
    </row>
    <row r="398" spans="1:20">
      <c r="A398">
        <v>397</v>
      </c>
      <c r="B398">
        <v>28</v>
      </c>
      <c r="C398" t="s">
        <v>34</v>
      </c>
      <c r="D398">
        <v>173611</v>
      </c>
      <c r="E398" t="s">
        <v>62</v>
      </c>
      <c r="F398">
        <v>9</v>
      </c>
      <c r="G398" t="s">
        <v>36</v>
      </c>
      <c r="H398" t="s">
        <v>80</v>
      </c>
      <c r="I398" t="s">
        <v>38</v>
      </c>
      <c r="J398" t="s">
        <v>39</v>
      </c>
      <c r="K398" t="s">
        <v>40</v>
      </c>
      <c r="L398">
        <v>0</v>
      </c>
      <c r="M398">
        <v>0</v>
      </c>
      <c r="N398">
        <v>40</v>
      </c>
      <c r="O398" t="s">
        <v>41</v>
      </c>
      <c r="P398" t="s">
        <v>42</v>
      </c>
      <c r="Q398">
        <f>IF(Tabela3[[#This Row],[Income]]="&lt;=50K",Tabela3[[#This Row],[Age]],NA())</f>
        <v>28</v>
      </c>
      <c r="R398">
        <f>IF(Tabela3[[#This Row],[Income]]="&lt;=50K",Tabela3[[#This Row],[education-num]],NA())</f>
        <v>9</v>
      </c>
      <c r="S398" t="e">
        <f>IF(Tabela3[[#This Row],[Income]]="&gt;50K",Tabela3[[#This Row],[Age]],NA())</f>
        <v>#N/A</v>
      </c>
      <c r="T398" t="e">
        <f>IF(Tabela3[[#This Row],[Income]]="&gt;50K",Tabela3[[#This Row],[education-num]],NA())</f>
        <v>#N/A</v>
      </c>
    </row>
    <row r="399" spans="1:20">
      <c r="A399">
        <v>398</v>
      </c>
      <c r="B399">
        <v>41</v>
      </c>
      <c r="C399" t="s">
        <v>34</v>
      </c>
      <c r="D399">
        <v>121055</v>
      </c>
      <c r="E399" t="s">
        <v>62</v>
      </c>
      <c r="F399">
        <v>9</v>
      </c>
      <c r="G399" t="s">
        <v>49</v>
      </c>
      <c r="H399" t="s">
        <v>72</v>
      </c>
      <c r="I399" t="s">
        <v>45</v>
      </c>
      <c r="J399" t="s">
        <v>39</v>
      </c>
      <c r="K399" t="s">
        <v>52</v>
      </c>
      <c r="L399">
        <v>0</v>
      </c>
      <c r="M399">
        <v>0</v>
      </c>
      <c r="N399">
        <v>40</v>
      </c>
      <c r="O399" t="s">
        <v>41</v>
      </c>
      <c r="P399" t="s">
        <v>42</v>
      </c>
      <c r="Q399">
        <f>IF(Tabela3[[#This Row],[Income]]="&lt;=50K",Tabela3[[#This Row],[Age]],NA())</f>
        <v>41</v>
      </c>
      <c r="R399">
        <f>IF(Tabela3[[#This Row],[Income]]="&lt;=50K",Tabela3[[#This Row],[education-num]],NA())</f>
        <v>9</v>
      </c>
      <c r="S399" t="e">
        <f>IF(Tabela3[[#This Row],[Income]]="&gt;50K",Tabela3[[#This Row],[Age]],NA())</f>
        <v>#N/A</v>
      </c>
      <c r="T399" t="e">
        <f>IF(Tabela3[[#This Row],[Income]]="&gt;50K",Tabela3[[#This Row],[education-num]],NA())</f>
        <v>#N/A</v>
      </c>
    </row>
    <row r="400" spans="1:20">
      <c r="A400">
        <v>399</v>
      </c>
      <c r="B400">
        <v>23</v>
      </c>
      <c r="C400" t="s">
        <v>75</v>
      </c>
      <c r="D400">
        <v>41356</v>
      </c>
      <c r="E400" t="s">
        <v>43</v>
      </c>
      <c r="F400">
        <v>12</v>
      </c>
      <c r="G400" t="s">
        <v>36</v>
      </c>
      <c r="H400" t="s">
        <v>80</v>
      </c>
      <c r="I400" t="s">
        <v>69</v>
      </c>
      <c r="J400" t="s">
        <v>39</v>
      </c>
      <c r="K400" t="s">
        <v>40</v>
      </c>
      <c r="L400">
        <v>0</v>
      </c>
      <c r="M400">
        <v>0</v>
      </c>
      <c r="N400">
        <v>32</v>
      </c>
      <c r="O400" t="s">
        <v>41</v>
      </c>
      <c r="P400" t="s">
        <v>42</v>
      </c>
      <c r="Q400">
        <f>IF(Tabela3[[#This Row],[Income]]="&lt;=50K",Tabela3[[#This Row],[Age]],NA())</f>
        <v>23</v>
      </c>
      <c r="R400">
        <f>IF(Tabela3[[#This Row],[Income]]="&lt;=50K",Tabela3[[#This Row],[education-num]],NA())</f>
        <v>12</v>
      </c>
      <c r="S400" t="e">
        <f>IF(Tabela3[[#This Row],[Income]]="&gt;50K",Tabela3[[#This Row],[Age]],NA())</f>
        <v>#N/A</v>
      </c>
      <c r="T400" t="e">
        <f>IF(Tabela3[[#This Row],[Income]]="&gt;50K",Tabela3[[#This Row],[education-num]],NA())</f>
        <v>#N/A</v>
      </c>
    </row>
    <row r="401" spans="1:20">
      <c r="A401">
        <v>400</v>
      </c>
      <c r="B401">
        <v>37</v>
      </c>
      <c r="C401" t="s">
        <v>34</v>
      </c>
      <c r="D401">
        <v>220314</v>
      </c>
      <c r="E401" t="s">
        <v>62</v>
      </c>
      <c r="F401">
        <v>9</v>
      </c>
      <c r="G401" t="s">
        <v>49</v>
      </c>
      <c r="H401" t="s">
        <v>67</v>
      </c>
      <c r="I401" t="s">
        <v>69</v>
      </c>
      <c r="J401" t="s">
        <v>39</v>
      </c>
      <c r="K401" t="s">
        <v>40</v>
      </c>
      <c r="L401">
        <v>0</v>
      </c>
      <c r="M401">
        <v>0</v>
      </c>
      <c r="N401">
        <v>40</v>
      </c>
      <c r="O401" t="s">
        <v>88</v>
      </c>
      <c r="P401" t="s">
        <v>42</v>
      </c>
      <c r="Q401">
        <f>IF(Tabela3[[#This Row],[Income]]="&lt;=50K",Tabela3[[#This Row],[Age]],NA())</f>
        <v>37</v>
      </c>
      <c r="R401">
        <f>IF(Tabela3[[#This Row],[Income]]="&lt;=50K",Tabela3[[#This Row],[education-num]],NA())</f>
        <v>9</v>
      </c>
      <c r="S401" t="e">
        <f>IF(Tabela3[[#This Row],[Income]]="&gt;50K",Tabela3[[#This Row],[Age]],NA())</f>
        <v>#N/A</v>
      </c>
      <c r="T401" t="e">
        <f>IF(Tabela3[[#This Row],[Income]]="&gt;50K",Tabela3[[#This Row],[education-num]],NA())</f>
        <v>#N/A</v>
      </c>
    </row>
    <row r="402" spans="1:20">
      <c r="A402">
        <v>401</v>
      </c>
      <c r="B402">
        <v>34</v>
      </c>
      <c r="C402" t="s">
        <v>34</v>
      </c>
      <c r="D402">
        <v>118551</v>
      </c>
      <c r="E402" t="s">
        <v>60</v>
      </c>
      <c r="F402">
        <v>13</v>
      </c>
      <c r="G402" t="s">
        <v>36</v>
      </c>
      <c r="H402" t="s">
        <v>64</v>
      </c>
      <c r="I402" t="s">
        <v>45</v>
      </c>
      <c r="J402" t="s">
        <v>39</v>
      </c>
      <c r="K402" t="s">
        <v>40</v>
      </c>
      <c r="L402">
        <v>0</v>
      </c>
      <c r="M402">
        <v>0</v>
      </c>
      <c r="N402">
        <v>40</v>
      </c>
      <c r="O402" t="s">
        <v>41</v>
      </c>
      <c r="P402" t="s">
        <v>42</v>
      </c>
      <c r="Q402">
        <f>IF(Tabela3[[#This Row],[Income]]="&lt;=50K",Tabela3[[#This Row],[Age]],NA())</f>
        <v>34</v>
      </c>
      <c r="R402">
        <f>IF(Tabela3[[#This Row],[Income]]="&lt;=50K",Tabela3[[#This Row],[education-num]],NA())</f>
        <v>13</v>
      </c>
      <c r="S402" t="e">
        <f>IF(Tabela3[[#This Row],[Income]]="&gt;50K",Tabela3[[#This Row],[Age]],NA())</f>
        <v>#N/A</v>
      </c>
      <c r="T402" t="e">
        <f>IF(Tabela3[[#This Row],[Income]]="&gt;50K",Tabela3[[#This Row],[education-num]],NA())</f>
        <v>#N/A</v>
      </c>
    </row>
    <row r="403" spans="1:20">
      <c r="A403">
        <v>402</v>
      </c>
      <c r="B403">
        <v>46</v>
      </c>
      <c r="C403" t="s">
        <v>34</v>
      </c>
      <c r="D403">
        <v>251786</v>
      </c>
      <c r="E403" t="s">
        <v>99</v>
      </c>
      <c r="F403">
        <v>2</v>
      </c>
      <c r="G403" t="s">
        <v>55</v>
      </c>
      <c r="H403" t="s">
        <v>37</v>
      </c>
      <c r="I403" t="s">
        <v>45</v>
      </c>
      <c r="J403" t="s">
        <v>39</v>
      </c>
      <c r="K403" t="s">
        <v>40</v>
      </c>
      <c r="L403">
        <v>0</v>
      </c>
      <c r="M403">
        <v>0</v>
      </c>
      <c r="N403">
        <v>40</v>
      </c>
      <c r="O403" t="s">
        <v>88</v>
      </c>
      <c r="P403" t="s">
        <v>42</v>
      </c>
      <c r="Q403">
        <f>IF(Tabela3[[#This Row],[Income]]="&lt;=50K",Tabela3[[#This Row],[Age]],NA())</f>
        <v>46</v>
      </c>
      <c r="R403">
        <f>IF(Tabela3[[#This Row],[Income]]="&lt;=50K",Tabela3[[#This Row],[education-num]],NA())</f>
        <v>2</v>
      </c>
      <c r="S403" t="e">
        <f>IF(Tabela3[[#This Row],[Income]]="&gt;50K",Tabela3[[#This Row],[Age]],NA())</f>
        <v>#N/A</v>
      </c>
      <c r="T403" t="e">
        <f>IF(Tabela3[[#This Row],[Income]]="&gt;50K",Tabela3[[#This Row],[education-num]],NA())</f>
        <v>#N/A</v>
      </c>
    </row>
    <row r="404" spans="1:20">
      <c r="A404">
        <v>403</v>
      </c>
      <c r="B404">
        <v>30</v>
      </c>
      <c r="C404" t="s">
        <v>75</v>
      </c>
      <c r="D404">
        <v>321990</v>
      </c>
      <c r="E404" t="s">
        <v>46</v>
      </c>
      <c r="F404">
        <v>10</v>
      </c>
      <c r="G404" t="s">
        <v>63</v>
      </c>
      <c r="H404" t="s">
        <v>67</v>
      </c>
      <c r="I404" t="s">
        <v>66</v>
      </c>
      <c r="J404" t="s">
        <v>39</v>
      </c>
      <c r="K404" t="s">
        <v>52</v>
      </c>
      <c r="L404">
        <v>7298</v>
      </c>
      <c r="M404">
        <v>0</v>
      </c>
      <c r="N404">
        <v>48</v>
      </c>
      <c r="O404" t="s">
        <v>102</v>
      </c>
      <c r="P404" t="s">
        <v>53</v>
      </c>
      <c r="Q404" t="e">
        <f>IF(Tabela3[[#This Row],[Income]]="&lt;=50K",Tabela3[[#This Row],[Age]],NA())</f>
        <v>#N/A</v>
      </c>
      <c r="R404" t="e">
        <f>IF(Tabela3[[#This Row],[Income]]="&lt;=50K",Tabela3[[#This Row],[education-num]],NA())</f>
        <v>#N/A</v>
      </c>
      <c r="S404">
        <f>IF(Tabela3[[#This Row],[Income]]="&gt;50K",Tabela3[[#This Row],[Age]],NA())</f>
        <v>30</v>
      </c>
      <c r="T404">
        <f>IF(Tabela3[[#This Row],[Income]]="&gt;50K",Tabela3[[#This Row],[education-num]],NA())</f>
        <v>10</v>
      </c>
    </row>
    <row r="405" spans="1:20">
      <c r="A405">
        <v>404</v>
      </c>
      <c r="B405">
        <v>30</v>
      </c>
      <c r="C405" t="s">
        <v>34</v>
      </c>
      <c r="D405">
        <v>187279</v>
      </c>
      <c r="E405" t="s">
        <v>62</v>
      </c>
      <c r="F405">
        <v>9</v>
      </c>
      <c r="G405" t="s">
        <v>63</v>
      </c>
      <c r="H405" t="s">
        <v>68</v>
      </c>
      <c r="I405" t="s">
        <v>66</v>
      </c>
      <c r="J405" t="s">
        <v>39</v>
      </c>
      <c r="K405" t="s">
        <v>52</v>
      </c>
      <c r="L405">
        <v>0</v>
      </c>
      <c r="M405">
        <v>0</v>
      </c>
      <c r="N405">
        <v>44</v>
      </c>
      <c r="O405" t="s">
        <v>41</v>
      </c>
      <c r="P405" t="s">
        <v>42</v>
      </c>
      <c r="Q405">
        <f>IF(Tabela3[[#This Row],[Income]]="&lt;=50K",Tabela3[[#This Row],[Age]],NA())</f>
        <v>30</v>
      </c>
      <c r="R405">
        <f>IF(Tabela3[[#This Row],[Income]]="&lt;=50K",Tabela3[[#This Row],[education-num]],NA())</f>
        <v>9</v>
      </c>
      <c r="S405" t="e">
        <f>IF(Tabela3[[#This Row],[Income]]="&gt;50K",Tabela3[[#This Row],[Age]],NA())</f>
        <v>#N/A</v>
      </c>
      <c r="T405" t="e">
        <f>IF(Tabela3[[#This Row],[Income]]="&gt;50K",Tabela3[[#This Row],[education-num]],NA())</f>
        <v>#N/A</v>
      </c>
    </row>
    <row r="406" spans="1:20">
      <c r="A406">
        <v>405</v>
      </c>
      <c r="B406">
        <v>27</v>
      </c>
      <c r="C406" t="s">
        <v>34</v>
      </c>
      <c r="D406">
        <v>246440</v>
      </c>
      <c r="E406" t="s">
        <v>35</v>
      </c>
      <c r="F406">
        <v>7</v>
      </c>
      <c r="G406" t="s">
        <v>49</v>
      </c>
      <c r="H406" t="s">
        <v>56</v>
      </c>
      <c r="I406" t="s">
        <v>69</v>
      </c>
      <c r="J406" t="s">
        <v>39</v>
      </c>
      <c r="K406" t="s">
        <v>40</v>
      </c>
      <c r="L406">
        <v>0</v>
      </c>
      <c r="M406">
        <v>0</v>
      </c>
      <c r="N406">
        <v>40</v>
      </c>
      <c r="O406" t="s">
        <v>41</v>
      </c>
      <c r="P406" t="s">
        <v>42</v>
      </c>
      <c r="Q406">
        <f>IF(Tabela3[[#This Row],[Income]]="&lt;=50K",Tabela3[[#This Row],[Age]],NA())</f>
        <v>27</v>
      </c>
      <c r="R406">
        <f>IF(Tabela3[[#This Row],[Income]]="&lt;=50K",Tabela3[[#This Row],[education-num]],NA())</f>
        <v>7</v>
      </c>
      <c r="S406" t="e">
        <f>IF(Tabela3[[#This Row],[Income]]="&gt;50K",Tabela3[[#This Row],[Age]],NA())</f>
        <v>#N/A</v>
      </c>
      <c r="T406" t="e">
        <f>IF(Tabela3[[#This Row],[Income]]="&gt;50K",Tabela3[[#This Row],[education-num]],NA())</f>
        <v>#N/A</v>
      </c>
    </row>
    <row r="407" spans="1:20">
      <c r="A407">
        <v>406</v>
      </c>
      <c r="B407">
        <v>29</v>
      </c>
      <c r="C407" t="s">
        <v>34</v>
      </c>
      <c r="D407">
        <v>197932</v>
      </c>
      <c r="E407" t="s">
        <v>46</v>
      </c>
      <c r="F407">
        <v>10</v>
      </c>
      <c r="G407" t="s">
        <v>55</v>
      </c>
      <c r="H407" t="s">
        <v>107</v>
      </c>
      <c r="I407" t="s">
        <v>45</v>
      </c>
      <c r="J407" t="s">
        <v>39</v>
      </c>
      <c r="K407" t="s">
        <v>40</v>
      </c>
      <c r="L407">
        <v>0</v>
      </c>
      <c r="M407">
        <v>0</v>
      </c>
      <c r="N407">
        <v>30</v>
      </c>
      <c r="O407" t="s">
        <v>108</v>
      </c>
      <c r="P407" t="s">
        <v>42</v>
      </c>
      <c r="Q407">
        <f>IF(Tabela3[[#This Row],[Income]]="&lt;=50K",Tabela3[[#This Row],[Age]],NA())</f>
        <v>29</v>
      </c>
      <c r="R407">
        <f>IF(Tabela3[[#This Row],[Income]]="&lt;=50K",Tabela3[[#This Row],[education-num]],NA())</f>
        <v>10</v>
      </c>
      <c r="S407" t="e">
        <f>IF(Tabela3[[#This Row],[Income]]="&gt;50K",Tabela3[[#This Row],[Age]],NA())</f>
        <v>#N/A</v>
      </c>
      <c r="T407" t="e">
        <f>IF(Tabela3[[#This Row],[Income]]="&gt;50K",Tabela3[[#This Row],[education-num]],NA())</f>
        <v>#N/A</v>
      </c>
    </row>
    <row r="408" spans="1:20">
      <c r="A408">
        <v>407</v>
      </c>
      <c r="B408">
        <v>25</v>
      </c>
      <c r="C408" t="s">
        <v>34</v>
      </c>
      <c r="D408">
        <v>206600</v>
      </c>
      <c r="E408" t="s">
        <v>77</v>
      </c>
      <c r="F408">
        <v>6</v>
      </c>
      <c r="G408" t="s">
        <v>36</v>
      </c>
      <c r="H408" t="s">
        <v>37</v>
      </c>
      <c r="I408" t="s">
        <v>45</v>
      </c>
      <c r="J408" t="s">
        <v>39</v>
      </c>
      <c r="K408" t="s">
        <v>52</v>
      </c>
      <c r="L408">
        <v>0</v>
      </c>
      <c r="M408">
        <v>0</v>
      </c>
      <c r="N408">
        <v>24</v>
      </c>
      <c r="O408" t="s">
        <v>109</v>
      </c>
      <c r="P408" t="s">
        <v>42</v>
      </c>
      <c r="Q408">
        <f>IF(Tabela3[[#This Row],[Income]]="&lt;=50K",Tabela3[[#This Row],[Age]],NA())</f>
        <v>25</v>
      </c>
      <c r="R408">
        <f>IF(Tabela3[[#This Row],[Income]]="&lt;=50K",Tabela3[[#This Row],[education-num]],NA())</f>
        <v>6</v>
      </c>
      <c r="S408" t="e">
        <f>IF(Tabela3[[#This Row],[Income]]="&gt;50K",Tabela3[[#This Row],[Age]],NA())</f>
        <v>#N/A</v>
      </c>
      <c r="T408" t="e">
        <f>IF(Tabela3[[#This Row],[Income]]="&gt;50K",Tabela3[[#This Row],[education-num]],NA())</f>
        <v>#N/A</v>
      </c>
    </row>
    <row r="409" spans="1:20">
      <c r="A409">
        <v>408</v>
      </c>
      <c r="B409">
        <v>23</v>
      </c>
      <c r="C409" t="s">
        <v>74</v>
      </c>
      <c r="D409">
        <v>174714</v>
      </c>
      <c r="E409" t="s">
        <v>77</v>
      </c>
      <c r="F409">
        <v>6</v>
      </c>
      <c r="G409" t="s">
        <v>36</v>
      </c>
      <c r="H409" t="s">
        <v>50</v>
      </c>
      <c r="I409" t="s">
        <v>45</v>
      </c>
      <c r="J409" t="s">
        <v>39</v>
      </c>
      <c r="K409" t="s">
        <v>52</v>
      </c>
      <c r="L409">
        <v>0</v>
      </c>
      <c r="M409">
        <v>0</v>
      </c>
      <c r="N409">
        <v>60</v>
      </c>
      <c r="O409" t="s">
        <v>41</v>
      </c>
      <c r="P409" t="s">
        <v>42</v>
      </c>
      <c r="Q409">
        <f>IF(Tabela3[[#This Row],[Income]]="&lt;=50K",Tabela3[[#This Row],[Age]],NA())</f>
        <v>23</v>
      </c>
      <c r="R409">
        <f>IF(Tabela3[[#This Row],[Income]]="&lt;=50K",Tabela3[[#This Row],[education-num]],NA())</f>
        <v>6</v>
      </c>
      <c r="S409" t="e">
        <f>IF(Tabela3[[#This Row],[Income]]="&gt;50K",Tabela3[[#This Row],[Age]],NA())</f>
        <v>#N/A</v>
      </c>
      <c r="T409" t="e">
        <f>IF(Tabela3[[#This Row],[Income]]="&gt;50K",Tabela3[[#This Row],[education-num]],NA())</f>
        <v>#N/A</v>
      </c>
    </row>
    <row r="410" spans="1:20">
      <c r="A410">
        <v>409</v>
      </c>
      <c r="B410">
        <v>27</v>
      </c>
      <c r="C410" t="s">
        <v>34</v>
      </c>
      <c r="D410">
        <v>180262</v>
      </c>
      <c r="E410" t="s">
        <v>46</v>
      </c>
      <c r="F410">
        <v>10</v>
      </c>
      <c r="G410" t="s">
        <v>36</v>
      </c>
      <c r="H410" t="s">
        <v>80</v>
      </c>
      <c r="I410" t="s">
        <v>45</v>
      </c>
      <c r="J410" t="s">
        <v>39</v>
      </c>
      <c r="K410" t="s">
        <v>40</v>
      </c>
      <c r="L410">
        <v>0</v>
      </c>
      <c r="M410">
        <v>0</v>
      </c>
      <c r="N410">
        <v>40</v>
      </c>
      <c r="O410" t="s">
        <v>41</v>
      </c>
      <c r="P410" t="s">
        <v>42</v>
      </c>
      <c r="Q410">
        <f>IF(Tabela3[[#This Row],[Income]]="&lt;=50K",Tabela3[[#This Row],[Age]],NA())</f>
        <v>27</v>
      </c>
      <c r="R410">
        <f>IF(Tabela3[[#This Row],[Income]]="&lt;=50K",Tabela3[[#This Row],[education-num]],NA())</f>
        <v>10</v>
      </c>
      <c r="S410" t="e">
        <f>IF(Tabela3[[#This Row],[Income]]="&gt;50K",Tabela3[[#This Row],[Age]],NA())</f>
        <v>#N/A</v>
      </c>
      <c r="T410" t="e">
        <f>IF(Tabela3[[#This Row],[Income]]="&gt;50K",Tabela3[[#This Row],[education-num]],NA())</f>
        <v>#N/A</v>
      </c>
    </row>
    <row r="411" spans="1:20">
      <c r="A411">
        <v>410</v>
      </c>
      <c r="B411">
        <v>40</v>
      </c>
      <c r="C411" t="s">
        <v>75</v>
      </c>
      <c r="D411">
        <v>199303</v>
      </c>
      <c r="E411" t="s">
        <v>43</v>
      </c>
      <c r="F411">
        <v>12</v>
      </c>
      <c r="G411" t="s">
        <v>63</v>
      </c>
      <c r="H411" t="s">
        <v>61</v>
      </c>
      <c r="I411" t="s">
        <v>66</v>
      </c>
      <c r="J411" t="s">
        <v>39</v>
      </c>
      <c r="K411" t="s">
        <v>52</v>
      </c>
      <c r="L411">
        <v>0</v>
      </c>
      <c r="M411">
        <v>0</v>
      </c>
      <c r="N411">
        <v>40</v>
      </c>
      <c r="O411" t="s">
        <v>41</v>
      </c>
      <c r="P411" t="s">
        <v>53</v>
      </c>
      <c r="Q411" t="e">
        <f>IF(Tabela3[[#This Row],[Income]]="&lt;=50K",Tabela3[[#This Row],[Age]],NA())</f>
        <v>#N/A</v>
      </c>
      <c r="R411" t="e">
        <f>IF(Tabela3[[#This Row],[Income]]="&lt;=50K",Tabela3[[#This Row],[education-num]],NA())</f>
        <v>#N/A</v>
      </c>
      <c r="S411">
        <f>IF(Tabela3[[#This Row],[Income]]="&gt;50K",Tabela3[[#This Row],[Age]],NA())</f>
        <v>40</v>
      </c>
      <c r="T411">
        <f>IF(Tabela3[[#This Row],[Income]]="&gt;50K",Tabela3[[#This Row],[education-num]],NA())</f>
        <v>12</v>
      </c>
    </row>
    <row r="412" spans="1:20">
      <c r="A412">
        <v>411</v>
      </c>
      <c r="B412">
        <v>41</v>
      </c>
      <c r="C412" t="s">
        <v>34</v>
      </c>
      <c r="D412">
        <v>140886</v>
      </c>
      <c r="E412" t="s">
        <v>62</v>
      </c>
      <c r="F412">
        <v>9</v>
      </c>
      <c r="G412" t="s">
        <v>63</v>
      </c>
      <c r="H412" t="s">
        <v>58</v>
      </c>
      <c r="I412" t="s">
        <v>66</v>
      </c>
      <c r="J412" t="s">
        <v>39</v>
      </c>
      <c r="K412" t="s">
        <v>52</v>
      </c>
      <c r="L412">
        <v>0</v>
      </c>
      <c r="M412">
        <v>0</v>
      </c>
      <c r="N412">
        <v>40</v>
      </c>
      <c r="O412" t="s">
        <v>41</v>
      </c>
      <c r="P412" t="s">
        <v>42</v>
      </c>
      <c r="Q412">
        <f>IF(Tabela3[[#This Row],[Income]]="&lt;=50K",Tabela3[[#This Row],[Age]],NA())</f>
        <v>41</v>
      </c>
      <c r="R412">
        <f>IF(Tabela3[[#This Row],[Income]]="&lt;=50K",Tabela3[[#This Row],[education-num]],NA())</f>
        <v>9</v>
      </c>
      <c r="S412" t="e">
        <f>IF(Tabela3[[#This Row],[Income]]="&gt;50K",Tabela3[[#This Row],[Age]],NA())</f>
        <v>#N/A</v>
      </c>
      <c r="T412" t="e">
        <f>IF(Tabela3[[#This Row],[Income]]="&gt;50K",Tabela3[[#This Row],[education-num]],NA())</f>
        <v>#N/A</v>
      </c>
    </row>
    <row r="413" spans="1:20">
      <c r="A413">
        <v>412</v>
      </c>
      <c r="B413">
        <v>56</v>
      </c>
      <c r="C413" t="s">
        <v>74</v>
      </c>
      <c r="D413">
        <v>39380</v>
      </c>
      <c r="E413" t="s">
        <v>46</v>
      </c>
      <c r="F413">
        <v>10</v>
      </c>
      <c r="G413" t="s">
        <v>90</v>
      </c>
      <c r="H413" t="s">
        <v>58</v>
      </c>
      <c r="I413" t="s">
        <v>45</v>
      </c>
      <c r="J413" t="s">
        <v>39</v>
      </c>
      <c r="K413" t="s">
        <v>40</v>
      </c>
      <c r="L413">
        <v>27828</v>
      </c>
      <c r="M413">
        <v>0</v>
      </c>
      <c r="N413">
        <v>20</v>
      </c>
      <c r="O413" t="s">
        <v>41</v>
      </c>
      <c r="P413" t="s">
        <v>53</v>
      </c>
      <c r="Q413" t="e">
        <f>IF(Tabela3[[#This Row],[Income]]="&lt;=50K",Tabela3[[#This Row],[Age]],NA())</f>
        <v>#N/A</v>
      </c>
      <c r="R413" t="e">
        <f>IF(Tabela3[[#This Row],[Income]]="&lt;=50K",Tabela3[[#This Row],[education-num]],NA())</f>
        <v>#N/A</v>
      </c>
      <c r="S413">
        <f>IF(Tabela3[[#This Row],[Income]]="&gt;50K",Tabela3[[#This Row],[Age]],NA())</f>
        <v>56</v>
      </c>
      <c r="T413">
        <f>IF(Tabela3[[#This Row],[Income]]="&gt;50K",Tabela3[[#This Row],[education-num]],NA())</f>
        <v>10</v>
      </c>
    </row>
    <row r="414" spans="1:20">
      <c r="A414">
        <v>413</v>
      </c>
      <c r="B414">
        <v>34</v>
      </c>
      <c r="C414" t="s">
        <v>34</v>
      </c>
      <c r="D414">
        <v>269723</v>
      </c>
      <c r="E414" t="s">
        <v>62</v>
      </c>
      <c r="F414">
        <v>9</v>
      </c>
      <c r="G414" t="s">
        <v>49</v>
      </c>
      <c r="H414" t="s">
        <v>80</v>
      </c>
      <c r="I414" t="s">
        <v>69</v>
      </c>
      <c r="J414" t="s">
        <v>39</v>
      </c>
      <c r="K414" t="s">
        <v>40</v>
      </c>
      <c r="L414">
        <v>2977</v>
      </c>
      <c r="M414">
        <v>0</v>
      </c>
      <c r="N414">
        <v>50</v>
      </c>
      <c r="O414" t="s">
        <v>41</v>
      </c>
      <c r="P414" t="s">
        <v>42</v>
      </c>
      <c r="Q414">
        <f>IF(Tabela3[[#This Row],[Income]]="&lt;=50K",Tabela3[[#This Row],[Age]],NA())</f>
        <v>34</v>
      </c>
      <c r="R414">
        <f>IF(Tabela3[[#This Row],[Income]]="&lt;=50K",Tabela3[[#This Row],[education-num]],NA())</f>
        <v>9</v>
      </c>
      <c r="S414" t="e">
        <f>IF(Tabela3[[#This Row],[Income]]="&gt;50K",Tabela3[[#This Row],[Age]],NA())</f>
        <v>#N/A</v>
      </c>
      <c r="T414" t="e">
        <f>IF(Tabela3[[#This Row],[Income]]="&gt;50K",Tabela3[[#This Row],[education-num]],NA())</f>
        <v>#N/A</v>
      </c>
    </row>
    <row r="415" spans="1:20">
      <c r="A415">
        <v>414</v>
      </c>
      <c r="B415">
        <v>23</v>
      </c>
      <c r="C415" t="s">
        <v>34</v>
      </c>
      <c r="D415">
        <v>133061</v>
      </c>
      <c r="E415" t="s">
        <v>62</v>
      </c>
      <c r="F415">
        <v>9</v>
      </c>
      <c r="G415" t="s">
        <v>63</v>
      </c>
      <c r="H415" t="s">
        <v>44</v>
      </c>
      <c r="I415" t="s">
        <v>66</v>
      </c>
      <c r="J415" t="s">
        <v>39</v>
      </c>
      <c r="K415" t="s">
        <v>52</v>
      </c>
      <c r="L415">
        <v>0</v>
      </c>
      <c r="M415">
        <v>0</v>
      </c>
      <c r="N415">
        <v>80</v>
      </c>
      <c r="O415" t="s">
        <v>41</v>
      </c>
      <c r="P415" t="s">
        <v>42</v>
      </c>
      <c r="Q415">
        <f>IF(Tabela3[[#This Row],[Income]]="&lt;=50K",Tabela3[[#This Row],[Age]],NA())</f>
        <v>23</v>
      </c>
      <c r="R415">
        <f>IF(Tabela3[[#This Row],[Income]]="&lt;=50K",Tabela3[[#This Row],[education-num]],NA())</f>
        <v>9</v>
      </c>
      <c r="S415" t="e">
        <f>IF(Tabela3[[#This Row],[Income]]="&gt;50K",Tabela3[[#This Row],[Age]],NA())</f>
        <v>#N/A</v>
      </c>
      <c r="T415" t="e">
        <f>IF(Tabela3[[#This Row],[Income]]="&gt;50K",Tabela3[[#This Row],[education-num]],NA())</f>
        <v>#N/A</v>
      </c>
    </row>
    <row r="416" spans="1:20">
      <c r="A416">
        <v>415</v>
      </c>
      <c r="B416">
        <v>33</v>
      </c>
      <c r="C416" t="s">
        <v>34</v>
      </c>
      <c r="D416">
        <v>377283</v>
      </c>
      <c r="E416" t="s">
        <v>60</v>
      </c>
      <c r="F416">
        <v>13</v>
      </c>
      <c r="G416" t="s">
        <v>55</v>
      </c>
      <c r="H416" t="s">
        <v>44</v>
      </c>
      <c r="I416" t="s">
        <v>45</v>
      </c>
      <c r="J416" t="s">
        <v>39</v>
      </c>
      <c r="K416" t="s">
        <v>40</v>
      </c>
      <c r="L416">
        <v>0</v>
      </c>
      <c r="M416">
        <v>0</v>
      </c>
      <c r="N416">
        <v>50</v>
      </c>
      <c r="O416" t="s">
        <v>41</v>
      </c>
      <c r="P416" t="s">
        <v>53</v>
      </c>
      <c r="Q416" t="e">
        <f>IF(Tabela3[[#This Row],[Income]]="&lt;=50K",Tabela3[[#This Row],[Age]],NA())</f>
        <v>#N/A</v>
      </c>
      <c r="R416" t="e">
        <f>IF(Tabela3[[#This Row],[Income]]="&lt;=50K",Tabela3[[#This Row],[education-num]],NA())</f>
        <v>#N/A</v>
      </c>
      <c r="S416">
        <f>IF(Tabela3[[#This Row],[Income]]="&gt;50K",Tabela3[[#This Row],[Age]],NA())</f>
        <v>33</v>
      </c>
      <c r="T416">
        <f>IF(Tabela3[[#This Row],[Income]]="&gt;50K",Tabela3[[#This Row],[education-num]],NA())</f>
        <v>13</v>
      </c>
    </row>
    <row r="417" spans="1:20">
      <c r="A417">
        <v>416</v>
      </c>
      <c r="B417">
        <v>64</v>
      </c>
      <c r="C417" t="s">
        <v>74</v>
      </c>
      <c r="D417">
        <v>149698</v>
      </c>
      <c r="E417" t="s">
        <v>84</v>
      </c>
      <c r="F417">
        <v>15</v>
      </c>
      <c r="G417" t="s">
        <v>63</v>
      </c>
      <c r="H417" t="s">
        <v>61</v>
      </c>
      <c r="I417" t="s">
        <v>66</v>
      </c>
      <c r="J417" t="s">
        <v>39</v>
      </c>
      <c r="K417" t="s">
        <v>52</v>
      </c>
      <c r="L417">
        <v>0</v>
      </c>
      <c r="M417">
        <v>0</v>
      </c>
      <c r="N417">
        <v>40</v>
      </c>
      <c r="O417" t="s">
        <v>41</v>
      </c>
      <c r="P417" t="s">
        <v>53</v>
      </c>
      <c r="Q417" t="e">
        <f>IF(Tabela3[[#This Row],[Income]]="&lt;=50K",Tabela3[[#This Row],[Age]],NA())</f>
        <v>#N/A</v>
      </c>
      <c r="R417" t="e">
        <f>IF(Tabela3[[#This Row],[Income]]="&lt;=50K",Tabela3[[#This Row],[education-num]],NA())</f>
        <v>#N/A</v>
      </c>
      <c r="S417">
        <f>IF(Tabela3[[#This Row],[Income]]="&gt;50K",Tabela3[[#This Row],[Age]],NA())</f>
        <v>64</v>
      </c>
      <c r="T417">
        <f>IF(Tabela3[[#This Row],[Income]]="&gt;50K",Tabela3[[#This Row],[education-num]],NA())</f>
        <v>15</v>
      </c>
    </row>
    <row r="418" spans="1:20">
      <c r="A418">
        <v>417</v>
      </c>
      <c r="B418">
        <v>21</v>
      </c>
      <c r="C418" t="s">
        <v>34</v>
      </c>
      <c r="D418">
        <v>206681</v>
      </c>
      <c r="E418" t="s">
        <v>46</v>
      </c>
      <c r="F418">
        <v>10</v>
      </c>
      <c r="G418" t="s">
        <v>36</v>
      </c>
      <c r="H418" t="s">
        <v>44</v>
      </c>
      <c r="I418" t="s">
        <v>38</v>
      </c>
      <c r="J418" t="s">
        <v>39</v>
      </c>
      <c r="K418" t="s">
        <v>40</v>
      </c>
      <c r="L418">
        <v>0</v>
      </c>
      <c r="M418">
        <v>0</v>
      </c>
      <c r="N418">
        <v>15</v>
      </c>
      <c r="O418" t="s">
        <v>41</v>
      </c>
      <c r="P418" t="s">
        <v>42</v>
      </c>
      <c r="Q418">
        <f>IF(Tabela3[[#This Row],[Income]]="&lt;=50K",Tabela3[[#This Row],[Age]],NA())</f>
        <v>21</v>
      </c>
      <c r="R418">
        <f>IF(Tabela3[[#This Row],[Income]]="&lt;=50K",Tabela3[[#This Row],[education-num]],NA())</f>
        <v>10</v>
      </c>
      <c r="S418" t="e">
        <f>IF(Tabela3[[#This Row],[Income]]="&gt;50K",Tabela3[[#This Row],[Age]],NA())</f>
        <v>#N/A</v>
      </c>
      <c r="T418" t="e">
        <f>IF(Tabela3[[#This Row],[Income]]="&gt;50K",Tabela3[[#This Row],[education-num]],NA())</f>
        <v>#N/A</v>
      </c>
    </row>
    <row r="419" spans="1:20">
      <c r="A419">
        <v>418</v>
      </c>
      <c r="B419">
        <v>59</v>
      </c>
      <c r="C419" t="s">
        <v>59</v>
      </c>
      <c r="D419">
        <v>132717</v>
      </c>
      <c r="E419" t="s">
        <v>77</v>
      </c>
      <c r="F419">
        <v>6</v>
      </c>
      <c r="G419" t="s">
        <v>63</v>
      </c>
      <c r="H419" t="s">
        <v>58</v>
      </c>
      <c r="I419" t="s">
        <v>66</v>
      </c>
      <c r="J419" t="s">
        <v>39</v>
      </c>
      <c r="K419" t="s">
        <v>52</v>
      </c>
      <c r="L419">
        <v>0</v>
      </c>
      <c r="M419">
        <v>0</v>
      </c>
      <c r="N419">
        <v>40</v>
      </c>
      <c r="O419" t="s">
        <v>41</v>
      </c>
      <c r="P419" t="s">
        <v>42</v>
      </c>
      <c r="Q419">
        <f>IF(Tabela3[[#This Row],[Income]]="&lt;=50K",Tabela3[[#This Row],[Age]],NA())</f>
        <v>59</v>
      </c>
      <c r="R419">
        <f>IF(Tabela3[[#This Row],[Income]]="&lt;=50K",Tabela3[[#This Row],[education-num]],NA())</f>
        <v>6</v>
      </c>
      <c r="S419" t="e">
        <f>IF(Tabela3[[#This Row],[Income]]="&gt;50K",Tabela3[[#This Row],[Age]],NA())</f>
        <v>#N/A</v>
      </c>
      <c r="T419" t="e">
        <f>IF(Tabela3[[#This Row],[Income]]="&gt;50K",Tabela3[[#This Row],[education-num]],NA())</f>
        <v>#N/A</v>
      </c>
    </row>
    <row r="420" spans="1:20">
      <c r="A420">
        <v>419</v>
      </c>
      <c r="B420">
        <v>27</v>
      </c>
      <c r="C420" t="s">
        <v>34</v>
      </c>
      <c r="D420">
        <v>178709</v>
      </c>
      <c r="E420" t="s">
        <v>73</v>
      </c>
      <c r="F420">
        <v>14</v>
      </c>
      <c r="G420" t="s">
        <v>36</v>
      </c>
      <c r="H420" t="s">
        <v>56</v>
      </c>
      <c r="I420" t="s">
        <v>45</v>
      </c>
      <c r="J420" t="s">
        <v>39</v>
      </c>
      <c r="K420" t="s">
        <v>40</v>
      </c>
      <c r="L420">
        <v>0</v>
      </c>
      <c r="M420">
        <v>0</v>
      </c>
      <c r="N420">
        <v>40</v>
      </c>
      <c r="O420" t="s">
        <v>41</v>
      </c>
      <c r="P420" t="s">
        <v>42</v>
      </c>
      <c r="Q420">
        <f>IF(Tabela3[[#This Row],[Income]]="&lt;=50K",Tabela3[[#This Row],[Age]],NA())</f>
        <v>27</v>
      </c>
      <c r="R420">
        <f>IF(Tabela3[[#This Row],[Income]]="&lt;=50K",Tabela3[[#This Row],[education-num]],NA())</f>
        <v>14</v>
      </c>
      <c r="S420" t="e">
        <f>IF(Tabela3[[#This Row],[Income]]="&gt;50K",Tabela3[[#This Row],[Age]],NA())</f>
        <v>#N/A</v>
      </c>
      <c r="T420" t="e">
        <f>IF(Tabela3[[#This Row],[Income]]="&gt;50K",Tabela3[[#This Row],[education-num]],NA())</f>
        <v>#N/A</v>
      </c>
    </row>
    <row r="421" spans="1:20">
      <c r="A421">
        <v>420</v>
      </c>
      <c r="B421">
        <v>40</v>
      </c>
      <c r="C421" t="s">
        <v>34</v>
      </c>
      <c r="D421">
        <v>198873</v>
      </c>
      <c r="E421" t="s">
        <v>84</v>
      </c>
      <c r="F421">
        <v>15</v>
      </c>
      <c r="G421" t="s">
        <v>63</v>
      </c>
      <c r="H421" t="s">
        <v>61</v>
      </c>
      <c r="I421" t="s">
        <v>65</v>
      </c>
      <c r="J421" t="s">
        <v>39</v>
      </c>
      <c r="K421" t="s">
        <v>40</v>
      </c>
      <c r="L421">
        <v>15024</v>
      </c>
      <c r="M421">
        <v>0</v>
      </c>
      <c r="N421">
        <v>30</v>
      </c>
      <c r="O421" t="s">
        <v>41</v>
      </c>
      <c r="P421" t="s">
        <v>53</v>
      </c>
      <c r="Q421" t="e">
        <f>IF(Tabela3[[#This Row],[Income]]="&lt;=50K",Tabela3[[#This Row],[Age]],NA())</f>
        <v>#N/A</v>
      </c>
      <c r="R421" t="e">
        <f>IF(Tabela3[[#This Row],[Income]]="&lt;=50K",Tabela3[[#This Row],[education-num]],NA())</f>
        <v>#N/A</v>
      </c>
      <c r="S421">
        <f>IF(Tabela3[[#This Row],[Income]]="&gt;50K",Tabela3[[#This Row],[Age]],NA())</f>
        <v>40</v>
      </c>
      <c r="T421">
        <f>IF(Tabela3[[#This Row],[Income]]="&gt;50K",Tabela3[[#This Row],[education-num]],NA())</f>
        <v>15</v>
      </c>
    </row>
    <row r="422" spans="1:20">
      <c r="A422">
        <v>421</v>
      </c>
      <c r="B422">
        <v>36</v>
      </c>
      <c r="C422" t="s">
        <v>54</v>
      </c>
      <c r="D422">
        <v>251091</v>
      </c>
      <c r="E422" t="s">
        <v>46</v>
      </c>
      <c r="F422">
        <v>10</v>
      </c>
      <c r="G422" t="s">
        <v>63</v>
      </c>
      <c r="H422" t="s">
        <v>89</v>
      </c>
      <c r="I422" t="s">
        <v>66</v>
      </c>
      <c r="J422" t="s">
        <v>39</v>
      </c>
      <c r="K422" t="s">
        <v>52</v>
      </c>
      <c r="L422">
        <v>0</v>
      </c>
      <c r="M422">
        <v>0</v>
      </c>
      <c r="N422">
        <v>40</v>
      </c>
      <c r="O422" t="s">
        <v>41</v>
      </c>
      <c r="P422" t="s">
        <v>53</v>
      </c>
      <c r="Q422" t="e">
        <f>IF(Tabela3[[#This Row],[Income]]="&lt;=50K",Tabela3[[#This Row],[Age]],NA())</f>
        <v>#N/A</v>
      </c>
      <c r="R422" t="e">
        <f>IF(Tabela3[[#This Row],[Income]]="&lt;=50K",Tabela3[[#This Row],[education-num]],NA())</f>
        <v>#N/A</v>
      </c>
      <c r="S422">
        <f>IF(Tabela3[[#This Row],[Income]]="&gt;50K",Tabela3[[#This Row],[Age]],NA())</f>
        <v>36</v>
      </c>
      <c r="T422">
        <f>IF(Tabela3[[#This Row],[Income]]="&gt;50K",Tabela3[[#This Row],[education-num]],NA())</f>
        <v>10</v>
      </c>
    </row>
    <row r="423" spans="1:20">
      <c r="A423">
        <v>422</v>
      </c>
      <c r="B423">
        <v>49</v>
      </c>
      <c r="C423" t="s">
        <v>75</v>
      </c>
      <c r="D423">
        <v>118701</v>
      </c>
      <c r="E423" t="s">
        <v>62</v>
      </c>
      <c r="F423">
        <v>9</v>
      </c>
      <c r="G423" t="s">
        <v>49</v>
      </c>
      <c r="H423" t="s">
        <v>67</v>
      </c>
      <c r="I423" t="s">
        <v>69</v>
      </c>
      <c r="J423" t="s">
        <v>57</v>
      </c>
      <c r="K423" t="s">
        <v>40</v>
      </c>
      <c r="L423">
        <v>0</v>
      </c>
      <c r="M423">
        <v>0</v>
      </c>
      <c r="N423">
        <v>40</v>
      </c>
      <c r="O423" t="s">
        <v>41</v>
      </c>
      <c r="P423" t="s">
        <v>42</v>
      </c>
      <c r="Q423">
        <f>IF(Tabela3[[#This Row],[Income]]="&lt;=50K",Tabela3[[#This Row],[Age]],NA())</f>
        <v>49</v>
      </c>
      <c r="R423">
        <f>IF(Tabela3[[#This Row],[Income]]="&lt;=50K",Tabela3[[#This Row],[education-num]],NA())</f>
        <v>9</v>
      </c>
      <c r="S423" t="e">
        <f>IF(Tabela3[[#This Row],[Income]]="&gt;50K",Tabela3[[#This Row],[Age]],NA())</f>
        <v>#N/A</v>
      </c>
      <c r="T423" t="e">
        <f>IF(Tabela3[[#This Row],[Income]]="&gt;50K",Tabela3[[#This Row],[education-num]],NA())</f>
        <v>#N/A</v>
      </c>
    </row>
    <row r="424" spans="1:20">
      <c r="A424">
        <v>423</v>
      </c>
      <c r="B424">
        <v>57</v>
      </c>
      <c r="C424" t="s">
        <v>34</v>
      </c>
      <c r="D424">
        <v>195876</v>
      </c>
      <c r="E424" t="s">
        <v>62</v>
      </c>
      <c r="F424">
        <v>9</v>
      </c>
      <c r="G424" t="s">
        <v>63</v>
      </c>
      <c r="H424" t="s">
        <v>50</v>
      </c>
      <c r="I424" t="s">
        <v>66</v>
      </c>
      <c r="J424" t="s">
        <v>39</v>
      </c>
      <c r="K424" t="s">
        <v>52</v>
      </c>
      <c r="L424">
        <v>0</v>
      </c>
      <c r="M424">
        <v>0</v>
      </c>
      <c r="N424">
        <v>40</v>
      </c>
      <c r="O424" t="s">
        <v>41</v>
      </c>
      <c r="P424" t="s">
        <v>42</v>
      </c>
      <c r="Q424">
        <f>IF(Tabela3[[#This Row],[Income]]="&lt;=50K",Tabela3[[#This Row],[Age]],NA())</f>
        <v>57</v>
      </c>
      <c r="R424">
        <f>IF(Tabela3[[#This Row],[Income]]="&lt;=50K",Tabela3[[#This Row],[education-num]],NA())</f>
        <v>9</v>
      </c>
      <c r="S424" t="e">
        <f>IF(Tabela3[[#This Row],[Income]]="&gt;50K",Tabela3[[#This Row],[Age]],NA())</f>
        <v>#N/A</v>
      </c>
      <c r="T424" t="e">
        <f>IF(Tabela3[[#This Row],[Income]]="&gt;50K",Tabela3[[#This Row],[education-num]],NA())</f>
        <v>#N/A</v>
      </c>
    </row>
    <row r="425" spans="1:20">
      <c r="A425">
        <v>424</v>
      </c>
      <c r="B425">
        <v>55</v>
      </c>
      <c r="C425" t="s">
        <v>71</v>
      </c>
      <c r="D425">
        <v>316027</v>
      </c>
      <c r="E425" t="s">
        <v>91</v>
      </c>
      <c r="F425">
        <v>4</v>
      </c>
      <c r="G425" t="s">
        <v>63</v>
      </c>
      <c r="H425" t="s">
        <v>71</v>
      </c>
      <c r="I425" t="s">
        <v>66</v>
      </c>
      <c r="J425" t="s">
        <v>39</v>
      </c>
      <c r="K425" t="s">
        <v>52</v>
      </c>
      <c r="L425">
        <v>0</v>
      </c>
      <c r="M425">
        <v>0</v>
      </c>
      <c r="N425">
        <v>40</v>
      </c>
      <c r="O425" t="s">
        <v>71</v>
      </c>
      <c r="P425" t="s">
        <v>42</v>
      </c>
      <c r="Q425">
        <f>IF(Tabela3[[#This Row],[Income]]="&lt;=50K",Tabela3[[#This Row],[Age]],NA())</f>
        <v>55</v>
      </c>
      <c r="R425">
        <f>IF(Tabela3[[#This Row],[Income]]="&lt;=50K",Tabela3[[#This Row],[education-num]],NA())</f>
        <v>4</v>
      </c>
      <c r="S425" t="e">
        <f>IF(Tabela3[[#This Row],[Income]]="&gt;50K",Tabela3[[#This Row],[Age]],NA())</f>
        <v>#N/A</v>
      </c>
      <c r="T425" t="e">
        <f>IF(Tabela3[[#This Row],[Income]]="&gt;50K",Tabela3[[#This Row],[education-num]],NA())</f>
        <v>#N/A</v>
      </c>
    </row>
    <row r="426" spans="1:20">
      <c r="A426">
        <v>425</v>
      </c>
      <c r="B426">
        <v>59</v>
      </c>
      <c r="C426" t="s">
        <v>34</v>
      </c>
      <c r="D426">
        <v>31782</v>
      </c>
      <c r="E426" t="s">
        <v>77</v>
      </c>
      <c r="F426">
        <v>6</v>
      </c>
      <c r="G426" t="s">
        <v>63</v>
      </c>
      <c r="H426" t="s">
        <v>72</v>
      </c>
      <c r="I426" t="s">
        <v>66</v>
      </c>
      <c r="J426" t="s">
        <v>39</v>
      </c>
      <c r="K426" t="s">
        <v>52</v>
      </c>
      <c r="L426">
        <v>0</v>
      </c>
      <c r="M426">
        <v>0</v>
      </c>
      <c r="N426">
        <v>45</v>
      </c>
      <c r="O426" t="s">
        <v>41</v>
      </c>
      <c r="P426" t="s">
        <v>53</v>
      </c>
      <c r="Q426" t="e">
        <f>IF(Tabela3[[#This Row],[Income]]="&lt;=50K",Tabela3[[#This Row],[Age]],NA())</f>
        <v>#N/A</v>
      </c>
      <c r="R426" t="e">
        <f>IF(Tabela3[[#This Row],[Income]]="&lt;=50K",Tabela3[[#This Row],[education-num]],NA())</f>
        <v>#N/A</v>
      </c>
      <c r="S426">
        <f>IF(Tabela3[[#This Row],[Income]]="&gt;50K",Tabela3[[#This Row],[Age]],NA())</f>
        <v>59</v>
      </c>
      <c r="T426">
        <f>IF(Tabela3[[#This Row],[Income]]="&gt;50K",Tabela3[[#This Row],[education-num]],NA())</f>
        <v>6</v>
      </c>
    </row>
    <row r="427" spans="1:20">
      <c r="A427">
        <v>426</v>
      </c>
      <c r="B427">
        <v>35</v>
      </c>
      <c r="C427" t="s">
        <v>74</v>
      </c>
      <c r="D427">
        <v>176101</v>
      </c>
      <c r="E427" t="s">
        <v>62</v>
      </c>
      <c r="F427">
        <v>9</v>
      </c>
      <c r="G427" t="s">
        <v>63</v>
      </c>
      <c r="H427" t="s">
        <v>58</v>
      </c>
      <c r="I427" t="s">
        <v>66</v>
      </c>
      <c r="J427" t="s">
        <v>39</v>
      </c>
      <c r="K427" t="s">
        <v>52</v>
      </c>
      <c r="L427">
        <v>0</v>
      </c>
      <c r="M427">
        <v>0</v>
      </c>
      <c r="N427">
        <v>80</v>
      </c>
      <c r="O427" t="s">
        <v>41</v>
      </c>
      <c r="P427" t="s">
        <v>53</v>
      </c>
      <c r="Q427" t="e">
        <f>IF(Tabela3[[#This Row],[Income]]="&lt;=50K",Tabela3[[#This Row],[Age]],NA())</f>
        <v>#N/A</v>
      </c>
      <c r="R427" t="e">
        <f>IF(Tabela3[[#This Row],[Income]]="&lt;=50K",Tabela3[[#This Row],[education-num]],NA())</f>
        <v>#N/A</v>
      </c>
      <c r="S427">
        <f>IF(Tabela3[[#This Row],[Income]]="&gt;50K",Tabela3[[#This Row],[Age]],NA())</f>
        <v>35</v>
      </c>
      <c r="T427">
        <f>IF(Tabela3[[#This Row],[Income]]="&gt;50K",Tabela3[[#This Row],[education-num]],NA())</f>
        <v>9</v>
      </c>
    </row>
    <row r="428" spans="1:20">
      <c r="A428">
        <v>427</v>
      </c>
      <c r="B428">
        <v>42</v>
      </c>
      <c r="C428" t="s">
        <v>34</v>
      </c>
      <c r="D428">
        <v>227397</v>
      </c>
      <c r="E428" t="s">
        <v>60</v>
      </c>
      <c r="F428">
        <v>13</v>
      </c>
      <c r="G428" t="s">
        <v>63</v>
      </c>
      <c r="H428" t="s">
        <v>67</v>
      </c>
      <c r="I428" t="s">
        <v>65</v>
      </c>
      <c r="J428" t="s">
        <v>39</v>
      </c>
      <c r="K428" t="s">
        <v>40</v>
      </c>
      <c r="L428">
        <v>0</v>
      </c>
      <c r="M428">
        <v>0</v>
      </c>
      <c r="N428">
        <v>40</v>
      </c>
      <c r="O428" t="s">
        <v>41</v>
      </c>
      <c r="P428" t="s">
        <v>53</v>
      </c>
      <c r="Q428" t="e">
        <f>IF(Tabela3[[#This Row],[Income]]="&lt;=50K",Tabela3[[#This Row],[Age]],NA())</f>
        <v>#N/A</v>
      </c>
      <c r="R428" t="e">
        <f>IF(Tabela3[[#This Row],[Income]]="&lt;=50K",Tabela3[[#This Row],[education-num]],NA())</f>
        <v>#N/A</v>
      </c>
      <c r="S428">
        <f>IF(Tabela3[[#This Row],[Income]]="&gt;50K",Tabela3[[#This Row],[Age]],NA())</f>
        <v>42</v>
      </c>
      <c r="T428">
        <f>IF(Tabela3[[#This Row],[Income]]="&gt;50K",Tabela3[[#This Row],[education-num]],NA())</f>
        <v>13</v>
      </c>
    </row>
    <row r="429" spans="1:20">
      <c r="A429">
        <v>428</v>
      </c>
      <c r="B429">
        <v>42</v>
      </c>
      <c r="C429" t="s">
        <v>71</v>
      </c>
      <c r="D429">
        <v>32533</v>
      </c>
      <c r="E429" t="s">
        <v>46</v>
      </c>
      <c r="F429">
        <v>10</v>
      </c>
      <c r="G429" t="s">
        <v>36</v>
      </c>
      <c r="H429" t="s">
        <v>71</v>
      </c>
      <c r="I429" t="s">
        <v>45</v>
      </c>
      <c r="J429" t="s">
        <v>39</v>
      </c>
      <c r="K429" t="s">
        <v>52</v>
      </c>
      <c r="L429">
        <v>0</v>
      </c>
      <c r="M429">
        <v>0</v>
      </c>
      <c r="N429">
        <v>45</v>
      </c>
      <c r="O429" t="s">
        <v>41</v>
      </c>
      <c r="P429" t="s">
        <v>42</v>
      </c>
      <c r="Q429">
        <f>IF(Tabela3[[#This Row],[Income]]="&lt;=50K",Tabela3[[#This Row],[Age]],NA())</f>
        <v>42</v>
      </c>
      <c r="R429">
        <f>IF(Tabela3[[#This Row],[Income]]="&lt;=50K",Tabela3[[#This Row],[education-num]],NA())</f>
        <v>10</v>
      </c>
      <c r="S429" t="e">
        <f>IF(Tabela3[[#This Row],[Income]]="&gt;50K",Tabela3[[#This Row],[Age]],NA())</f>
        <v>#N/A</v>
      </c>
      <c r="T429" t="e">
        <f>IF(Tabela3[[#This Row],[Income]]="&gt;50K",Tabela3[[#This Row],[education-num]],NA())</f>
        <v>#N/A</v>
      </c>
    </row>
    <row r="430" spans="1:20">
      <c r="A430">
        <v>429</v>
      </c>
      <c r="B430">
        <v>41</v>
      </c>
      <c r="C430" t="s">
        <v>34</v>
      </c>
      <c r="D430">
        <v>187802</v>
      </c>
      <c r="E430" t="s">
        <v>46</v>
      </c>
      <c r="F430">
        <v>10</v>
      </c>
      <c r="G430" t="s">
        <v>49</v>
      </c>
      <c r="H430" t="s">
        <v>64</v>
      </c>
      <c r="I430" t="s">
        <v>45</v>
      </c>
      <c r="J430" t="s">
        <v>39</v>
      </c>
      <c r="K430" t="s">
        <v>52</v>
      </c>
      <c r="L430">
        <v>0</v>
      </c>
      <c r="M430">
        <v>0</v>
      </c>
      <c r="N430">
        <v>50</v>
      </c>
      <c r="O430" t="s">
        <v>41</v>
      </c>
      <c r="P430" t="s">
        <v>42</v>
      </c>
      <c r="Q430">
        <f>IF(Tabela3[[#This Row],[Income]]="&lt;=50K",Tabela3[[#This Row],[Age]],NA())</f>
        <v>41</v>
      </c>
      <c r="R430">
        <f>IF(Tabela3[[#This Row],[Income]]="&lt;=50K",Tabela3[[#This Row],[education-num]],NA())</f>
        <v>10</v>
      </c>
      <c r="S430" t="e">
        <f>IF(Tabela3[[#This Row],[Income]]="&gt;50K",Tabela3[[#This Row],[Age]],NA())</f>
        <v>#N/A</v>
      </c>
      <c r="T430" t="e">
        <f>IF(Tabela3[[#This Row],[Income]]="&gt;50K",Tabela3[[#This Row],[education-num]],NA())</f>
        <v>#N/A</v>
      </c>
    </row>
    <row r="431" spans="1:20">
      <c r="A431">
        <v>430</v>
      </c>
      <c r="B431">
        <v>43</v>
      </c>
      <c r="C431" t="s">
        <v>34</v>
      </c>
      <c r="D431">
        <v>248094</v>
      </c>
      <c r="E431" t="s">
        <v>62</v>
      </c>
      <c r="F431">
        <v>9</v>
      </c>
      <c r="G431" t="s">
        <v>49</v>
      </c>
      <c r="H431" t="s">
        <v>50</v>
      </c>
      <c r="I431" t="s">
        <v>69</v>
      </c>
      <c r="J431" t="s">
        <v>39</v>
      </c>
      <c r="K431" t="s">
        <v>52</v>
      </c>
      <c r="L431">
        <v>0</v>
      </c>
      <c r="M431">
        <v>0</v>
      </c>
      <c r="N431">
        <v>40</v>
      </c>
      <c r="O431" t="s">
        <v>41</v>
      </c>
      <c r="P431" t="s">
        <v>42</v>
      </c>
      <c r="Q431">
        <f>IF(Tabela3[[#This Row],[Income]]="&lt;=50K",Tabela3[[#This Row],[Age]],NA())</f>
        <v>43</v>
      </c>
      <c r="R431">
        <f>IF(Tabela3[[#This Row],[Income]]="&lt;=50K",Tabela3[[#This Row],[education-num]],NA())</f>
        <v>9</v>
      </c>
      <c r="S431" t="e">
        <f>IF(Tabela3[[#This Row],[Income]]="&gt;50K",Tabela3[[#This Row],[Age]],NA())</f>
        <v>#N/A</v>
      </c>
      <c r="T431" t="e">
        <f>IF(Tabela3[[#This Row],[Income]]="&gt;50K",Tabela3[[#This Row],[education-num]],NA())</f>
        <v>#N/A</v>
      </c>
    </row>
    <row r="432" spans="1:20">
      <c r="A432">
        <v>431</v>
      </c>
      <c r="B432">
        <v>26</v>
      </c>
      <c r="C432" t="s">
        <v>34</v>
      </c>
      <c r="D432">
        <v>35917</v>
      </c>
      <c r="E432" t="s">
        <v>46</v>
      </c>
      <c r="F432">
        <v>10</v>
      </c>
      <c r="G432" t="s">
        <v>36</v>
      </c>
      <c r="H432" t="s">
        <v>72</v>
      </c>
      <c r="I432" t="s">
        <v>45</v>
      </c>
      <c r="J432" t="s">
        <v>39</v>
      </c>
      <c r="K432" t="s">
        <v>52</v>
      </c>
      <c r="L432">
        <v>0</v>
      </c>
      <c r="M432">
        <v>0</v>
      </c>
      <c r="N432">
        <v>50</v>
      </c>
      <c r="O432" t="s">
        <v>41</v>
      </c>
      <c r="P432" t="s">
        <v>42</v>
      </c>
      <c r="Q432">
        <f>IF(Tabela3[[#This Row],[Income]]="&lt;=50K",Tabela3[[#This Row],[Age]],NA())</f>
        <v>26</v>
      </c>
      <c r="R432">
        <f>IF(Tabela3[[#This Row],[Income]]="&lt;=50K",Tabela3[[#This Row],[education-num]],NA())</f>
        <v>10</v>
      </c>
      <c r="S432" t="e">
        <f>IF(Tabela3[[#This Row],[Income]]="&gt;50K",Tabela3[[#This Row],[Age]],NA())</f>
        <v>#N/A</v>
      </c>
      <c r="T432" t="e">
        <f>IF(Tabela3[[#This Row],[Income]]="&gt;50K",Tabela3[[#This Row],[education-num]],NA())</f>
        <v>#N/A</v>
      </c>
    </row>
    <row r="433" spans="1:20">
      <c r="A433">
        <v>432</v>
      </c>
      <c r="B433">
        <v>27</v>
      </c>
      <c r="C433" t="s">
        <v>34</v>
      </c>
      <c r="D433">
        <v>213152</v>
      </c>
      <c r="E433" t="s">
        <v>46</v>
      </c>
      <c r="F433">
        <v>10</v>
      </c>
      <c r="G433" t="s">
        <v>36</v>
      </c>
      <c r="H433" t="s">
        <v>44</v>
      </c>
      <c r="I433" t="s">
        <v>45</v>
      </c>
      <c r="J433" t="s">
        <v>39</v>
      </c>
      <c r="K433" t="s">
        <v>52</v>
      </c>
      <c r="L433">
        <v>0</v>
      </c>
      <c r="M433">
        <v>0</v>
      </c>
      <c r="N433">
        <v>40</v>
      </c>
      <c r="O433" t="s">
        <v>41</v>
      </c>
      <c r="P433" t="s">
        <v>42</v>
      </c>
      <c r="Q433">
        <f>IF(Tabela3[[#This Row],[Income]]="&lt;=50K",Tabela3[[#This Row],[Age]],NA())</f>
        <v>27</v>
      </c>
      <c r="R433">
        <f>IF(Tabela3[[#This Row],[Income]]="&lt;=50K",Tabela3[[#This Row],[education-num]],NA())</f>
        <v>10</v>
      </c>
      <c r="S433" t="e">
        <f>IF(Tabela3[[#This Row],[Income]]="&gt;50K",Tabela3[[#This Row],[Age]],NA())</f>
        <v>#N/A</v>
      </c>
      <c r="T433" t="e">
        <f>IF(Tabela3[[#This Row],[Income]]="&gt;50K",Tabela3[[#This Row],[education-num]],NA())</f>
        <v>#N/A</v>
      </c>
    </row>
    <row r="434" spans="1:20">
      <c r="A434">
        <v>433</v>
      </c>
      <c r="B434">
        <v>51</v>
      </c>
      <c r="C434" t="s">
        <v>54</v>
      </c>
      <c r="D434">
        <v>349431</v>
      </c>
      <c r="E434" t="s">
        <v>62</v>
      </c>
      <c r="F434">
        <v>9</v>
      </c>
      <c r="G434" t="s">
        <v>63</v>
      </c>
      <c r="H434" t="s">
        <v>50</v>
      </c>
      <c r="I434" t="s">
        <v>66</v>
      </c>
      <c r="J434" t="s">
        <v>39</v>
      </c>
      <c r="K434" t="s">
        <v>52</v>
      </c>
      <c r="L434">
        <v>4386</v>
      </c>
      <c r="M434">
        <v>0</v>
      </c>
      <c r="N434">
        <v>40</v>
      </c>
      <c r="O434" t="s">
        <v>41</v>
      </c>
      <c r="P434" t="s">
        <v>53</v>
      </c>
      <c r="Q434" t="e">
        <f>IF(Tabela3[[#This Row],[Income]]="&lt;=50K",Tabela3[[#This Row],[Age]],NA())</f>
        <v>#N/A</v>
      </c>
      <c r="R434" t="e">
        <f>IF(Tabela3[[#This Row],[Income]]="&lt;=50K",Tabela3[[#This Row],[education-num]],NA())</f>
        <v>#N/A</v>
      </c>
      <c r="S434">
        <f>IF(Tabela3[[#This Row],[Income]]="&gt;50K",Tabela3[[#This Row],[Age]],NA())</f>
        <v>51</v>
      </c>
      <c r="T434">
        <f>IF(Tabela3[[#This Row],[Income]]="&gt;50K",Tabela3[[#This Row],[education-num]],NA())</f>
        <v>9</v>
      </c>
    </row>
    <row r="435" spans="1:20">
      <c r="A435">
        <v>434</v>
      </c>
      <c r="B435">
        <v>19</v>
      </c>
      <c r="C435" t="s">
        <v>34</v>
      </c>
      <c r="D435">
        <v>183041</v>
      </c>
      <c r="E435" t="s">
        <v>35</v>
      </c>
      <c r="F435">
        <v>7</v>
      </c>
      <c r="G435" t="s">
        <v>36</v>
      </c>
      <c r="H435" t="s">
        <v>68</v>
      </c>
      <c r="I435" t="s">
        <v>38</v>
      </c>
      <c r="J435" t="s">
        <v>39</v>
      </c>
      <c r="K435" t="s">
        <v>52</v>
      </c>
      <c r="L435">
        <v>0</v>
      </c>
      <c r="M435">
        <v>0</v>
      </c>
      <c r="N435">
        <v>24</v>
      </c>
      <c r="O435" t="s">
        <v>41</v>
      </c>
      <c r="P435" t="s">
        <v>42</v>
      </c>
      <c r="Q435">
        <f>IF(Tabela3[[#This Row],[Income]]="&lt;=50K",Tabela3[[#This Row],[Age]],NA())</f>
        <v>19</v>
      </c>
      <c r="R435">
        <f>IF(Tabela3[[#This Row],[Income]]="&lt;=50K",Tabela3[[#This Row],[education-num]],NA())</f>
        <v>7</v>
      </c>
      <c r="S435" t="e">
        <f>IF(Tabela3[[#This Row],[Income]]="&gt;50K",Tabela3[[#This Row],[Age]],NA())</f>
        <v>#N/A</v>
      </c>
      <c r="T435" t="e">
        <f>IF(Tabela3[[#This Row],[Income]]="&gt;50K",Tabela3[[#This Row],[education-num]],NA())</f>
        <v>#N/A</v>
      </c>
    </row>
    <row r="436" spans="1:20">
      <c r="A436">
        <v>435</v>
      </c>
      <c r="B436">
        <v>43</v>
      </c>
      <c r="C436" t="s">
        <v>34</v>
      </c>
      <c r="D436">
        <v>178976</v>
      </c>
      <c r="E436" t="s">
        <v>62</v>
      </c>
      <c r="F436">
        <v>9</v>
      </c>
      <c r="G436" t="s">
        <v>36</v>
      </c>
      <c r="H436" t="s">
        <v>67</v>
      </c>
      <c r="I436" t="s">
        <v>69</v>
      </c>
      <c r="J436" t="s">
        <v>39</v>
      </c>
      <c r="K436" t="s">
        <v>40</v>
      </c>
      <c r="L436">
        <v>0</v>
      </c>
      <c r="M436">
        <v>0</v>
      </c>
      <c r="N436">
        <v>40</v>
      </c>
      <c r="O436" t="s">
        <v>41</v>
      </c>
      <c r="P436" t="s">
        <v>42</v>
      </c>
      <c r="Q436">
        <f>IF(Tabela3[[#This Row],[Income]]="&lt;=50K",Tabela3[[#This Row],[Age]],NA())</f>
        <v>43</v>
      </c>
      <c r="R436">
        <f>IF(Tabela3[[#This Row],[Income]]="&lt;=50K",Tabela3[[#This Row],[education-num]],NA())</f>
        <v>9</v>
      </c>
      <c r="S436" t="e">
        <f>IF(Tabela3[[#This Row],[Income]]="&gt;50K",Tabela3[[#This Row],[Age]],NA())</f>
        <v>#N/A</v>
      </c>
      <c r="T436" t="e">
        <f>IF(Tabela3[[#This Row],[Income]]="&gt;50K",Tabela3[[#This Row],[education-num]],NA())</f>
        <v>#N/A</v>
      </c>
    </row>
    <row r="437" spans="1:20">
      <c r="A437">
        <v>436</v>
      </c>
      <c r="B437">
        <v>33</v>
      </c>
      <c r="C437" t="s">
        <v>34</v>
      </c>
      <c r="D437">
        <v>176185</v>
      </c>
      <c r="E437" t="s">
        <v>51</v>
      </c>
      <c r="F437">
        <v>8</v>
      </c>
      <c r="G437" t="s">
        <v>49</v>
      </c>
      <c r="H437" t="s">
        <v>50</v>
      </c>
      <c r="I437" t="s">
        <v>45</v>
      </c>
      <c r="J437" t="s">
        <v>39</v>
      </c>
      <c r="K437" t="s">
        <v>52</v>
      </c>
      <c r="L437">
        <v>0</v>
      </c>
      <c r="M437">
        <v>2258</v>
      </c>
      <c r="N437">
        <v>42</v>
      </c>
      <c r="O437" t="s">
        <v>41</v>
      </c>
      <c r="P437" t="s">
        <v>42</v>
      </c>
      <c r="Q437">
        <f>IF(Tabela3[[#This Row],[Income]]="&lt;=50K",Tabela3[[#This Row],[Age]],NA())</f>
        <v>33</v>
      </c>
      <c r="R437">
        <f>IF(Tabela3[[#This Row],[Income]]="&lt;=50K",Tabela3[[#This Row],[education-num]],NA())</f>
        <v>8</v>
      </c>
      <c r="S437" t="e">
        <f>IF(Tabela3[[#This Row],[Income]]="&gt;50K",Tabela3[[#This Row],[Age]],NA())</f>
        <v>#N/A</v>
      </c>
      <c r="T437" t="e">
        <f>IF(Tabela3[[#This Row],[Income]]="&gt;50K",Tabela3[[#This Row],[education-num]],NA())</f>
        <v>#N/A</v>
      </c>
    </row>
    <row r="438" spans="1:20">
      <c r="A438">
        <v>437</v>
      </c>
      <c r="B438">
        <v>18</v>
      </c>
      <c r="C438" t="s">
        <v>34</v>
      </c>
      <c r="D438">
        <v>452452</v>
      </c>
      <c r="E438" t="s">
        <v>77</v>
      </c>
      <c r="F438">
        <v>6</v>
      </c>
      <c r="G438" t="s">
        <v>36</v>
      </c>
      <c r="H438" t="s">
        <v>107</v>
      </c>
      <c r="I438" t="s">
        <v>38</v>
      </c>
      <c r="J438" t="s">
        <v>57</v>
      </c>
      <c r="K438" t="s">
        <v>40</v>
      </c>
      <c r="L438">
        <v>0</v>
      </c>
      <c r="M438">
        <v>0</v>
      </c>
      <c r="N438">
        <v>20</v>
      </c>
      <c r="O438" t="s">
        <v>41</v>
      </c>
      <c r="P438" t="s">
        <v>42</v>
      </c>
      <c r="Q438">
        <f>IF(Tabela3[[#This Row],[Income]]="&lt;=50K",Tabela3[[#This Row],[Age]],NA())</f>
        <v>18</v>
      </c>
      <c r="R438">
        <f>IF(Tabela3[[#This Row],[Income]]="&lt;=50K",Tabela3[[#This Row],[education-num]],NA())</f>
        <v>6</v>
      </c>
      <c r="S438" t="e">
        <f>IF(Tabela3[[#This Row],[Income]]="&gt;50K",Tabela3[[#This Row],[Age]],NA())</f>
        <v>#N/A</v>
      </c>
      <c r="T438" t="e">
        <f>IF(Tabela3[[#This Row],[Income]]="&gt;50K",Tabela3[[#This Row],[education-num]],NA())</f>
        <v>#N/A</v>
      </c>
    </row>
    <row r="439" spans="1:20">
      <c r="A439">
        <v>438</v>
      </c>
      <c r="B439">
        <v>45</v>
      </c>
      <c r="C439" t="s">
        <v>34</v>
      </c>
      <c r="D439">
        <v>207540</v>
      </c>
      <c r="E439" t="s">
        <v>97</v>
      </c>
      <c r="F439">
        <v>16</v>
      </c>
      <c r="G439" t="s">
        <v>55</v>
      </c>
      <c r="H439" t="s">
        <v>80</v>
      </c>
      <c r="I439" t="s">
        <v>69</v>
      </c>
      <c r="J439" t="s">
        <v>39</v>
      </c>
      <c r="K439" t="s">
        <v>52</v>
      </c>
      <c r="L439">
        <v>0</v>
      </c>
      <c r="M439">
        <v>0</v>
      </c>
      <c r="N439">
        <v>40</v>
      </c>
      <c r="O439" t="s">
        <v>41</v>
      </c>
      <c r="P439" t="s">
        <v>53</v>
      </c>
      <c r="Q439" t="e">
        <f>IF(Tabela3[[#This Row],[Income]]="&lt;=50K",Tabela3[[#This Row],[Age]],NA())</f>
        <v>#N/A</v>
      </c>
      <c r="R439" t="e">
        <f>IF(Tabela3[[#This Row],[Income]]="&lt;=50K",Tabela3[[#This Row],[education-num]],NA())</f>
        <v>#N/A</v>
      </c>
      <c r="S439">
        <f>IF(Tabela3[[#This Row],[Income]]="&gt;50K",Tabela3[[#This Row],[Age]],NA())</f>
        <v>45</v>
      </c>
      <c r="T439">
        <f>IF(Tabela3[[#This Row],[Income]]="&gt;50K",Tabela3[[#This Row],[education-num]],NA())</f>
        <v>16</v>
      </c>
    </row>
    <row r="440" spans="1:20">
      <c r="A440">
        <v>439</v>
      </c>
      <c r="B440">
        <v>58</v>
      </c>
      <c r="C440" t="s">
        <v>34</v>
      </c>
      <c r="D440">
        <v>147707</v>
      </c>
      <c r="E440" t="s">
        <v>62</v>
      </c>
      <c r="F440">
        <v>9</v>
      </c>
      <c r="G440" t="s">
        <v>63</v>
      </c>
      <c r="H440" t="s">
        <v>80</v>
      </c>
      <c r="I440" t="s">
        <v>66</v>
      </c>
      <c r="J440" t="s">
        <v>39</v>
      </c>
      <c r="K440" t="s">
        <v>52</v>
      </c>
      <c r="L440">
        <v>15024</v>
      </c>
      <c r="M440">
        <v>0</v>
      </c>
      <c r="N440">
        <v>60</v>
      </c>
      <c r="O440" t="s">
        <v>41</v>
      </c>
      <c r="P440" t="s">
        <v>53</v>
      </c>
      <c r="Q440" t="e">
        <f>IF(Tabela3[[#This Row],[Income]]="&lt;=50K",Tabela3[[#This Row],[Age]],NA())</f>
        <v>#N/A</v>
      </c>
      <c r="R440" t="e">
        <f>IF(Tabela3[[#This Row],[Income]]="&lt;=50K",Tabela3[[#This Row],[education-num]],NA())</f>
        <v>#N/A</v>
      </c>
      <c r="S440">
        <f>IF(Tabela3[[#This Row],[Income]]="&gt;50K",Tabela3[[#This Row],[Age]],NA())</f>
        <v>58</v>
      </c>
      <c r="T440">
        <f>IF(Tabela3[[#This Row],[Income]]="&gt;50K",Tabela3[[#This Row],[education-num]],NA())</f>
        <v>9</v>
      </c>
    </row>
    <row r="441" spans="1:20">
      <c r="A441">
        <v>440</v>
      </c>
      <c r="B441">
        <v>47</v>
      </c>
      <c r="C441" t="s">
        <v>34</v>
      </c>
      <c r="D441">
        <v>270079</v>
      </c>
      <c r="E441" t="s">
        <v>91</v>
      </c>
      <c r="F441">
        <v>4</v>
      </c>
      <c r="G441" t="s">
        <v>63</v>
      </c>
      <c r="H441" t="s">
        <v>50</v>
      </c>
      <c r="I441" t="s">
        <v>66</v>
      </c>
      <c r="J441" t="s">
        <v>39</v>
      </c>
      <c r="K441" t="s">
        <v>52</v>
      </c>
      <c r="L441">
        <v>0</v>
      </c>
      <c r="M441">
        <v>0</v>
      </c>
      <c r="N441">
        <v>40</v>
      </c>
      <c r="O441" t="s">
        <v>41</v>
      </c>
      <c r="P441" t="s">
        <v>42</v>
      </c>
      <c r="Q441">
        <f>IF(Tabela3[[#This Row],[Income]]="&lt;=50K",Tabela3[[#This Row],[Age]],NA())</f>
        <v>47</v>
      </c>
      <c r="R441">
        <f>IF(Tabela3[[#This Row],[Income]]="&lt;=50K",Tabela3[[#This Row],[education-num]],NA())</f>
        <v>4</v>
      </c>
      <c r="S441" t="e">
        <f>IF(Tabela3[[#This Row],[Income]]="&gt;50K",Tabela3[[#This Row],[Age]],NA())</f>
        <v>#N/A</v>
      </c>
      <c r="T441" t="e">
        <f>IF(Tabela3[[#This Row],[Income]]="&gt;50K",Tabela3[[#This Row],[education-num]],NA())</f>
        <v>#N/A</v>
      </c>
    </row>
    <row r="442" spans="1:20">
      <c r="A442">
        <v>441</v>
      </c>
      <c r="B442">
        <v>34</v>
      </c>
      <c r="C442" t="s">
        <v>34</v>
      </c>
      <c r="D442">
        <v>118605</v>
      </c>
      <c r="E442" t="s">
        <v>43</v>
      </c>
      <c r="F442">
        <v>12</v>
      </c>
      <c r="G442" t="s">
        <v>63</v>
      </c>
      <c r="H442" t="s">
        <v>61</v>
      </c>
      <c r="I442" t="s">
        <v>66</v>
      </c>
      <c r="J442" t="s">
        <v>39</v>
      </c>
      <c r="K442" t="s">
        <v>52</v>
      </c>
      <c r="L442">
        <v>0</v>
      </c>
      <c r="M442">
        <v>0</v>
      </c>
      <c r="N442">
        <v>55</v>
      </c>
      <c r="O442" t="s">
        <v>41</v>
      </c>
      <c r="P442" t="s">
        <v>42</v>
      </c>
      <c r="Q442">
        <f>IF(Tabela3[[#This Row],[Income]]="&lt;=50K",Tabela3[[#This Row],[Age]],NA())</f>
        <v>34</v>
      </c>
      <c r="R442">
        <f>IF(Tabela3[[#This Row],[Income]]="&lt;=50K",Tabela3[[#This Row],[education-num]],NA())</f>
        <v>12</v>
      </c>
      <c r="S442" t="e">
        <f>IF(Tabela3[[#This Row],[Income]]="&gt;50K",Tabela3[[#This Row],[Age]],NA())</f>
        <v>#N/A</v>
      </c>
      <c r="T442" t="e">
        <f>IF(Tabela3[[#This Row],[Income]]="&gt;50K",Tabela3[[#This Row],[education-num]],NA())</f>
        <v>#N/A</v>
      </c>
    </row>
    <row r="443" spans="1:20">
      <c r="A443">
        <v>442</v>
      </c>
      <c r="B443">
        <v>34</v>
      </c>
      <c r="C443" t="s">
        <v>71</v>
      </c>
      <c r="D443">
        <v>170276</v>
      </c>
      <c r="E443" t="s">
        <v>60</v>
      </c>
      <c r="F443">
        <v>13</v>
      </c>
      <c r="G443" t="s">
        <v>63</v>
      </c>
      <c r="H443" t="s">
        <v>71</v>
      </c>
      <c r="I443" t="s">
        <v>65</v>
      </c>
      <c r="J443" t="s">
        <v>39</v>
      </c>
      <c r="K443" t="s">
        <v>40</v>
      </c>
      <c r="L443">
        <v>0</v>
      </c>
      <c r="M443">
        <v>0</v>
      </c>
      <c r="N443">
        <v>10</v>
      </c>
      <c r="O443" t="s">
        <v>41</v>
      </c>
      <c r="P443" t="s">
        <v>53</v>
      </c>
      <c r="Q443" t="e">
        <f>IF(Tabela3[[#This Row],[Income]]="&lt;=50K",Tabela3[[#This Row],[Age]],NA())</f>
        <v>#N/A</v>
      </c>
      <c r="R443" t="e">
        <f>IF(Tabela3[[#This Row],[Income]]="&lt;=50K",Tabela3[[#This Row],[education-num]],NA())</f>
        <v>#N/A</v>
      </c>
      <c r="S443">
        <f>IF(Tabela3[[#This Row],[Income]]="&gt;50K",Tabela3[[#This Row],[Age]],NA())</f>
        <v>34</v>
      </c>
      <c r="T443">
        <f>IF(Tabela3[[#This Row],[Income]]="&gt;50K",Tabela3[[#This Row],[education-num]],NA())</f>
        <v>13</v>
      </c>
    </row>
    <row r="444" spans="1:20">
      <c r="A444">
        <v>443</v>
      </c>
      <c r="B444">
        <v>23</v>
      </c>
      <c r="C444" t="s">
        <v>75</v>
      </c>
      <c r="D444">
        <v>41031</v>
      </c>
      <c r="E444" t="s">
        <v>46</v>
      </c>
      <c r="F444">
        <v>10</v>
      </c>
      <c r="G444" t="s">
        <v>36</v>
      </c>
      <c r="H444" t="s">
        <v>44</v>
      </c>
      <c r="I444" t="s">
        <v>45</v>
      </c>
      <c r="J444" t="s">
        <v>39</v>
      </c>
      <c r="K444" t="s">
        <v>40</v>
      </c>
      <c r="L444">
        <v>0</v>
      </c>
      <c r="M444">
        <v>0</v>
      </c>
      <c r="N444">
        <v>35</v>
      </c>
      <c r="O444" t="s">
        <v>41</v>
      </c>
      <c r="P444" t="s">
        <v>42</v>
      </c>
      <c r="Q444">
        <f>IF(Tabela3[[#This Row],[Income]]="&lt;=50K",Tabela3[[#This Row],[Age]],NA())</f>
        <v>23</v>
      </c>
      <c r="R444">
        <f>IF(Tabela3[[#This Row],[Income]]="&lt;=50K",Tabela3[[#This Row],[education-num]],NA())</f>
        <v>10</v>
      </c>
      <c r="S444" t="e">
        <f>IF(Tabela3[[#This Row],[Income]]="&gt;50K",Tabela3[[#This Row],[Age]],NA())</f>
        <v>#N/A</v>
      </c>
      <c r="T444" t="e">
        <f>IF(Tabela3[[#This Row],[Income]]="&gt;50K",Tabela3[[#This Row],[education-num]],NA())</f>
        <v>#N/A</v>
      </c>
    </row>
    <row r="445" spans="1:20">
      <c r="A445">
        <v>444</v>
      </c>
      <c r="B445">
        <v>25</v>
      </c>
      <c r="C445" t="s">
        <v>34</v>
      </c>
      <c r="D445">
        <v>93223</v>
      </c>
      <c r="E445" t="s">
        <v>46</v>
      </c>
      <c r="F445">
        <v>10</v>
      </c>
      <c r="G445" t="s">
        <v>49</v>
      </c>
      <c r="H445" t="s">
        <v>61</v>
      </c>
      <c r="I445" t="s">
        <v>69</v>
      </c>
      <c r="J445" t="s">
        <v>39</v>
      </c>
      <c r="K445" t="s">
        <v>40</v>
      </c>
      <c r="L445">
        <v>0</v>
      </c>
      <c r="M445">
        <v>0</v>
      </c>
      <c r="N445">
        <v>35</v>
      </c>
      <c r="O445" t="s">
        <v>41</v>
      </c>
      <c r="P445" t="s">
        <v>42</v>
      </c>
      <c r="Q445">
        <f>IF(Tabela3[[#This Row],[Income]]="&lt;=50K",Tabela3[[#This Row],[Age]],NA())</f>
        <v>25</v>
      </c>
      <c r="R445">
        <f>IF(Tabela3[[#This Row],[Income]]="&lt;=50K",Tabela3[[#This Row],[education-num]],NA())</f>
        <v>10</v>
      </c>
      <c r="S445" t="e">
        <f>IF(Tabela3[[#This Row],[Income]]="&gt;50K",Tabela3[[#This Row],[Age]],NA())</f>
        <v>#N/A</v>
      </c>
      <c r="T445" t="e">
        <f>IF(Tabela3[[#This Row],[Income]]="&gt;50K",Tabela3[[#This Row],[education-num]],NA())</f>
        <v>#N/A</v>
      </c>
    </row>
    <row r="446" spans="1:20">
      <c r="A446">
        <v>445</v>
      </c>
      <c r="B446">
        <v>36</v>
      </c>
      <c r="C446" t="s">
        <v>34</v>
      </c>
      <c r="D446">
        <v>215503</v>
      </c>
      <c r="E446" t="s">
        <v>62</v>
      </c>
      <c r="F446">
        <v>9</v>
      </c>
      <c r="G446" t="s">
        <v>36</v>
      </c>
      <c r="H446" t="s">
        <v>50</v>
      </c>
      <c r="I446" t="s">
        <v>45</v>
      </c>
      <c r="J446" t="s">
        <v>39</v>
      </c>
      <c r="K446" t="s">
        <v>52</v>
      </c>
      <c r="L446">
        <v>0</v>
      </c>
      <c r="M446">
        <v>0</v>
      </c>
      <c r="N446">
        <v>65</v>
      </c>
      <c r="O446" t="s">
        <v>41</v>
      </c>
      <c r="P446" t="s">
        <v>42</v>
      </c>
      <c r="Q446">
        <f>IF(Tabela3[[#This Row],[Income]]="&lt;=50K",Tabela3[[#This Row],[Age]],NA())</f>
        <v>36</v>
      </c>
      <c r="R446">
        <f>IF(Tabela3[[#This Row],[Income]]="&lt;=50K",Tabela3[[#This Row],[education-num]],NA())</f>
        <v>9</v>
      </c>
      <c r="S446" t="e">
        <f>IF(Tabela3[[#This Row],[Income]]="&gt;50K",Tabela3[[#This Row],[Age]],NA())</f>
        <v>#N/A</v>
      </c>
      <c r="T446" t="e">
        <f>IF(Tabela3[[#This Row],[Income]]="&gt;50K",Tabela3[[#This Row],[education-num]],NA())</f>
        <v>#N/A</v>
      </c>
    </row>
    <row r="447" spans="1:20">
      <c r="A447">
        <v>446</v>
      </c>
      <c r="B447">
        <v>25</v>
      </c>
      <c r="C447" t="s">
        <v>74</v>
      </c>
      <c r="D447">
        <v>37741</v>
      </c>
      <c r="E447" t="s">
        <v>60</v>
      </c>
      <c r="F447">
        <v>13</v>
      </c>
      <c r="G447" t="s">
        <v>63</v>
      </c>
      <c r="H447" t="s">
        <v>80</v>
      </c>
      <c r="I447" t="s">
        <v>65</v>
      </c>
      <c r="J447" t="s">
        <v>39</v>
      </c>
      <c r="K447" t="s">
        <v>40</v>
      </c>
      <c r="L447">
        <v>0</v>
      </c>
      <c r="M447">
        <v>0</v>
      </c>
      <c r="N447">
        <v>40</v>
      </c>
      <c r="O447" t="s">
        <v>41</v>
      </c>
      <c r="P447" t="s">
        <v>42</v>
      </c>
      <c r="Q447">
        <f>IF(Tabela3[[#This Row],[Income]]="&lt;=50K",Tabela3[[#This Row],[Age]],NA())</f>
        <v>25</v>
      </c>
      <c r="R447">
        <f>IF(Tabela3[[#This Row],[Income]]="&lt;=50K",Tabela3[[#This Row],[education-num]],NA())</f>
        <v>13</v>
      </c>
      <c r="S447" t="e">
        <f>IF(Tabela3[[#This Row],[Income]]="&gt;50K",Tabela3[[#This Row],[Age]],NA())</f>
        <v>#N/A</v>
      </c>
      <c r="T447" t="e">
        <f>IF(Tabela3[[#This Row],[Income]]="&gt;50K",Tabela3[[#This Row],[education-num]],NA())</f>
        <v>#N/A</v>
      </c>
    </row>
    <row r="448" spans="1:20">
      <c r="A448">
        <v>447</v>
      </c>
      <c r="B448">
        <v>25</v>
      </c>
      <c r="C448" t="s">
        <v>34</v>
      </c>
      <c r="D448">
        <v>281627</v>
      </c>
      <c r="E448" t="s">
        <v>73</v>
      </c>
      <c r="F448">
        <v>14</v>
      </c>
      <c r="G448" t="s">
        <v>36</v>
      </c>
      <c r="H448" t="s">
        <v>61</v>
      </c>
      <c r="I448" t="s">
        <v>45</v>
      </c>
      <c r="J448" t="s">
        <v>39</v>
      </c>
      <c r="K448" t="s">
        <v>40</v>
      </c>
      <c r="L448">
        <v>0</v>
      </c>
      <c r="M448">
        <v>0</v>
      </c>
      <c r="N448">
        <v>40</v>
      </c>
      <c r="O448" t="s">
        <v>41</v>
      </c>
      <c r="P448" t="s">
        <v>42</v>
      </c>
      <c r="Q448">
        <f>IF(Tabela3[[#This Row],[Income]]="&lt;=50K",Tabela3[[#This Row],[Age]],NA())</f>
        <v>25</v>
      </c>
      <c r="R448">
        <f>IF(Tabela3[[#This Row],[Income]]="&lt;=50K",Tabela3[[#This Row],[education-num]],NA())</f>
        <v>14</v>
      </c>
      <c r="S448" t="e">
        <f>IF(Tabela3[[#This Row],[Income]]="&gt;50K",Tabela3[[#This Row],[Age]],NA())</f>
        <v>#N/A</v>
      </c>
      <c r="T448" t="e">
        <f>IF(Tabela3[[#This Row],[Income]]="&gt;50K",Tabela3[[#This Row],[education-num]],NA())</f>
        <v>#N/A</v>
      </c>
    </row>
    <row r="449" spans="1:20">
      <c r="A449">
        <v>448</v>
      </c>
      <c r="B449">
        <v>38</v>
      </c>
      <c r="C449" t="s">
        <v>34</v>
      </c>
      <c r="D449">
        <v>187870</v>
      </c>
      <c r="E449" t="s">
        <v>60</v>
      </c>
      <c r="F449">
        <v>13</v>
      </c>
      <c r="G449" t="s">
        <v>63</v>
      </c>
      <c r="H449" t="s">
        <v>61</v>
      </c>
      <c r="I449" t="s">
        <v>66</v>
      </c>
      <c r="J449" t="s">
        <v>39</v>
      </c>
      <c r="K449" t="s">
        <v>52</v>
      </c>
      <c r="L449">
        <v>7298</v>
      </c>
      <c r="M449">
        <v>0</v>
      </c>
      <c r="N449">
        <v>50</v>
      </c>
      <c r="O449" t="s">
        <v>41</v>
      </c>
      <c r="P449" t="s">
        <v>53</v>
      </c>
      <c r="Q449" t="e">
        <f>IF(Tabela3[[#This Row],[Income]]="&lt;=50K",Tabela3[[#This Row],[Age]],NA())</f>
        <v>#N/A</v>
      </c>
      <c r="R449" t="e">
        <f>IF(Tabela3[[#This Row],[Income]]="&lt;=50K",Tabela3[[#This Row],[education-num]],NA())</f>
        <v>#N/A</v>
      </c>
      <c r="S449">
        <f>IF(Tabela3[[#This Row],[Income]]="&gt;50K",Tabela3[[#This Row],[Age]],NA())</f>
        <v>38</v>
      </c>
      <c r="T449">
        <f>IF(Tabela3[[#This Row],[Income]]="&gt;50K",Tabela3[[#This Row],[education-num]],NA())</f>
        <v>13</v>
      </c>
    </row>
    <row r="450" spans="1:20">
      <c r="A450">
        <v>449</v>
      </c>
      <c r="B450">
        <v>37</v>
      </c>
      <c r="C450" t="s">
        <v>34</v>
      </c>
      <c r="D450">
        <v>99374</v>
      </c>
      <c r="E450" t="s">
        <v>77</v>
      </c>
      <c r="F450">
        <v>6</v>
      </c>
      <c r="G450" t="s">
        <v>63</v>
      </c>
      <c r="H450" t="s">
        <v>72</v>
      </c>
      <c r="I450" t="s">
        <v>66</v>
      </c>
      <c r="J450" t="s">
        <v>39</v>
      </c>
      <c r="K450" t="s">
        <v>52</v>
      </c>
      <c r="L450">
        <v>0</v>
      </c>
      <c r="M450">
        <v>0</v>
      </c>
      <c r="N450">
        <v>55</v>
      </c>
      <c r="O450" t="s">
        <v>41</v>
      </c>
      <c r="P450" t="s">
        <v>42</v>
      </c>
      <c r="Q450">
        <f>IF(Tabela3[[#This Row],[Income]]="&lt;=50K",Tabela3[[#This Row],[Age]],NA())</f>
        <v>37</v>
      </c>
      <c r="R450">
        <f>IF(Tabela3[[#This Row],[Income]]="&lt;=50K",Tabela3[[#This Row],[education-num]],NA())</f>
        <v>6</v>
      </c>
      <c r="S450" t="e">
        <f>IF(Tabela3[[#This Row],[Income]]="&gt;50K",Tabela3[[#This Row],[Age]],NA())</f>
        <v>#N/A</v>
      </c>
      <c r="T450" t="e">
        <f>IF(Tabela3[[#This Row],[Income]]="&gt;50K",Tabela3[[#This Row],[education-num]],NA())</f>
        <v>#N/A</v>
      </c>
    </row>
    <row r="451" spans="1:20">
      <c r="A451">
        <v>450</v>
      </c>
      <c r="B451">
        <v>54</v>
      </c>
      <c r="C451" t="s">
        <v>34</v>
      </c>
      <c r="D451">
        <v>227832</v>
      </c>
      <c r="E451" t="s">
        <v>51</v>
      </c>
      <c r="F451">
        <v>8</v>
      </c>
      <c r="G451" t="s">
        <v>63</v>
      </c>
      <c r="H451" t="s">
        <v>50</v>
      </c>
      <c r="I451" t="s">
        <v>66</v>
      </c>
      <c r="J451" t="s">
        <v>39</v>
      </c>
      <c r="K451" t="s">
        <v>52</v>
      </c>
      <c r="L451">
        <v>0</v>
      </c>
      <c r="M451">
        <v>0</v>
      </c>
      <c r="N451">
        <v>40</v>
      </c>
      <c r="O451" t="s">
        <v>41</v>
      </c>
      <c r="P451" t="s">
        <v>42</v>
      </c>
      <c r="Q451">
        <f>IF(Tabela3[[#This Row],[Income]]="&lt;=50K",Tabela3[[#This Row],[Age]],NA())</f>
        <v>54</v>
      </c>
      <c r="R451">
        <f>IF(Tabela3[[#This Row],[Income]]="&lt;=50K",Tabela3[[#This Row],[education-num]],NA())</f>
        <v>8</v>
      </c>
      <c r="S451" t="e">
        <f>IF(Tabela3[[#This Row],[Income]]="&gt;50K",Tabela3[[#This Row],[Age]],NA())</f>
        <v>#N/A</v>
      </c>
      <c r="T451" t="e">
        <f>IF(Tabela3[[#This Row],[Income]]="&gt;50K",Tabela3[[#This Row],[education-num]],NA())</f>
        <v>#N/A</v>
      </c>
    </row>
    <row r="452" spans="1:20">
      <c r="A452">
        <v>451</v>
      </c>
      <c r="B452">
        <v>40</v>
      </c>
      <c r="C452" t="s">
        <v>34</v>
      </c>
      <c r="D452">
        <v>109762</v>
      </c>
      <c r="E452" t="s">
        <v>46</v>
      </c>
      <c r="F452">
        <v>10</v>
      </c>
      <c r="G452" t="s">
        <v>49</v>
      </c>
      <c r="H452" t="s">
        <v>50</v>
      </c>
      <c r="I452" t="s">
        <v>69</v>
      </c>
      <c r="J452" t="s">
        <v>39</v>
      </c>
      <c r="K452" t="s">
        <v>52</v>
      </c>
      <c r="L452">
        <v>0</v>
      </c>
      <c r="M452">
        <v>0</v>
      </c>
      <c r="N452">
        <v>40</v>
      </c>
      <c r="O452" t="s">
        <v>41</v>
      </c>
      <c r="P452" t="s">
        <v>42</v>
      </c>
      <c r="Q452">
        <f>IF(Tabela3[[#This Row],[Income]]="&lt;=50K",Tabela3[[#This Row],[Age]],NA())</f>
        <v>40</v>
      </c>
      <c r="R452">
        <f>IF(Tabela3[[#This Row],[Income]]="&lt;=50K",Tabela3[[#This Row],[education-num]],NA())</f>
        <v>10</v>
      </c>
      <c r="S452" t="e">
        <f>IF(Tabela3[[#This Row],[Income]]="&gt;50K",Tabela3[[#This Row],[Age]],NA())</f>
        <v>#N/A</v>
      </c>
      <c r="T452" t="e">
        <f>IF(Tabela3[[#This Row],[Income]]="&gt;50K",Tabela3[[#This Row],[education-num]],NA())</f>
        <v>#N/A</v>
      </c>
    </row>
    <row r="453" spans="1:20">
      <c r="A453">
        <v>452</v>
      </c>
      <c r="B453">
        <v>21</v>
      </c>
      <c r="C453" t="s">
        <v>74</v>
      </c>
      <c r="D453">
        <v>103277</v>
      </c>
      <c r="E453" t="s">
        <v>51</v>
      </c>
      <c r="F453">
        <v>8</v>
      </c>
      <c r="G453" t="s">
        <v>63</v>
      </c>
      <c r="H453" t="s">
        <v>67</v>
      </c>
      <c r="I453" t="s">
        <v>65</v>
      </c>
      <c r="J453" t="s">
        <v>39</v>
      </c>
      <c r="K453" t="s">
        <v>40</v>
      </c>
      <c r="L453">
        <v>4508</v>
      </c>
      <c r="M453">
        <v>0</v>
      </c>
      <c r="N453">
        <v>30</v>
      </c>
      <c r="O453" t="s">
        <v>110</v>
      </c>
      <c r="P453" t="s">
        <v>42</v>
      </c>
      <c r="Q453">
        <f>IF(Tabela3[[#This Row],[Income]]="&lt;=50K",Tabela3[[#This Row],[Age]],NA())</f>
        <v>21</v>
      </c>
      <c r="R453">
        <f>IF(Tabela3[[#This Row],[Income]]="&lt;=50K",Tabela3[[#This Row],[education-num]],NA())</f>
        <v>8</v>
      </c>
      <c r="S453" t="e">
        <f>IF(Tabela3[[#This Row],[Income]]="&gt;50K",Tabela3[[#This Row],[Age]],NA())</f>
        <v>#N/A</v>
      </c>
      <c r="T453" t="e">
        <f>IF(Tabela3[[#This Row],[Income]]="&gt;50K",Tabela3[[#This Row],[education-num]],NA())</f>
        <v>#N/A</v>
      </c>
    </row>
    <row r="454" spans="1:20">
      <c r="A454">
        <v>453</v>
      </c>
      <c r="B454">
        <v>76</v>
      </c>
      <c r="C454" t="s">
        <v>71</v>
      </c>
      <c r="D454">
        <v>42209</v>
      </c>
      <c r="E454" t="s">
        <v>98</v>
      </c>
      <c r="F454">
        <v>5</v>
      </c>
      <c r="G454" t="s">
        <v>81</v>
      </c>
      <c r="H454" t="s">
        <v>71</v>
      </c>
      <c r="I454" t="s">
        <v>45</v>
      </c>
      <c r="J454" t="s">
        <v>39</v>
      </c>
      <c r="K454" t="s">
        <v>52</v>
      </c>
      <c r="L454">
        <v>0</v>
      </c>
      <c r="M454">
        <v>0</v>
      </c>
      <c r="N454">
        <v>25</v>
      </c>
      <c r="O454" t="s">
        <v>41</v>
      </c>
      <c r="P454" t="s">
        <v>42</v>
      </c>
      <c r="Q454">
        <f>IF(Tabela3[[#This Row],[Income]]="&lt;=50K",Tabela3[[#This Row],[Age]],NA())</f>
        <v>76</v>
      </c>
      <c r="R454">
        <f>IF(Tabela3[[#This Row],[Income]]="&lt;=50K",Tabela3[[#This Row],[education-num]],NA())</f>
        <v>5</v>
      </c>
      <c r="S454" t="e">
        <f>IF(Tabela3[[#This Row],[Income]]="&gt;50K",Tabela3[[#This Row],[Age]],NA())</f>
        <v>#N/A</v>
      </c>
      <c r="T454" t="e">
        <f>IF(Tabela3[[#This Row],[Income]]="&gt;50K",Tabela3[[#This Row],[education-num]],NA())</f>
        <v>#N/A</v>
      </c>
    </row>
    <row r="455" spans="1:20">
      <c r="A455">
        <v>454</v>
      </c>
      <c r="B455">
        <v>28</v>
      </c>
      <c r="C455" t="s">
        <v>34</v>
      </c>
      <c r="D455">
        <v>239130</v>
      </c>
      <c r="E455" t="s">
        <v>46</v>
      </c>
      <c r="F455">
        <v>10</v>
      </c>
      <c r="G455" t="s">
        <v>36</v>
      </c>
      <c r="H455" t="s">
        <v>80</v>
      </c>
      <c r="I455" t="s">
        <v>45</v>
      </c>
      <c r="J455" t="s">
        <v>39</v>
      </c>
      <c r="K455" t="s">
        <v>52</v>
      </c>
      <c r="L455">
        <v>0</v>
      </c>
      <c r="M455">
        <v>0</v>
      </c>
      <c r="N455">
        <v>50</v>
      </c>
      <c r="O455" t="s">
        <v>41</v>
      </c>
      <c r="P455" t="s">
        <v>42</v>
      </c>
      <c r="Q455">
        <f>IF(Tabela3[[#This Row],[Income]]="&lt;=50K",Tabela3[[#This Row],[Age]],NA())</f>
        <v>28</v>
      </c>
      <c r="R455">
        <f>IF(Tabela3[[#This Row],[Income]]="&lt;=50K",Tabela3[[#This Row],[education-num]],NA())</f>
        <v>10</v>
      </c>
      <c r="S455" t="e">
        <f>IF(Tabela3[[#This Row],[Income]]="&gt;50K",Tabela3[[#This Row],[Age]],NA())</f>
        <v>#N/A</v>
      </c>
      <c r="T455" t="e">
        <f>IF(Tabela3[[#This Row],[Income]]="&gt;50K",Tabela3[[#This Row],[education-num]],NA())</f>
        <v>#N/A</v>
      </c>
    </row>
    <row r="456" spans="1:20">
      <c r="A456">
        <v>455</v>
      </c>
      <c r="B456">
        <v>47</v>
      </c>
      <c r="C456" t="s">
        <v>74</v>
      </c>
      <c r="D456">
        <v>122307</v>
      </c>
      <c r="E456" t="s">
        <v>60</v>
      </c>
      <c r="F456">
        <v>13</v>
      </c>
      <c r="G456" t="s">
        <v>63</v>
      </c>
      <c r="H456" t="s">
        <v>44</v>
      </c>
      <c r="I456" t="s">
        <v>66</v>
      </c>
      <c r="J456" t="s">
        <v>39</v>
      </c>
      <c r="K456" t="s">
        <v>52</v>
      </c>
      <c r="L456">
        <v>0</v>
      </c>
      <c r="M456">
        <v>1887</v>
      </c>
      <c r="N456">
        <v>40</v>
      </c>
      <c r="O456" t="s">
        <v>41</v>
      </c>
      <c r="P456" t="s">
        <v>53</v>
      </c>
      <c r="Q456" t="e">
        <f>IF(Tabela3[[#This Row],[Income]]="&lt;=50K",Tabela3[[#This Row],[Age]],NA())</f>
        <v>#N/A</v>
      </c>
      <c r="R456" t="e">
        <f>IF(Tabela3[[#This Row],[Income]]="&lt;=50K",Tabela3[[#This Row],[education-num]],NA())</f>
        <v>#N/A</v>
      </c>
      <c r="S456">
        <f>IF(Tabela3[[#This Row],[Income]]="&gt;50K",Tabela3[[#This Row],[Age]],NA())</f>
        <v>47</v>
      </c>
      <c r="T456">
        <f>IF(Tabela3[[#This Row],[Income]]="&gt;50K",Tabela3[[#This Row],[education-num]],NA())</f>
        <v>13</v>
      </c>
    </row>
    <row r="457" spans="1:20">
      <c r="A457">
        <v>456</v>
      </c>
      <c r="B457">
        <v>58</v>
      </c>
      <c r="C457" t="s">
        <v>83</v>
      </c>
      <c r="D457">
        <v>174864</v>
      </c>
      <c r="E457" t="s">
        <v>62</v>
      </c>
      <c r="F457">
        <v>9</v>
      </c>
      <c r="G457" t="s">
        <v>63</v>
      </c>
      <c r="H457" t="s">
        <v>44</v>
      </c>
      <c r="I457" t="s">
        <v>66</v>
      </c>
      <c r="J457" t="s">
        <v>39</v>
      </c>
      <c r="K457" t="s">
        <v>52</v>
      </c>
      <c r="L457">
        <v>0</v>
      </c>
      <c r="M457">
        <v>0</v>
      </c>
      <c r="N457">
        <v>55</v>
      </c>
      <c r="O457" t="s">
        <v>41</v>
      </c>
      <c r="P457" t="s">
        <v>53</v>
      </c>
      <c r="Q457" t="e">
        <f>IF(Tabela3[[#This Row],[Income]]="&lt;=50K",Tabela3[[#This Row],[Age]],NA())</f>
        <v>#N/A</v>
      </c>
      <c r="R457" t="e">
        <f>IF(Tabela3[[#This Row],[Income]]="&lt;=50K",Tabela3[[#This Row],[education-num]],NA())</f>
        <v>#N/A</v>
      </c>
      <c r="S457">
        <f>IF(Tabela3[[#This Row],[Income]]="&gt;50K",Tabela3[[#This Row],[Age]],NA())</f>
        <v>58</v>
      </c>
      <c r="T457">
        <f>IF(Tabela3[[#This Row],[Income]]="&gt;50K",Tabela3[[#This Row],[education-num]],NA())</f>
        <v>9</v>
      </c>
    </row>
    <row r="458" spans="1:20">
      <c r="A458">
        <v>457</v>
      </c>
      <c r="B458">
        <v>19</v>
      </c>
      <c r="C458" t="s">
        <v>71</v>
      </c>
      <c r="D458">
        <v>225775</v>
      </c>
      <c r="E458" t="s">
        <v>46</v>
      </c>
      <c r="F458">
        <v>10</v>
      </c>
      <c r="G458" t="s">
        <v>36</v>
      </c>
      <c r="H458" t="s">
        <v>71</v>
      </c>
      <c r="I458" t="s">
        <v>38</v>
      </c>
      <c r="J458" t="s">
        <v>39</v>
      </c>
      <c r="K458" t="s">
        <v>52</v>
      </c>
      <c r="L458">
        <v>0</v>
      </c>
      <c r="M458">
        <v>0</v>
      </c>
      <c r="N458">
        <v>40</v>
      </c>
      <c r="O458" t="s">
        <v>41</v>
      </c>
      <c r="P458" t="s">
        <v>42</v>
      </c>
      <c r="Q458">
        <f>IF(Tabela3[[#This Row],[Income]]="&lt;=50K",Tabela3[[#This Row],[Age]],NA())</f>
        <v>19</v>
      </c>
      <c r="R458">
        <f>IF(Tabela3[[#This Row],[Income]]="&lt;=50K",Tabela3[[#This Row],[education-num]],NA())</f>
        <v>10</v>
      </c>
      <c r="S458" t="e">
        <f>IF(Tabela3[[#This Row],[Income]]="&gt;50K",Tabela3[[#This Row],[Age]],NA())</f>
        <v>#N/A</v>
      </c>
      <c r="T458" t="e">
        <f>IF(Tabela3[[#This Row],[Income]]="&gt;50K",Tabela3[[#This Row],[education-num]],NA())</f>
        <v>#N/A</v>
      </c>
    </row>
    <row r="459" spans="1:20">
      <c r="A459">
        <v>458</v>
      </c>
      <c r="B459">
        <v>42</v>
      </c>
      <c r="C459" t="s">
        <v>34</v>
      </c>
      <c r="D459">
        <v>165599</v>
      </c>
      <c r="E459" t="s">
        <v>62</v>
      </c>
      <c r="F459">
        <v>9</v>
      </c>
      <c r="G459" t="s">
        <v>63</v>
      </c>
      <c r="H459" t="s">
        <v>68</v>
      </c>
      <c r="I459" t="s">
        <v>66</v>
      </c>
      <c r="J459" t="s">
        <v>39</v>
      </c>
      <c r="K459" t="s">
        <v>52</v>
      </c>
      <c r="L459">
        <v>0</v>
      </c>
      <c r="M459">
        <v>0</v>
      </c>
      <c r="N459">
        <v>40</v>
      </c>
      <c r="O459" t="s">
        <v>41</v>
      </c>
      <c r="P459" t="s">
        <v>53</v>
      </c>
      <c r="Q459" t="e">
        <f>IF(Tabela3[[#This Row],[Income]]="&lt;=50K",Tabela3[[#This Row],[Age]],NA())</f>
        <v>#N/A</v>
      </c>
      <c r="R459" t="e">
        <f>IF(Tabela3[[#This Row],[Income]]="&lt;=50K",Tabela3[[#This Row],[education-num]],NA())</f>
        <v>#N/A</v>
      </c>
      <c r="S459">
        <f>IF(Tabela3[[#This Row],[Income]]="&gt;50K",Tabela3[[#This Row],[Age]],NA())</f>
        <v>42</v>
      </c>
      <c r="T459">
        <f>IF(Tabela3[[#This Row],[Income]]="&gt;50K",Tabela3[[#This Row],[education-num]],NA())</f>
        <v>9</v>
      </c>
    </row>
    <row r="460" spans="1:20">
      <c r="A460">
        <v>459</v>
      </c>
      <c r="B460">
        <v>48</v>
      </c>
      <c r="C460" t="s">
        <v>34</v>
      </c>
      <c r="D460">
        <v>344415</v>
      </c>
      <c r="E460" t="s">
        <v>60</v>
      </c>
      <c r="F460">
        <v>13</v>
      </c>
      <c r="G460" t="s">
        <v>90</v>
      </c>
      <c r="H460" t="s">
        <v>61</v>
      </c>
      <c r="I460" t="s">
        <v>45</v>
      </c>
      <c r="J460" t="s">
        <v>39</v>
      </c>
      <c r="K460" t="s">
        <v>52</v>
      </c>
      <c r="L460">
        <v>0</v>
      </c>
      <c r="M460">
        <v>0</v>
      </c>
      <c r="N460">
        <v>37</v>
      </c>
      <c r="O460" t="s">
        <v>41</v>
      </c>
      <c r="P460" t="s">
        <v>53</v>
      </c>
      <c r="Q460" t="e">
        <f>IF(Tabela3[[#This Row],[Income]]="&lt;=50K",Tabela3[[#This Row],[Age]],NA())</f>
        <v>#N/A</v>
      </c>
      <c r="R460" t="e">
        <f>IF(Tabela3[[#This Row],[Income]]="&lt;=50K",Tabela3[[#This Row],[education-num]],NA())</f>
        <v>#N/A</v>
      </c>
      <c r="S460">
        <f>IF(Tabela3[[#This Row],[Income]]="&gt;50K",Tabela3[[#This Row],[Age]],NA())</f>
        <v>48</v>
      </c>
      <c r="T460">
        <f>IF(Tabela3[[#This Row],[Income]]="&gt;50K",Tabela3[[#This Row],[education-num]],NA())</f>
        <v>13</v>
      </c>
    </row>
    <row r="461" spans="1:20">
      <c r="A461">
        <v>460</v>
      </c>
      <c r="B461">
        <v>33</v>
      </c>
      <c r="C461" t="s">
        <v>34</v>
      </c>
      <c r="D461">
        <v>100154</v>
      </c>
      <c r="E461" t="s">
        <v>77</v>
      </c>
      <c r="F461">
        <v>6</v>
      </c>
      <c r="G461" t="s">
        <v>55</v>
      </c>
      <c r="H461" t="s">
        <v>68</v>
      </c>
      <c r="I461" t="s">
        <v>45</v>
      </c>
      <c r="J461" t="s">
        <v>39</v>
      </c>
      <c r="K461" t="s">
        <v>52</v>
      </c>
      <c r="L461">
        <v>0</v>
      </c>
      <c r="M461">
        <v>0</v>
      </c>
      <c r="N461">
        <v>40</v>
      </c>
      <c r="O461" t="s">
        <v>41</v>
      </c>
      <c r="P461" t="s">
        <v>42</v>
      </c>
      <c r="Q461">
        <f>IF(Tabela3[[#This Row],[Income]]="&lt;=50K",Tabela3[[#This Row],[Age]],NA())</f>
        <v>33</v>
      </c>
      <c r="R461">
        <f>IF(Tabela3[[#This Row],[Income]]="&lt;=50K",Tabela3[[#This Row],[education-num]],NA())</f>
        <v>6</v>
      </c>
      <c r="S461" t="e">
        <f>IF(Tabela3[[#This Row],[Income]]="&gt;50K",Tabela3[[#This Row],[Age]],NA())</f>
        <v>#N/A</v>
      </c>
      <c r="T461" t="e">
        <f>IF(Tabela3[[#This Row],[Income]]="&gt;50K",Tabela3[[#This Row],[education-num]],NA())</f>
        <v>#N/A</v>
      </c>
    </row>
    <row r="462" spans="1:20">
      <c r="A462">
        <v>461</v>
      </c>
      <c r="B462">
        <v>45</v>
      </c>
      <c r="C462" t="s">
        <v>34</v>
      </c>
      <c r="D462">
        <v>172960</v>
      </c>
      <c r="E462" t="s">
        <v>46</v>
      </c>
      <c r="F462">
        <v>10</v>
      </c>
      <c r="G462" t="s">
        <v>49</v>
      </c>
      <c r="H462" t="s">
        <v>89</v>
      </c>
      <c r="I462" t="s">
        <v>45</v>
      </c>
      <c r="J462" t="s">
        <v>39</v>
      </c>
      <c r="K462" t="s">
        <v>52</v>
      </c>
      <c r="L462">
        <v>0</v>
      </c>
      <c r="M462">
        <v>0</v>
      </c>
      <c r="N462">
        <v>70</v>
      </c>
      <c r="O462" t="s">
        <v>41</v>
      </c>
      <c r="P462" t="s">
        <v>42</v>
      </c>
      <c r="Q462">
        <f>IF(Tabela3[[#This Row],[Income]]="&lt;=50K",Tabela3[[#This Row],[Age]],NA())</f>
        <v>45</v>
      </c>
      <c r="R462">
        <f>IF(Tabela3[[#This Row],[Income]]="&lt;=50K",Tabela3[[#This Row],[education-num]],NA())</f>
        <v>10</v>
      </c>
      <c r="S462" t="e">
        <f>IF(Tabela3[[#This Row],[Income]]="&gt;50K",Tabela3[[#This Row],[Age]],NA())</f>
        <v>#N/A</v>
      </c>
      <c r="T462" t="e">
        <f>IF(Tabela3[[#This Row],[Income]]="&gt;50K",Tabela3[[#This Row],[education-num]],NA())</f>
        <v>#N/A</v>
      </c>
    </row>
    <row r="463" spans="1:20">
      <c r="A463">
        <v>462</v>
      </c>
      <c r="B463">
        <v>46</v>
      </c>
      <c r="C463" t="s">
        <v>34</v>
      </c>
      <c r="D463">
        <v>167915</v>
      </c>
      <c r="E463" t="s">
        <v>62</v>
      </c>
      <c r="F463">
        <v>9</v>
      </c>
      <c r="G463" t="s">
        <v>63</v>
      </c>
      <c r="H463" t="s">
        <v>50</v>
      </c>
      <c r="I463" t="s">
        <v>66</v>
      </c>
      <c r="J463" t="s">
        <v>39</v>
      </c>
      <c r="K463" t="s">
        <v>52</v>
      </c>
      <c r="L463">
        <v>0</v>
      </c>
      <c r="M463">
        <v>0</v>
      </c>
      <c r="N463">
        <v>40</v>
      </c>
      <c r="O463" t="s">
        <v>41</v>
      </c>
      <c r="P463" t="s">
        <v>42</v>
      </c>
      <c r="Q463">
        <f>IF(Tabela3[[#This Row],[Income]]="&lt;=50K",Tabela3[[#This Row],[Age]],NA())</f>
        <v>46</v>
      </c>
      <c r="R463">
        <f>IF(Tabela3[[#This Row],[Income]]="&lt;=50K",Tabela3[[#This Row],[education-num]],NA())</f>
        <v>9</v>
      </c>
      <c r="S463" t="e">
        <f>IF(Tabela3[[#This Row],[Income]]="&gt;50K",Tabela3[[#This Row],[Age]],NA())</f>
        <v>#N/A</v>
      </c>
      <c r="T463" t="e">
        <f>IF(Tabela3[[#This Row],[Income]]="&gt;50K",Tabela3[[#This Row],[education-num]],NA())</f>
        <v>#N/A</v>
      </c>
    </row>
    <row r="464" spans="1:20">
      <c r="A464">
        <v>463</v>
      </c>
      <c r="B464">
        <v>23</v>
      </c>
      <c r="C464" t="s">
        <v>34</v>
      </c>
      <c r="D464">
        <v>64520</v>
      </c>
      <c r="E464" t="s">
        <v>62</v>
      </c>
      <c r="F464">
        <v>9</v>
      </c>
      <c r="G464" t="s">
        <v>36</v>
      </c>
      <c r="H464" t="s">
        <v>67</v>
      </c>
      <c r="I464" t="s">
        <v>38</v>
      </c>
      <c r="J464" t="s">
        <v>39</v>
      </c>
      <c r="K464" t="s">
        <v>52</v>
      </c>
      <c r="L464">
        <v>0</v>
      </c>
      <c r="M464">
        <v>0</v>
      </c>
      <c r="N464">
        <v>30</v>
      </c>
      <c r="O464" t="s">
        <v>41</v>
      </c>
      <c r="P464" t="s">
        <v>42</v>
      </c>
      <c r="Q464">
        <f>IF(Tabela3[[#This Row],[Income]]="&lt;=50K",Tabela3[[#This Row],[Age]],NA())</f>
        <v>23</v>
      </c>
      <c r="R464">
        <f>IF(Tabela3[[#This Row],[Income]]="&lt;=50K",Tabela3[[#This Row],[education-num]],NA())</f>
        <v>9</v>
      </c>
      <c r="S464" t="e">
        <f>IF(Tabela3[[#This Row],[Income]]="&gt;50K",Tabela3[[#This Row],[Age]],NA())</f>
        <v>#N/A</v>
      </c>
      <c r="T464" t="e">
        <f>IF(Tabela3[[#This Row],[Income]]="&gt;50K",Tabela3[[#This Row],[education-num]],NA())</f>
        <v>#N/A</v>
      </c>
    </row>
    <row r="465" spans="1:20">
      <c r="A465">
        <v>464</v>
      </c>
      <c r="B465">
        <v>59</v>
      </c>
      <c r="C465" t="s">
        <v>71</v>
      </c>
      <c r="D465">
        <v>182836</v>
      </c>
      <c r="E465" t="s">
        <v>62</v>
      </c>
      <c r="F465">
        <v>9</v>
      </c>
      <c r="G465" t="s">
        <v>63</v>
      </c>
      <c r="H465" t="s">
        <v>71</v>
      </c>
      <c r="I465" t="s">
        <v>65</v>
      </c>
      <c r="J465" t="s">
        <v>39</v>
      </c>
      <c r="K465" t="s">
        <v>40</v>
      </c>
      <c r="L465">
        <v>0</v>
      </c>
      <c r="M465">
        <v>0</v>
      </c>
      <c r="N465">
        <v>40</v>
      </c>
      <c r="O465" t="s">
        <v>41</v>
      </c>
      <c r="P465" t="s">
        <v>53</v>
      </c>
      <c r="Q465" t="e">
        <f>IF(Tabela3[[#This Row],[Income]]="&lt;=50K",Tabela3[[#This Row],[Age]],NA())</f>
        <v>#N/A</v>
      </c>
      <c r="R465" t="e">
        <f>IF(Tabela3[[#This Row],[Income]]="&lt;=50K",Tabela3[[#This Row],[education-num]],NA())</f>
        <v>#N/A</v>
      </c>
      <c r="S465">
        <f>IF(Tabela3[[#This Row],[Income]]="&gt;50K",Tabela3[[#This Row],[Age]],NA())</f>
        <v>59</v>
      </c>
      <c r="T465">
        <f>IF(Tabela3[[#This Row],[Income]]="&gt;50K",Tabela3[[#This Row],[education-num]],NA())</f>
        <v>9</v>
      </c>
    </row>
    <row r="466" spans="1:20">
      <c r="A466">
        <v>465</v>
      </c>
      <c r="B466">
        <v>56</v>
      </c>
      <c r="C466" t="s">
        <v>74</v>
      </c>
      <c r="D466">
        <v>66356</v>
      </c>
      <c r="E466" t="s">
        <v>46</v>
      </c>
      <c r="F466">
        <v>10</v>
      </c>
      <c r="G466" t="s">
        <v>63</v>
      </c>
      <c r="H466" t="s">
        <v>58</v>
      </c>
      <c r="I466" t="s">
        <v>66</v>
      </c>
      <c r="J466" t="s">
        <v>39</v>
      </c>
      <c r="K466" t="s">
        <v>52</v>
      </c>
      <c r="L466">
        <v>0</v>
      </c>
      <c r="M466">
        <v>0</v>
      </c>
      <c r="N466">
        <v>50</v>
      </c>
      <c r="O466" t="s">
        <v>41</v>
      </c>
      <c r="P466" t="s">
        <v>42</v>
      </c>
      <c r="Q466">
        <f>IF(Tabela3[[#This Row],[Income]]="&lt;=50K",Tabela3[[#This Row],[Age]],NA())</f>
        <v>56</v>
      </c>
      <c r="R466">
        <f>IF(Tabela3[[#This Row],[Income]]="&lt;=50K",Tabela3[[#This Row],[education-num]],NA())</f>
        <v>10</v>
      </c>
      <c r="S466" t="e">
        <f>IF(Tabela3[[#This Row],[Income]]="&gt;50K",Tabela3[[#This Row],[Age]],NA())</f>
        <v>#N/A</v>
      </c>
      <c r="T466" t="e">
        <f>IF(Tabela3[[#This Row],[Income]]="&gt;50K",Tabela3[[#This Row],[education-num]],NA())</f>
        <v>#N/A</v>
      </c>
    </row>
    <row r="467" spans="1:20">
      <c r="A467">
        <v>466</v>
      </c>
      <c r="B467">
        <v>44</v>
      </c>
      <c r="C467" t="s">
        <v>34</v>
      </c>
      <c r="D467">
        <v>30126</v>
      </c>
      <c r="E467" t="s">
        <v>46</v>
      </c>
      <c r="F467">
        <v>10</v>
      </c>
      <c r="G467" t="s">
        <v>49</v>
      </c>
      <c r="H467" t="s">
        <v>67</v>
      </c>
      <c r="I467" t="s">
        <v>69</v>
      </c>
      <c r="J467" t="s">
        <v>39</v>
      </c>
      <c r="K467" t="s">
        <v>40</v>
      </c>
      <c r="L467">
        <v>0</v>
      </c>
      <c r="M467">
        <v>0</v>
      </c>
      <c r="N467">
        <v>40</v>
      </c>
      <c r="O467" t="s">
        <v>41</v>
      </c>
      <c r="P467" t="s">
        <v>42</v>
      </c>
      <c r="Q467">
        <f>IF(Tabela3[[#This Row],[Income]]="&lt;=50K",Tabela3[[#This Row],[Age]],NA())</f>
        <v>44</v>
      </c>
      <c r="R467">
        <f>IF(Tabela3[[#This Row],[Income]]="&lt;=50K",Tabela3[[#This Row],[education-num]],NA())</f>
        <v>10</v>
      </c>
      <c r="S467" t="e">
        <f>IF(Tabela3[[#This Row],[Income]]="&gt;50K",Tabela3[[#This Row],[Age]],NA())</f>
        <v>#N/A</v>
      </c>
      <c r="T467" t="e">
        <f>IF(Tabela3[[#This Row],[Income]]="&gt;50K",Tabela3[[#This Row],[education-num]],NA())</f>
        <v>#N/A</v>
      </c>
    </row>
    <row r="468" spans="1:20">
      <c r="A468">
        <v>467</v>
      </c>
      <c r="B468">
        <v>47</v>
      </c>
      <c r="C468" t="s">
        <v>34</v>
      </c>
      <c r="D468">
        <v>23545</v>
      </c>
      <c r="E468" t="s">
        <v>46</v>
      </c>
      <c r="F468">
        <v>10</v>
      </c>
      <c r="G468" t="s">
        <v>63</v>
      </c>
      <c r="H468" t="s">
        <v>68</v>
      </c>
      <c r="I468" t="s">
        <v>66</v>
      </c>
      <c r="J468" t="s">
        <v>39</v>
      </c>
      <c r="K468" t="s">
        <v>52</v>
      </c>
      <c r="L468">
        <v>0</v>
      </c>
      <c r="M468">
        <v>0</v>
      </c>
      <c r="N468">
        <v>40</v>
      </c>
      <c r="O468" t="s">
        <v>41</v>
      </c>
      <c r="P468" t="s">
        <v>42</v>
      </c>
      <c r="Q468">
        <f>IF(Tabela3[[#This Row],[Income]]="&lt;=50K",Tabela3[[#This Row],[Age]],NA())</f>
        <v>47</v>
      </c>
      <c r="R468">
        <f>IF(Tabela3[[#This Row],[Income]]="&lt;=50K",Tabela3[[#This Row],[education-num]],NA())</f>
        <v>10</v>
      </c>
      <c r="S468" t="e">
        <f>IF(Tabela3[[#This Row],[Income]]="&gt;50K",Tabela3[[#This Row],[Age]],NA())</f>
        <v>#N/A</v>
      </c>
      <c r="T468" t="e">
        <f>IF(Tabela3[[#This Row],[Income]]="&gt;50K",Tabela3[[#This Row],[education-num]],NA())</f>
        <v>#N/A</v>
      </c>
    </row>
    <row r="469" spans="1:20">
      <c r="A469">
        <v>468</v>
      </c>
      <c r="B469">
        <v>55</v>
      </c>
      <c r="C469" t="s">
        <v>34</v>
      </c>
      <c r="D469">
        <v>86505</v>
      </c>
      <c r="E469" t="s">
        <v>62</v>
      </c>
      <c r="F469">
        <v>9</v>
      </c>
      <c r="G469" t="s">
        <v>63</v>
      </c>
      <c r="H469" t="s">
        <v>64</v>
      </c>
      <c r="I469" t="s">
        <v>66</v>
      </c>
      <c r="J469" t="s">
        <v>39</v>
      </c>
      <c r="K469" t="s">
        <v>52</v>
      </c>
      <c r="L469">
        <v>0</v>
      </c>
      <c r="M469">
        <v>0</v>
      </c>
      <c r="N469">
        <v>20</v>
      </c>
      <c r="O469" t="s">
        <v>41</v>
      </c>
      <c r="P469" t="s">
        <v>42</v>
      </c>
      <c r="Q469">
        <f>IF(Tabela3[[#This Row],[Income]]="&lt;=50K",Tabela3[[#This Row],[Age]],NA())</f>
        <v>55</v>
      </c>
      <c r="R469">
        <f>IF(Tabela3[[#This Row],[Income]]="&lt;=50K",Tabela3[[#This Row],[education-num]],NA())</f>
        <v>9</v>
      </c>
      <c r="S469" t="e">
        <f>IF(Tabela3[[#This Row],[Income]]="&gt;50K",Tabela3[[#This Row],[Age]],NA())</f>
        <v>#N/A</v>
      </c>
      <c r="T469" t="e">
        <f>IF(Tabela3[[#This Row],[Income]]="&gt;50K",Tabela3[[#This Row],[education-num]],NA())</f>
        <v>#N/A</v>
      </c>
    </row>
    <row r="470" spans="1:20">
      <c r="A470">
        <v>469</v>
      </c>
      <c r="B470">
        <v>32</v>
      </c>
      <c r="C470" t="s">
        <v>34</v>
      </c>
      <c r="D470">
        <v>111836</v>
      </c>
      <c r="E470" t="s">
        <v>46</v>
      </c>
      <c r="F470">
        <v>10</v>
      </c>
      <c r="G470" t="s">
        <v>63</v>
      </c>
      <c r="H470" t="s">
        <v>37</v>
      </c>
      <c r="I470" t="s">
        <v>66</v>
      </c>
      <c r="J470" t="s">
        <v>57</v>
      </c>
      <c r="K470" t="s">
        <v>52</v>
      </c>
      <c r="L470">
        <v>0</v>
      </c>
      <c r="M470">
        <v>0</v>
      </c>
      <c r="N470">
        <v>50</v>
      </c>
      <c r="O470" t="s">
        <v>41</v>
      </c>
      <c r="P470" t="s">
        <v>42</v>
      </c>
      <c r="Q470">
        <f>IF(Tabela3[[#This Row],[Income]]="&lt;=50K",Tabela3[[#This Row],[Age]],NA())</f>
        <v>32</v>
      </c>
      <c r="R470">
        <f>IF(Tabela3[[#This Row],[Income]]="&lt;=50K",Tabela3[[#This Row],[education-num]],NA())</f>
        <v>10</v>
      </c>
      <c r="S470" t="e">
        <f>IF(Tabela3[[#This Row],[Income]]="&gt;50K",Tabela3[[#This Row],[Age]],NA())</f>
        <v>#N/A</v>
      </c>
      <c r="T470" t="e">
        <f>IF(Tabela3[[#This Row],[Income]]="&gt;50K",Tabela3[[#This Row],[education-num]],NA())</f>
        <v>#N/A</v>
      </c>
    </row>
    <row r="471" spans="1:20">
      <c r="A471">
        <v>470</v>
      </c>
      <c r="B471">
        <v>26</v>
      </c>
      <c r="C471" t="s">
        <v>34</v>
      </c>
      <c r="D471">
        <v>388812</v>
      </c>
      <c r="E471" t="s">
        <v>46</v>
      </c>
      <c r="F471">
        <v>10</v>
      </c>
      <c r="G471" t="s">
        <v>36</v>
      </c>
      <c r="H471" t="s">
        <v>44</v>
      </c>
      <c r="I471" t="s">
        <v>45</v>
      </c>
      <c r="J471" t="s">
        <v>57</v>
      </c>
      <c r="K471" t="s">
        <v>52</v>
      </c>
      <c r="L471">
        <v>0</v>
      </c>
      <c r="M471">
        <v>0</v>
      </c>
      <c r="N471">
        <v>35</v>
      </c>
      <c r="O471" t="s">
        <v>41</v>
      </c>
      <c r="P471" t="s">
        <v>42</v>
      </c>
      <c r="Q471">
        <f>IF(Tabela3[[#This Row],[Income]]="&lt;=50K",Tabela3[[#This Row],[Age]],NA())</f>
        <v>26</v>
      </c>
      <c r="R471">
        <f>IF(Tabela3[[#This Row],[Income]]="&lt;=50K",Tabela3[[#This Row],[education-num]],NA())</f>
        <v>10</v>
      </c>
      <c r="S471" t="e">
        <f>IF(Tabela3[[#This Row],[Income]]="&gt;50K",Tabela3[[#This Row],[Age]],NA())</f>
        <v>#N/A</v>
      </c>
      <c r="T471" t="e">
        <f>IF(Tabela3[[#This Row],[Income]]="&gt;50K",Tabela3[[#This Row],[education-num]],NA())</f>
        <v>#N/A</v>
      </c>
    </row>
    <row r="472" spans="1:20">
      <c r="A472">
        <v>471</v>
      </c>
      <c r="B472">
        <v>25</v>
      </c>
      <c r="C472" t="s">
        <v>34</v>
      </c>
      <c r="D472">
        <v>404951</v>
      </c>
      <c r="E472" t="s">
        <v>60</v>
      </c>
      <c r="F472">
        <v>13</v>
      </c>
      <c r="G472" t="s">
        <v>36</v>
      </c>
      <c r="H472" t="s">
        <v>80</v>
      </c>
      <c r="I472" t="s">
        <v>45</v>
      </c>
      <c r="J472" t="s">
        <v>57</v>
      </c>
      <c r="K472" t="s">
        <v>40</v>
      </c>
      <c r="L472">
        <v>0</v>
      </c>
      <c r="M472">
        <v>0</v>
      </c>
      <c r="N472">
        <v>38</v>
      </c>
      <c r="O472" t="s">
        <v>41</v>
      </c>
      <c r="P472" t="s">
        <v>42</v>
      </c>
      <c r="Q472">
        <f>IF(Tabela3[[#This Row],[Income]]="&lt;=50K",Tabela3[[#This Row],[Age]],NA())</f>
        <v>25</v>
      </c>
      <c r="R472">
        <f>IF(Tabela3[[#This Row],[Income]]="&lt;=50K",Tabela3[[#This Row],[education-num]],NA())</f>
        <v>13</v>
      </c>
      <c r="S472" t="e">
        <f>IF(Tabela3[[#This Row],[Income]]="&gt;50K",Tabela3[[#This Row],[Age]],NA())</f>
        <v>#N/A</v>
      </c>
      <c r="T472" t="e">
        <f>IF(Tabela3[[#This Row],[Income]]="&gt;50K",Tabela3[[#This Row],[education-num]],NA())</f>
        <v>#N/A</v>
      </c>
    </row>
    <row r="473" spans="1:20">
      <c r="A473">
        <v>472</v>
      </c>
      <c r="B473">
        <v>18</v>
      </c>
      <c r="C473" t="s">
        <v>34</v>
      </c>
      <c r="D473">
        <v>167979</v>
      </c>
      <c r="E473" t="s">
        <v>35</v>
      </c>
      <c r="F473">
        <v>7</v>
      </c>
      <c r="G473" t="s">
        <v>36</v>
      </c>
      <c r="H473" t="s">
        <v>44</v>
      </c>
      <c r="I473" t="s">
        <v>38</v>
      </c>
      <c r="J473" t="s">
        <v>39</v>
      </c>
      <c r="K473" t="s">
        <v>52</v>
      </c>
      <c r="L473">
        <v>0</v>
      </c>
      <c r="M473">
        <v>0</v>
      </c>
      <c r="N473">
        <v>15</v>
      </c>
      <c r="O473" t="s">
        <v>41</v>
      </c>
      <c r="P473" t="s">
        <v>42</v>
      </c>
      <c r="Q473">
        <f>IF(Tabela3[[#This Row],[Income]]="&lt;=50K",Tabela3[[#This Row],[Age]],NA())</f>
        <v>18</v>
      </c>
      <c r="R473">
        <f>IF(Tabela3[[#This Row],[Income]]="&lt;=50K",Tabela3[[#This Row],[education-num]],NA())</f>
        <v>7</v>
      </c>
      <c r="S473" t="e">
        <f>IF(Tabela3[[#This Row],[Income]]="&gt;50K",Tabela3[[#This Row],[Age]],NA())</f>
        <v>#N/A</v>
      </c>
      <c r="T473" t="e">
        <f>IF(Tabela3[[#This Row],[Income]]="&gt;50K",Tabela3[[#This Row],[education-num]],NA())</f>
        <v>#N/A</v>
      </c>
    </row>
    <row r="474" spans="1:20">
      <c r="A474">
        <v>473</v>
      </c>
      <c r="B474">
        <v>60</v>
      </c>
      <c r="C474" t="s">
        <v>74</v>
      </c>
      <c r="D474">
        <v>95490</v>
      </c>
      <c r="E474" t="s">
        <v>62</v>
      </c>
      <c r="F474">
        <v>9</v>
      </c>
      <c r="G474" t="s">
        <v>63</v>
      </c>
      <c r="H474" t="s">
        <v>44</v>
      </c>
      <c r="I474" t="s">
        <v>66</v>
      </c>
      <c r="J474" t="s">
        <v>39</v>
      </c>
      <c r="K474" t="s">
        <v>52</v>
      </c>
      <c r="L474">
        <v>0</v>
      </c>
      <c r="M474">
        <v>0</v>
      </c>
      <c r="N474">
        <v>45</v>
      </c>
      <c r="O474" t="s">
        <v>41</v>
      </c>
      <c r="P474" t="s">
        <v>42</v>
      </c>
      <c r="Q474">
        <f>IF(Tabela3[[#This Row],[Income]]="&lt;=50K",Tabela3[[#This Row],[Age]],NA())</f>
        <v>60</v>
      </c>
      <c r="R474">
        <f>IF(Tabela3[[#This Row],[Income]]="&lt;=50K",Tabela3[[#This Row],[education-num]],NA())</f>
        <v>9</v>
      </c>
      <c r="S474" t="e">
        <f>IF(Tabela3[[#This Row],[Income]]="&gt;50K",Tabela3[[#This Row],[Age]],NA())</f>
        <v>#N/A</v>
      </c>
      <c r="T474" t="e">
        <f>IF(Tabela3[[#This Row],[Income]]="&gt;50K",Tabela3[[#This Row],[education-num]],NA())</f>
        <v>#N/A</v>
      </c>
    </row>
    <row r="475" spans="1:20">
      <c r="A475">
        <v>474</v>
      </c>
      <c r="B475">
        <v>25</v>
      </c>
      <c r="C475" t="s">
        <v>34</v>
      </c>
      <c r="D475">
        <v>268222</v>
      </c>
      <c r="E475" t="s">
        <v>62</v>
      </c>
      <c r="F475">
        <v>9</v>
      </c>
      <c r="G475" t="s">
        <v>55</v>
      </c>
      <c r="H475" t="s">
        <v>68</v>
      </c>
      <c r="I475" t="s">
        <v>69</v>
      </c>
      <c r="J475" t="s">
        <v>57</v>
      </c>
      <c r="K475" t="s">
        <v>40</v>
      </c>
      <c r="L475">
        <v>0</v>
      </c>
      <c r="M475">
        <v>0</v>
      </c>
      <c r="N475">
        <v>40</v>
      </c>
      <c r="O475" t="s">
        <v>41</v>
      </c>
      <c r="P475" t="s">
        <v>42</v>
      </c>
      <c r="Q475">
        <f>IF(Tabela3[[#This Row],[Income]]="&lt;=50K",Tabela3[[#This Row],[Age]],NA())</f>
        <v>25</v>
      </c>
      <c r="R475">
        <f>IF(Tabela3[[#This Row],[Income]]="&lt;=50K",Tabela3[[#This Row],[education-num]],NA())</f>
        <v>9</v>
      </c>
      <c r="S475" t="e">
        <f>IF(Tabela3[[#This Row],[Income]]="&gt;50K",Tabela3[[#This Row],[Age]],NA())</f>
        <v>#N/A</v>
      </c>
      <c r="T475" t="e">
        <f>IF(Tabela3[[#This Row],[Income]]="&gt;50K",Tabela3[[#This Row],[education-num]],NA())</f>
        <v>#N/A</v>
      </c>
    </row>
    <row r="476" spans="1:20">
      <c r="A476">
        <v>475</v>
      </c>
      <c r="B476">
        <v>54</v>
      </c>
      <c r="C476" t="s">
        <v>34</v>
      </c>
      <c r="D476">
        <v>202415</v>
      </c>
      <c r="E476" t="s">
        <v>62</v>
      </c>
      <c r="F476">
        <v>9</v>
      </c>
      <c r="G476" t="s">
        <v>63</v>
      </c>
      <c r="H476" t="s">
        <v>50</v>
      </c>
      <c r="I476" t="s">
        <v>66</v>
      </c>
      <c r="J476" t="s">
        <v>39</v>
      </c>
      <c r="K476" t="s">
        <v>52</v>
      </c>
      <c r="L476">
        <v>0</v>
      </c>
      <c r="M476">
        <v>0</v>
      </c>
      <c r="N476">
        <v>40</v>
      </c>
      <c r="O476" t="s">
        <v>41</v>
      </c>
      <c r="P476" t="s">
        <v>53</v>
      </c>
      <c r="Q476" t="e">
        <f>IF(Tabela3[[#This Row],[Income]]="&lt;=50K",Tabela3[[#This Row],[Age]],NA())</f>
        <v>#N/A</v>
      </c>
      <c r="R476" t="e">
        <f>IF(Tabela3[[#This Row],[Income]]="&lt;=50K",Tabela3[[#This Row],[education-num]],NA())</f>
        <v>#N/A</v>
      </c>
      <c r="S476">
        <f>IF(Tabela3[[#This Row],[Income]]="&gt;50K",Tabela3[[#This Row],[Age]],NA())</f>
        <v>54</v>
      </c>
      <c r="T476">
        <f>IF(Tabela3[[#This Row],[Income]]="&gt;50K",Tabela3[[#This Row],[education-num]],NA())</f>
        <v>9</v>
      </c>
    </row>
    <row r="477" spans="1:20">
      <c r="A477">
        <v>476</v>
      </c>
      <c r="B477">
        <v>17</v>
      </c>
      <c r="C477" t="s">
        <v>71</v>
      </c>
      <c r="D477">
        <v>332666</v>
      </c>
      <c r="E477" t="s">
        <v>77</v>
      </c>
      <c r="F477">
        <v>6</v>
      </c>
      <c r="G477" t="s">
        <v>36</v>
      </c>
      <c r="H477" t="s">
        <v>71</v>
      </c>
      <c r="I477" t="s">
        <v>38</v>
      </c>
      <c r="J477" t="s">
        <v>39</v>
      </c>
      <c r="K477" t="s">
        <v>40</v>
      </c>
      <c r="L477">
        <v>0</v>
      </c>
      <c r="M477">
        <v>0</v>
      </c>
      <c r="N477">
        <v>4</v>
      </c>
      <c r="O477" t="s">
        <v>41</v>
      </c>
      <c r="P477" t="s">
        <v>42</v>
      </c>
      <c r="Q477">
        <f>IF(Tabela3[[#This Row],[Income]]="&lt;=50K",Tabela3[[#This Row],[Age]],NA())</f>
        <v>17</v>
      </c>
      <c r="R477">
        <f>IF(Tabela3[[#This Row],[Income]]="&lt;=50K",Tabela3[[#This Row],[education-num]],NA())</f>
        <v>6</v>
      </c>
      <c r="S477" t="e">
        <f>IF(Tabela3[[#This Row],[Income]]="&gt;50K",Tabela3[[#This Row],[Age]],NA())</f>
        <v>#N/A</v>
      </c>
      <c r="T477" t="e">
        <f>IF(Tabela3[[#This Row],[Income]]="&gt;50K",Tabela3[[#This Row],[education-num]],NA())</f>
        <v>#N/A</v>
      </c>
    </row>
    <row r="478" spans="1:20">
      <c r="A478">
        <v>477</v>
      </c>
      <c r="B478">
        <v>40</v>
      </c>
      <c r="C478" t="s">
        <v>34</v>
      </c>
      <c r="D478">
        <v>83859</v>
      </c>
      <c r="E478" t="s">
        <v>62</v>
      </c>
      <c r="F478">
        <v>9</v>
      </c>
      <c r="G478" t="s">
        <v>81</v>
      </c>
      <c r="H478" t="s">
        <v>56</v>
      </c>
      <c r="I478" t="s">
        <v>38</v>
      </c>
      <c r="J478" t="s">
        <v>39</v>
      </c>
      <c r="K478" t="s">
        <v>40</v>
      </c>
      <c r="L478">
        <v>0</v>
      </c>
      <c r="M478">
        <v>0</v>
      </c>
      <c r="N478">
        <v>30</v>
      </c>
      <c r="O478" t="s">
        <v>41</v>
      </c>
      <c r="P478" t="s">
        <v>42</v>
      </c>
      <c r="Q478">
        <f>IF(Tabela3[[#This Row],[Income]]="&lt;=50K",Tabela3[[#This Row],[Age]],NA())</f>
        <v>40</v>
      </c>
      <c r="R478">
        <f>IF(Tabela3[[#This Row],[Income]]="&lt;=50K",Tabela3[[#This Row],[education-num]],NA())</f>
        <v>9</v>
      </c>
      <c r="S478" t="e">
        <f>IF(Tabela3[[#This Row],[Income]]="&gt;50K",Tabela3[[#This Row],[Age]],NA())</f>
        <v>#N/A</v>
      </c>
      <c r="T478" t="e">
        <f>IF(Tabela3[[#This Row],[Income]]="&gt;50K",Tabela3[[#This Row],[education-num]],NA())</f>
        <v>#N/A</v>
      </c>
    </row>
    <row r="479" spans="1:20">
      <c r="A479">
        <v>478</v>
      </c>
      <c r="B479">
        <v>62</v>
      </c>
      <c r="C479" t="s">
        <v>34</v>
      </c>
      <c r="D479">
        <v>98076</v>
      </c>
      <c r="E479" t="s">
        <v>60</v>
      </c>
      <c r="F479">
        <v>13</v>
      </c>
      <c r="G479" t="s">
        <v>63</v>
      </c>
      <c r="H479" t="s">
        <v>80</v>
      </c>
      <c r="I479" t="s">
        <v>66</v>
      </c>
      <c r="J479" t="s">
        <v>39</v>
      </c>
      <c r="K479" t="s">
        <v>52</v>
      </c>
      <c r="L479">
        <v>0</v>
      </c>
      <c r="M479">
        <v>0</v>
      </c>
      <c r="N479">
        <v>40</v>
      </c>
      <c r="O479" t="s">
        <v>41</v>
      </c>
      <c r="P479" t="s">
        <v>53</v>
      </c>
      <c r="Q479" t="e">
        <f>IF(Tabela3[[#This Row],[Income]]="&lt;=50K",Tabela3[[#This Row],[Age]],NA())</f>
        <v>#N/A</v>
      </c>
      <c r="R479" t="e">
        <f>IF(Tabela3[[#This Row],[Income]]="&lt;=50K",Tabela3[[#This Row],[education-num]],NA())</f>
        <v>#N/A</v>
      </c>
      <c r="S479">
        <f>IF(Tabela3[[#This Row],[Income]]="&gt;50K",Tabela3[[#This Row],[Age]],NA())</f>
        <v>62</v>
      </c>
      <c r="T479">
        <f>IF(Tabela3[[#This Row],[Income]]="&gt;50K",Tabela3[[#This Row],[education-num]],NA())</f>
        <v>13</v>
      </c>
    </row>
    <row r="480" spans="1:20">
      <c r="A480">
        <v>479</v>
      </c>
      <c r="B480">
        <v>56</v>
      </c>
      <c r="C480" t="s">
        <v>34</v>
      </c>
      <c r="D480">
        <v>193453</v>
      </c>
      <c r="E480" t="s">
        <v>60</v>
      </c>
      <c r="F480">
        <v>13</v>
      </c>
      <c r="G480" t="s">
        <v>63</v>
      </c>
      <c r="H480" t="s">
        <v>61</v>
      </c>
      <c r="I480" t="s">
        <v>66</v>
      </c>
      <c r="J480" t="s">
        <v>39</v>
      </c>
      <c r="K480" t="s">
        <v>52</v>
      </c>
      <c r="L480">
        <v>0</v>
      </c>
      <c r="M480">
        <v>1902</v>
      </c>
      <c r="N480">
        <v>65</v>
      </c>
      <c r="O480" t="s">
        <v>41</v>
      </c>
      <c r="P480" t="s">
        <v>53</v>
      </c>
      <c r="Q480" t="e">
        <f>IF(Tabela3[[#This Row],[Income]]="&lt;=50K",Tabela3[[#This Row],[Age]],NA())</f>
        <v>#N/A</v>
      </c>
      <c r="R480" t="e">
        <f>IF(Tabela3[[#This Row],[Income]]="&lt;=50K",Tabela3[[#This Row],[education-num]],NA())</f>
        <v>#N/A</v>
      </c>
      <c r="S480">
        <f>IF(Tabela3[[#This Row],[Income]]="&gt;50K",Tabela3[[#This Row],[Age]],NA())</f>
        <v>56</v>
      </c>
      <c r="T480">
        <f>IF(Tabela3[[#This Row],[Income]]="&gt;50K",Tabela3[[#This Row],[education-num]],NA())</f>
        <v>13</v>
      </c>
    </row>
    <row r="481" spans="1:20">
      <c r="A481">
        <v>480</v>
      </c>
      <c r="B481">
        <v>23</v>
      </c>
      <c r="C481" t="s">
        <v>34</v>
      </c>
      <c r="D481">
        <v>293565</v>
      </c>
      <c r="E481" t="s">
        <v>77</v>
      </c>
      <c r="F481">
        <v>6</v>
      </c>
      <c r="G481" t="s">
        <v>36</v>
      </c>
      <c r="H481" t="s">
        <v>68</v>
      </c>
      <c r="I481" t="s">
        <v>45</v>
      </c>
      <c r="J481" t="s">
        <v>39</v>
      </c>
      <c r="K481" t="s">
        <v>52</v>
      </c>
      <c r="L481">
        <v>0</v>
      </c>
      <c r="M481">
        <v>0</v>
      </c>
      <c r="N481">
        <v>40</v>
      </c>
      <c r="O481" t="s">
        <v>41</v>
      </c>
      <c r="P481" t="s">
        <v>42</v>
      </c>
      <c r="Q481">
        <f>IF(Tabela3[[#This Row],[Income]]="&lt;=50K",Tabela3[[#This Row],[Age]],NA())</f>
        <v>23</v>
      </c>
      <c r="R481">
        <f>IF(Tabela3[[#This Row],[Income]]="&lt;=50K",Tabela3[[#This Row],[education-num]],NA())</f>
        <v>6</v>
      </c>
      <c r="S481" t="e">
        <f>IF(Tabela3[[#This Row],[Income]]="&gt;50K",Tabela3[[#This Row],[Age]],NA())</f>
        <v>#N/A</v>
      </c>
      <c r="T481" t="e">
        <f>IF(Tabela3[[#This Row],[Income]]="&gt;50K",Tabela3[[#This Row],[education-num]],NA())</f>
        <v>#N/A</v>
      </c>
    </row>
    <row r="482" spans="1:20">
      <c r="A482">
        <v>481</v>
      </c>
      <c r="B482">
        <v>48</v>
      </c>
      <c r="C482" t="s">
        <v>34</v>
      </c>
      <c r="D482">
        <v>101684</v>
      </c>
      <c r="E482" t="s">
        <v>62</v>
      </c>
      <c r="F482">
        <v>9</v>
      </c>
      <c r="G482" t="s">
        <v>63</v>
      </c>
      <c r="H482" t="s">
        <v>44</v>
      </c>
      <c r="I482" t="s">
        <v>66</v>
      </c>
      <c r="J482" t="s">
        <v>39</v>
      </c>
      <c r="K482" t="s">
        <v>52</v>
      </c>
      <c r="L482">
        <v>0</v>
      </c>
      <c r="M482">
        <v>0</v>
      </c>
      <c r="N482">
        <v>40</v>
      </c>
      <c r="O482" t="s">
        <v>41</v>
      </c>
      <c r="P482" t="s">
        <v>42</v>
      </c>
      <c r="Q482">
        <f>IF(Tabela3[[#This Row],[Income]]="&lt;=50K",Tabela3[[#This Row],[Age]],NA())</f>
        <v>48</v>
      </c>
      <c r="R482">
        <f>IF(Tabela3[[#This Row],[Income]]="&lt;=50K",Tabela3[[#This Row],[education-num]],NA())</f>
        <v>9</v>
      </c>
      <c r="S482" t="e">
        <f>IF(Tabela3[[#This Row],[Income]]="&gt;50K",Tabela3[[#This Row],[Age]],NA())</f>
        <v>#N/A</v>
      </c>
      <c r="T482" t="e">
        <f>IF(Tabela3[[#This Row],[Income]]="&gt;50K",Tabela3[[#This Row],[education-num]],NA())</f>
        <v>#N/A</v>
      </c>
    </row>
    <row r="483" spans="1:20">
      <c r="A483">
        <v>482</v>
      </c>
      <c r="B483">
        <v>50</v>
      </c>
      <c r="C483" t="s">
        <v>34</v>
      </c>
      <c r="D483">
        <v>195784</v>
      </c>
      <c r="E483" t="s">
        <v>51</v>
      </c>
      <c r="F483">
        <v>8</v>
      </c>
      <c r="G483" t="s">
        <v>49</v>
      </c>
      <c r="H483" t="s">
        <v>68</v>
      </c>
      <c r="I483" t="s">
        <v>69</v>
      </c>
      <c r="J483" t="s">
        <v>39</v>
      </c>
      <c r="K483" t="s">
        <v>52</v>
      </c>
      <c r="L483">
        <v>0</v>
      </c>
      <c r="M483">
        <v>0</v>
      </c>
      <c r="N483">
        <v>40</v>
      </c>
      <c r="O483" t="s">
        <v>41</v>
      </c>
      <c r="P483" t="s">
        <v>42</v>
      </c>
      <c r="Q483">
        <f>IF(Tabela3[[#This Row],[Income]]="&lt;=50K",Tabela3[[#This Row],[Age]],NA())</f>
        <v>50</v>
      </c>
      <c r="R483">
        <f>IF(Tabela3[[#This Row],[Income]]="&lt;=50K",Tabela3[[#This Row],[education-num]],NA())</f>
        <v>8</v>
      </c>
      <c r="S483" t="e">
        <f>IF(Tabela3[[#This Row],[Income]]="&gt;50K",Tabela3[[#This Row],[Age]],NA())</f>
        <v>#N/A</v>
      </c>
      <c r="T483" t="e">
        <f>IF(Tabela3[[#This Row],[Income]]="&gt;50K",Tabela3[[#This Row],[education-num]],NA())</f>
        <v>#N/A</v>
      </c>
    </row>
    <row r="484" spans="1:20">
      <c r="A484">
        <v>483</v>
      </c>
      <c r="B484">
        <v>18</v>
      </c>
      <c r="C484" t="s">
        <v>71</v>
      </c>
      <c r="D484">
        <v>78181</v>
      </c>
      <c r="E484" t="s">
        <v>62</v>
      </c>
      <c r="F484">
        <v>9</v>
      </c>
      <c r="G484" t="s">
        <v>36</v>
      </c>
      <c r="H484" t="s">
        <v>71</v>
      </c>
      <c r="I484" t="s">
        <v>38</v>
      </c>
      <c r="J484" t="s">
        <v>39</v>
      </c>
      <c r="K484" t="s">
        <v>40</v>
      </c>
      <c r="L484">
        <v>0</v>
      </c>
      <c r="M484">
        <v>0</v>
      </c>
      <c r="N484">
        <v>20</v>
      </c>
      <c r="O484" t="s">
        <v>41</v>
      </c>
      <c r="P484" t="s">
        <v>42</v>
      </c>
      <c r="Q484">
        <f>IF(Tabela3[[#This Row],[Income]]="&lt;=50K",Tabela3[[#This Row],[Age]],NA())</f>
        <v>18</v>
      </c>
      <c r="R484">
        <f>IF(Tabela3[[#This Row],[Income]]="&lt;=50K",Tabela3[[#This Row],[education-num]],NA())</f>
        <v>9</v>
      </c>
      <c r="S484" t="e">
        <f>IF(Tabela3[[#This Row],[Income]]="&gt;50K",Tabela3[[#This Row],[Age]],NA())</f>
        <v>#N/A</v>
      </c>
      <c r="T484" t="e">
        <f>IF(Tabela3[[#This Row],[Income]]="&gt;50K",Tabela3[[#This Row],[education-num]],NA())</f>
        <v>#N/A</v>
      </c>
    </row>
    <row r="485" spans="1:20">
      <c r="A485">
        <v>484</v>
      </c>
      <c r="B485">
        <v>31</v>
      </c>
      <c r="C485" t="s">
        <v>34</v>
      </c>
      <c r="D485">
        <v>511289</v>
      </c>
      <c r="E485" t="s">
        <v>62</v>
      </c>
      <c r="F485">
        <v>9</v>
      </c>
      <c r="G485" t="s">
        <v>36</v>
      </c>
      <c r="H485" t="s">
        <v>58</v>
      </c>
      <c r="I485" t="s">
        <v>45</v>
      </c>
      <c r="J485" t="s">
        <v>39</v>
      </c>
      <c r="K485" t="s">
        <v>52</v>
      </c>
      <c r="L485">
        <v>2907</v>
      </c>
      <c r="M485">
        <v>0</v>
      </c>
      <c r="N485">
        <v>99</v>
      </c>
      <c r="O485" t="s">
        <v>41</v>
      </c>
      <c r="P485" t="s">
        <v>42</v>
      </c>
      <c r="Q485">
        <f>IF(Tabela3[[#This Row],[Income]]="&lt;=50K",Tabela3[[#This Row],[Age]],NA())</f>
        <v>31</v>
      </c>
      <c r="R485">
        <f>IF(Tabela3[[#This Row],[Income]]="&lt;=50K",Tabela3[[#This Row],[education-num]],NA())</f>
        <v>9</v>
      </c>
      <c r="S485" t="e">
        <f>IF(Tabela3[[#This Row],[Income]]="&gt;50K",Tabela3[[#This Row],[Age]],NA())</f>
        <v>#N/A</v>
      </c>
      <c r="T485" t="e">
        <f>IF(Tabela3[[#This Row],[Income]]="&gt;50K",Tabela3[[#This Row],[education-num]],NA())</f>
        <v>#N/A</v>
      </c>
    </row>
    <row r="486" spans="1:20">
      <c r="A486">
        <v>485</v>
      </c>
      <c r="B486">
        <v>24</v>
      </c>
      <c r="C486" t="s">
        <v>34</v>
      </c>
      <c r="D486">
        <v>62952</v>
      </c>
      <c r="E486" t="s">
        <v>62</v>
      </c>
      <c r="F486">
        <v>9</v>
      </c>
      <c r="G486" t="s">
        <v>36</v>
      </c>
      <c r="H486" t="s">
        <v>50</v>
      </c>
      <c r="I486" t="s">
        <v>38</v>
      </c>
      <c r="J486" t="s">
        <v>39</v>
      </c>
      <c r="K486" t="s">
        <v>52</v>
      </c>
      <c r="L486">
        <v>0</v>
      </c>
      <c r="M486">
        <v>0</v>
      </c>
      <c r="N486">
        <v>40</v>
      </c>
      <c r="O486" t="s">
        <v>41</v>
      </c>
      <c r="P486" t="s">
        <v>42</v>
      </c>
      <c r="Q486">
        <f>IF(Tabela3[[#This Row],[Income]]="&lt;=50K",Tabela3[[#This Row],[Age]],NA())</f>
        <v>24</v>
      </c>
      <c r="R486">
        <f>IF(Tabela3[[#This Row],[Income]]="&lt;=50K",Tabela3[[#This Row],[education-num]],NA())</f>
        <v>9</v>
      </c>
      <c r="S486" t="e">
        <f>IF(Tabela3[[#This Row],[Income]]="&gt;50K",Tabela3[[#This Row],[Age]],NA())</f>
        <v>#N/A</v>
      </c>
      <c r="T486" t="e">
        <f>IF(Tabela3[[#This Row],[Income]]="&gt;50K",Tabela3[[#This Row],[education-num]],NA())</f>
        <v>#N/A</v>
      </c>
    </row>
    <row r="487" spans="1:20">
      <c r="A487">
        <v>486</v>
      </c>
      <c r="B487">
        <v>38</v>
      </c>
      <c r="C487" t="s">
        <v>34</v>
      </c>
      <c r="D487">
        <v>391040</v>
      </c>
      <c r="E487" t="s">
        <v>78</v>
      </c>
      <c r="F487">
        <v>11</v>
      </c>
      <c r="G487" t="s">
        <v>55</v>
      </c>
      <c r="H487" t="s">
        <v>64</v>
      </c>
      <c r="I487" t="s">
        <v>69</v>
      </c>
      <c r="J487" t="s">
        <v>39</v>
      </c>
      <c r="K487" t="s">
        <v>40</v>
      </c>
      <c r="L487">
        <v>0</v>
      </c>
      <c r="M487">
        <v>0</v>
      </c>
      <c r="N487">
        <v>20</v>
      </c>
      <c r="O487" t="s">
        <v>41</v>
      </c>
      <c r="P487" t="s">
        <v>42</v>
      </c>
      <c r="Q487">
        <f>IF(Tabela3[[#This Row],[Income]]="&lt;=50K",Tabela3[[#This Row],[Age]],NA())</f>
        <v>38</v>
      </c>
      <c r="R487">
        <f>IF(Tabela3[[#This Row],[Income]]="&lt;=50K",Tabela3[[#This Row],[education-num]],NA())</f>
        <v>11</v>
      </c>
      <c r="S487" t="e">
        <f>IF(Tabela3[[#This Row],[Income]]="&gt;50K",Tabela3[[#This Row],[Age]],NA())</f>
        <v>#N/A</v>
      </c>
      <c r="T487" t="e">
        <f>IF(Tabela3[[#This Row],[Income]]="&gt;50K",Tabela3[[#This Row],[education-num]],NA())</f>
        <v>#N/A</v>
      </c>
    </row>
    <row r="488" spans="1:20">
      <c r="A488">
        <v>487</v>
      </c>
      <c r="B488">
        <v>20</v>
      </c>
      <c r="C488" t="s">
        <v>34</v>
      </c>
      <c r="D488">
        <v>153583</v>
      </c>
      <c r="E488" t="s">
        <v>46</v>
      </c>
      <c r="F488">
        <v>10</v>
      </c>
      <c r="G488" t="s">
        <v>36</v>
      </c>
      <c r="H488" t="s">
        <v>67</v>
      </c>
      <c r="I488" t="s">
        <v>38</v>
      </c>
      <c r="J488" t="s">
        <v>39</v>
      </c>
      <c r="K488" t="s">
        <v>40</v>
      </c>
      <c r="L488">
        <v>0</v>
      </c>
      <c r="M488">
        <v>0</v>
      </c>
      <c r="N488">
        <v>40</v>
      </c>
      <c r="O488" t="s">
        <v>71</v>
      </c>
      <c r="P488" t="s">
        <v>42</v>
      </c>
      <c r="Q488">
        <f>IF(Tabela3[[#This Row],[Income]]="&lt;=50K",Tabela3[[#This Row],[Age]],NA())</f>
        <v>20</v>
      </c>
      <c r="R488">
        <f>IF(Tabela3[[#This Row],[Income]]="&lt;=50K",Tabela3[[#This Row],[education-num]],NA())</f>
        <v>10</v>
      </c>
      <c r="S488" t="e">
        <f>IF(Tabela3[[#This Row],[Income]]="&gt;50K",Tabela3[[#This Row],[Age]],NA())</f>
        <v>#N/A</v>
      </c>
      <c r="T488" t="e">
        <f>IF(Tabela3[[#This Row],[Income]]="&gt;50K",Tabela3[[#This Row],[education-num]],NA())</f>
        <v>#N/A</v>
      </c>
    </row>
    <row r="489" spans="1:20">
      <c r="A489">
        <v>488</v>
      </c>
      <c r="B489">
        <v>45</v>
      </c>
      <c r="C489" t="s">
        <v>34</v>
      </c>
      <c r="D489">
        <v>168038</v>
      </c>
      <c r="E489" t="s">
        <v>60</v>
      </c>
      <c r="F489">
        <v>13</v>
      </c>
      <c r="G489" t="s">
        <v>49</v>
      </c>
      <c r="H489" t="s">
        <v>44</v>
      </c>
      <c r="I489" t="s">
        <v>45</v>
      </c>
      <c r="J489" t="s">
        <v>39</v>
      </c>
      <c r="K489" t="s">
        <v>52</v>
      </c>
      <c r="L489">
        <v>0</v>
      </c>
      <c r="M489">
        <v>0</v>
      </c>
      <c r="N489">
        <v>60</v>
      </c>
      <c r="O489" t="s">
        <v>41</v>
      </c>
      <c r="P489" t="s">
        <v>53</v>
      </c>
      <c r="Q489" t="e">
        <f>IF(Tabela3[[#This Row],[Income]]="&lt;=50K",Tabela3[[#This Row],[Age]],NA())</f>
        <v>#N/A</v>
      </c>
      <c r="R489" t="e">
        <f>IF(Tabela3[[#This Row],[Income]]="&lt;=50K",Tabela3[[#This Row],[education-num]],NA())</f>
        <v>#N/A</v>
      </c>
      <c r="S489">
        <f>IF(Tabela3[[#This Row],[Income]]="&gt;50K",Tabela3[[#This Row],[Age]],NA())</f>
        <v>45</v>
      </c>
      <c r="T489">
        <f>IF(Tabela3[[#This Row],[Income]]="&gt;50K",Tabela3[[#This Row],[education-num]],NA())</f>
        <v>13</v>
      </c>
    </row>
    <row r="490" spans="1:20">
      <c r="A490">
        <v>489</v>
      </c>
      <c r="B490">
        <v>45</v>
      </c>
      <c r="C490" t="s">
        <v>34</v>
      </c>
      <c r="D490">
        <v>260490</v>
      </c>
      <c r="E490" t="s">
        <v>73</v>
      </c>
      <c r="F490">
        <v>14</v>
      </c>
      <c r="G490" t="s">
        <v>63</v>
      </c>
      <c r="H490" t="s">
        <v>80</v>
      </c>
      <c r="I490" t="s">
        <v>66</v>
      </c>
      <c r="J490" t="s">
        <v>39</v>
      </c>
      <c r="K490" t="s">
        <v>52</v>
      </c>
      <c r="L490">
        <v>0</v>
      </c>
      <c r="M490">
        <v>0</v>
      </c>
      <c r="N490">
        <v>50</v>
      </c>
      <c r="O490" t="s">
        <v>41</v>
      </c>
      <c r="P490" t="s">
        <v>53</v>
      </c>
      <c r="Q490" t="e">
        <f>IF(Tabela3[[#This Row],[Income]]="&lt;=50K",Tabela3[[#This Row],[Age]],NA())</f>
        <v>#N/A</v>
      </c>
      <c r="R490" t="e">
        <f>IF(Tabela3[[#This Row],[Income]]="&lt;=50K",Tabela3[[#This Row],[education-num]],NA())</f>
        <v>#N/A</v>
      </c>
      <c r="S490">
        <f>IF(Tabela3[[#This Row],[Income]]="&gt;50K",Tabela3[[#This Row],[Age]],NA())</f>
        <v>45</v>
      </c>
      <c r="T490">
        <f>IF(Tabela3[[#This Row],[Income]]="&gt;50K",Tabela3[[#This Row],[education-num]],NA())</f>
        <v>14</v>
      </c>
    </row>
    <row r="491" spans="1:20">
      <c r="A491">
        <v>490</v>
      </c>
      <c r="B491">
        <v>63</v>
      </c>
      <c r="C491" t="s">
        <v>74</v>
      </c>
      <c r="D491">
        <v>28612</v>
      </c>
      <c r="E491" t="s">
        <v>62</v>
      </c>
      <c r="F491">
        <v>9</v>
      </c>
      <c r="G491" t="s">
        <v>81</v>
      </c>
      <c r="H491" t="s">
        <v>44</v>
      </c>
      <c r="I491" t="s">
        <v>45</v>
      </c>
      <c r="J491" t="s">
        <v>39</v>
      </c>
      <c r="K491" t="s">
        <v>52</v>
      </c>
      <c r="L491">
        <v>0</v>
      </c>
      <c r="M491">
        <v>0</v>
      </c>
      <c r="N491">
        <v>70</v>
      </c>
      <c r="O491" t="s">
        <v>41</v>
      </c>
      <c r="P491" t="s">
        <v>42</v>
      </c>
      <c r="Q491">
        <f>IF(Tabela3[[#This Row],[Income]]="&lt;=50K",Tabela3[[#This Row],[Age]],NA())</f>
        <v>63</v>
      </c>
      <c r="R491">
        <f>IF(Tabela3[[#This Row],[Income]]="&lt;=50K",Tabela3[[#This Row],[education-num]],NA())</f>
        <v>9</v>
      </c>
      <c r="S491" t="e">
        <f>IF(Tabela3[[#This Row],[Income]]="&gt;50K",Tabela3[[#This Row],[Age]],NA())</f>
        <v>#N/A</v>
      </c>
      <c r="T491" t="e">
        <f>IF(Tabela3[[#This Row],[Income]]="&gt;50K",Tabela3[[#This Row],[education-num]],NA())</f>
        <v>#N/A</v>
      </c>
    </row>
    <row r="492" spans="1:20">
      <c r="A492">
        <v>491</v>
      </c>
      <c r="B492">
        <v>40</v>
      </c>
      <c r="C492" t="s">
        <v>34</v>
      </c>
      <c r="D492">
        <v>346189</v>
      </c>
      <c r="E492" t="s">
        <v>97</v>
      </c>
      <c r="F492">
        <v>16</v>
      </c>
      <c r="G492" t="s">
        <v>63</v>
      </c>
      <c r="H492" t="s">
        <v>61</v>
      </c>
      <c r="I492" t="s">
        <v>66</v>
      </c>
      <c r="J492" t="s">
        <v>39</v>
      </c>
      <c r="K492" t="s">
        <v>52</v>
      </c>
      <c r="L492">
        <v>0</v>
      </c>
      <c r="M492">
        <v>0</v>
      </c>
      <c r="N492">
        <v>40</v>
      </c>
      <c r="O492" t="s">
        <v>41</v>
      </c>
      <c r="P492" t="s">
        <v>53</v>
      </c>
      <c r="Q492" t="e">
        <f>IF(Tabela3[[#This Row],[Income]]="&lt;=50K",Tabela3[[#This Row],[Age]],NA())</f>
        <v>#N/A</v>
      </c>
      <c r="R492" t="e">
        <f>IF(Tabela3[[#This Row],[Income]]="&lt;=50K",Tabela3[[#This Row],[education-num]],NA())</f>
        <v>#N/A</v>
      </c>
      <c r="S492">
        <f>IF(Tabela3[[#This Row],[Income]]="&gt;50K",Tabela3[[#This Row],[Age]],NA())</f>
        <v>40</v>
      </c>
      <c r="T492">
        <f>IF(Tabela3[[#This Row],[Income]]="&gt;50K",Tabela3[[#This Row],[education-num]],NA())</f>
        <v>16</v>
      </c>
    </row>
    <row r="493" spans="1:20">
      <c r="A493">
        <v>492</v>
      </c>
      <c r="B493">
        <v>32</v>
      </c>
      <c r="C493" t="s">
        <v>34</v>
      </c>
      <c r="D493">
        <v>212064</v>
      </c>
      <c r="E493" t="s">
        <v>60</v>
      </c>
      <c r="F493">
        <v>13</v>
      </c>
      <c r="G493" t="s">
        <v>63</v>
      </c>
      <c r="H493" t="s">
        <v>80</v>
      </c>
      <c r="I493" t="s">
        <v>65</v>
      </c>
      <c r="J493" t="s">
        <v>39</v>
      </c>
      <c r="K493" t="s">
        <v>40</v>
      </c>
      <c r="L493">
        <v>0</v>
      </c>
      <c r="M493">
        <v>0</v>
      </c>
      <c r="N493">
        <v>40</v>
      </c>
      <c r="O493" t="s">
        <v>41</v>
      </c>
      <c r="P493" t="s">
        <v>53</v>
      </c>
      <c r="Q493" t="e">
        <f>IF(Tabela3[[#This Row],[Income]]="&lt;=50K",Tabela3[[#This Row],[Age]],NA())</f>
        <v>#N/A</v>
      </c>
      <c r="R493" t="e">
        <f>IF(Tabela3[[#This Row],[Income]]="&lt;=50K",Tabela3[[#This Row],[education-num]],NA())</f>
        <v>#N/A</v>
      </c>
      <c r="S493">
        <f>IF(Tabela3[[#This Row],[Income]]="&gt;50K",Tabela3[[#This Row],[Age]],NA())</f>
        <v>32</v>
      </c>
      <c r="T493">
        <f>IF(Tabela3[[#This Row],[Income]]="&gt;50K",Tabela3[[#This Row],[education-num]],NA())</f>
        <v>13</v>
      </c>
    </row>
    <row r="494" spans="1:20">
      <c r="A494">
        <v>493</v>
      </c>
      <c r="B494">
        <v>37</v>
      </c>
      <c r="C494" t="s">
        <v>34</v>
      </c>
      <c r="D494">
        <v>135436</v>
      </c>
      <c r="E494" t="s">
        <v>60</v>
      </c>
      <c r="F494">
        <v>13</v>
      </c>
      <c r="G494" t="s">
        <v>63</v>
      </c>
      <c r="H494" t="s">
        <v>80</v>
      </c>
      <c r="I494" t="s">
        <v>66</v>
      </c>
      <c r="J494" t="s">
        <v>39</v>
      </c>
      <c r="K494" t="s">
        <v>52</v>
      </c>
      <c r="L494">
        <v>0</v>
      </c>
      <c r="M494">
        <v>1977</v>
      </c>
      <c r="N494">
        <v>60</v>
      </c>
      <c r="O494" t="s">
        <v>41</v>
      </c>
      <c r="P494" t="s">
        <v>53</v>
      </c>
      <c r="Q494" t="e">
        <f>IF(Tabela3[[#This Row],[Income]]="&lt;=50K",Tabela3[[#This Row],[Age]],NA())</f>
        <v>#N/A</v>
      </c>
      <c r="R494" t="e">
        <f>IF(Tabela3[[#This Row],[Income]]="&lt;=50K",Tabela3[[#This Row],[education-num]],NA())</f>
        <v>#N/A</v>
      </c>
      <c r="S494">
        <f>IF(Tabela3[[#This Row],[Income]]="&gt;50K",Tabela3[[#This Row],[Age]],NA())</f>
        <v>37</v>
      </c>
      <c r="T494">
        <f>IF(Tabela3[[#This Row],[Income]]="&gt;50K",Tabela3[[#This Row],[education-num]],NA())</f>
        <v>13</v>
      </c>
    </row>
    <row r="495" spans="1:20">
      <c r="A495">
        <v>494</v>
      </c>
      <c r="B495">
        <v>34</v>
      </c>
      <c r="C495" t="s">
        <v>34</v>
      </c>
      <c r="D495">
        <v>184147</v>
      </c>
      <c r="E495" t="s">
        <v>62</v>
      </c>
      <c r="F495">
        <v>9</v>
      </c>
      <c r="G495" t="s">
        <v>55</v>
      </c>
      <c r="H495" t="s">
        <v>44</v>
      </c>
      <c r="I495" t="s">
        <v>69</v>
      </c>
      <c r="J495" t="s">
        <v>57</v>
      </c>
      <c r="K495" t="s">
        <v>40</v>
      </c>
      <c r="L495">
        <v>0</v>
      </c>
      <c r="M495">
        <v>0</v>
      </c>
      <c r="N495">
        <v>20</v>
      </c>
      <c r="O495" t="s">
        <v>41</v>
      </c>
      <c r="P495" t="s">
        <v>42</v>
      </c>
      <c r="Q495">
        <f>IF(Tabela3[[#This Row],[Income]]="&lt;=50K",Tabela3[[#This Row],[Age]],NA())</f>
        <v>34</v>
      </c>
      <c r="R495">
        <f>IF(Tabela3[[#This Row],[Income]]="&lt;=50K",Tabela3[[#This Row],[education-num]],NA())</f>
        <v>9</v>
      </c>
      <c r="S495" t="e">
        <f>IF(Tabela3[[#This Row],[Income]]="&gt;50K",Tabela3[[#This Row],[Age]],NA())</f>
        <v>#N/A</v>
      </c>
      <c r="T495" t="e">
        <f>IF(Tabela3[[#This Row],[Income]]="&gt;50K",Tabela3[[#This Row],[education-num]],NA())</f>
        <v>#N/A</v>
      </c>
    </row>
    <row r="496" spans="1:20">
      <c r="A496">
        <v>495</v>
      </c>
      <c r="B496">
        <v>35</v>
      </c>
      <c r="C496" t="s">
        <v>34</v>
      </c>
      <c r="D496">
        <v>241998</v>
      </c>
      <c r="E496" t="s">
        <v>60</v>
      </c>
      <c r="F496">
        <v>13</v>
      </c>
      <c r="G496" t="s">
        <v>63</v>
      </c>
      <c r="H496" t="s">
        <v>80</v>
      </c>
      <c r="I496" t="s">
        <v>66</v>
      </c>
      <c r="J496" t="s">
        <v>39</v>
      </c>
      <c r="K496" t="s">
        <v>52</v>
      </c>
      <c r="L496">
        <v>0</v>
      </c>
      <c r="M496">
        <v>0</v>
      </c>
      <c r="N496">
        <v>45</v>
      </c>
      <c r="O496" t="s">
        <v>41</v>
      </c>
      <c r="P496" t="s">
        <v>53</v>
      </c>
      <c r="Q496" t="e">
        <f>IF(Tabela3[[#This Row],[Income]]="&lt;=50K",Tabela3[[#This Row],[Age]],NA())</f>
        <v>#N/A</v>
      </c>
      <c r="R496" t="e">
        <f>IF(Tabela3[[#This Row],[Income]]="&lt;=50K",Tabela3[[#This Row],[education-num]],NA())</f>
        <v>#N/A</v>
      </c>
      <c r="S496">
        <f>IF(Tabela3[[#This Row],[Income]]="&gt;50K",Tabela3[[#This Row],[Age]],NA())</f>
        <v>35</v>
      </c>
      <c r="T496">
        <f>IF(Tabela3[[#This Row],[Income]]="&gt;50K",Tabela3[[#This Row],[education-num]],NA())</f>
        <v>13</v>
      </c>
    </row>
    <row r="497" spans="1:20">
      <c r="A497">
        <v>496</v>
      </c>
      <c r="B497">
        <v>35</v>
      </c>
      <c r="C497" t="s">
        <v>74</v>
      </c>
      <c r="D497">
        <v>115618</v>
      </c>
      <c r="E497" t="s">
        <v>62</v>
      </c>
      <c r="F497">
        <v>9</v>
      </c>
      <c r="G497" t="s">
        <v>49</v>
      </c>
      <c r="H497" t="s">
        <v>44</v>
      </c>
      <c r="I497" t="s">
        <v>45</v>
      </c>
      <c r="J497" t="s">
        <v>39</v>
      </c>
      <c r="K497" t="s">
        <v>52</v>
      </c>
      <c r="L497">
        <v>0</v>
      </c>
      <c r="M497">
        <v>0</v>
      </c>
      <c r="N497">
        <v>50</v>
      </c>
      <c r="O497" t="s">
        <v>41</v>
      </c>
      <c r="P497" t="s">
        <v>53</v>
      </c>
      <c r="Q497" t="e">
        <f>IF(Tabela3[[#This Row],[Income]]="&lt;=50K",Tabela3[[#This Row],[Age]],NA())</f>
        <v>#N/A</v>
      </c>
      <c r="R497" t="e">
        <f>IF(Tabela3[[#This Row],[Income]]="&lt;=50K",Tabela3[[#This Row],[education-num]],NA())</f>
        <v>#N/A</v>
      </c>
      <c r="S497">
        <f>IF(Tabela3[[#This Row],[Income]]="&gt;50K",Tabela3[[#This Row],[Age]],NA())</f>
        <v>35</v>
      </c>
      <c r="T497">
        <f>IF(Tabela3[[#This Row],[Income]]="&gt;50K",Tabela3[[#This Row],[education-num]],NA())</f>
        <v>9</v>
      </c>
    </row>
    <row r="498" spans="1:20">
      <c r="A498">
        <v>497</v>
      </c>
      <c r="B498">
        <v>59</v>
      </c>
      <c r="C498" t="s">
        <v>34</v>
      </c>
      <c r="D498">
        <v>200700</v>
      </c>
      <c r="E498" t="s">
        <v>60</v>
      </c>
      <c r="F498">
        <v>13</v>
      </c>
      <c r="G498" t="s">
        <v>63</v>
      </c>
      <c r="H498" t="s">
        <v>50</v>
      </c>
      <c r="I498" t="s">
        <v>66</v>
      </c>
      <c r="J498" t="s">
        <v>57</v>
      </c>
      <c r="K498" t="s">
        <v>52</v>
      </c>
      <c r="L498">
        <v>0</v>
      </c>
      <c r="M498">
        <v>0</v>
      </c>
      <c r="N498">
        <v>48</v>
      </c>
      <c r="O498" t="s">
        <v>41</v>
      </c>
      <c r="P498" t="s">
        <v>53</v>
      </c>
      <c r="Q498" t="e">
        <f>IF(Tabela3[[#This Row],[Income]]="&lt;=50K",Tabela3[[#This Row],[Age]],NA())</f>
        <v>#N/A</v>
      </c>
      <c r="R498" t="e">
        <f>IF(Tabela3[[#This Row],[Income]]="&lt;=50K",Tabela3[[#This Row],[education-num]],NA())</f>
        <v>#N/A</v>
      </c>
      <c r="S498">
        <f>IF(Tabela3[[#This Row],[Income]]="&gt;50K",Tabela3[[#This Row],[Age]],NA())</f>
        <v>59</v>
      </c>
      <c r="T498">
        <f>IF(Tabela3[[#This Row],[Income]]="&gt;50K",Tabela3[[#This Row],[education-num]],NA())</f>
        <v>13</v>
      </c>
    </row>
    <row r="499" spans="1:20">
      <c r="A499">
        <v>498</v>
      </c>
      <c r="B499">
        <v>25</v>
      </c>
      <c r="C499" t="s">
        <v>54</v>
      </c>
      <c r="D499">
        <v>182380</v>
      </c>
      <c r="E499" t="s">
        <v>62</v>
      </c>
      <c r="F499">
        <v>9</v>
      </c>
      <c r="G499" t="s">
        <v>36</v>
      </c>
      <c r="H499" t="s">
        <v>50</v>
      </c>
      <c r="I499" t="s">
        <v>38</v>
      </c>
      <c r="J499" t="s">
        <v>39</v>
      </c>
      <c r="K499" t="s">
        <v>52</v>
      </c>
      <c r="L499">
        <v>0</v>
      </c>
      <c r="M499">
        <v>0</v>
      </c>
      <c r="N499">
        <v>40</v>
      </c>
      <c r="O499" t="s">
        <v>41</v>
      </c>
      <c r="P499" t="s">
        <v>42</v>
      </c>
      <c r="Q499">
        <f>IF(Tabela3[[#This Row],[Income]]="&lt;=50K",Tabela3[[#This Row],[Age]],NA())</f>
        <v>25</v>
      </c>
      <c r="R499">
        <f>IF(Tabela3[[#This Row],[Income]]="&lt;=50K",Tabela3[[#This Row],[education-num]],NA())</f>
        <v>9</v>
      </c>
      <c r="S499" t="e">
        <f>IF(Tabela3[[#This Row],[Income]]="&gt;50K",Tabela3[[#This Row],[Age]],NA())</f>
        <v>#N/A</v>
      </c>
      <c r="T499" t="e">
        <f>IF(Tabela3[[#This Row],[Income]]="&gt;50K",Tabela3[[#This Row],[education-num]],NA())</f>
        <v>#N/A</v>
      </c>
    </row>
    <row r="500" spans="1:20">
      <c r="A500">
        <v>499</v>
      </c>
      <c r="B500">
        <v>27</v>
      </c>
      <c r="C500" t="s">
        <v>34</v>
      </c>
      <c r="D500">
        <v>95647</v>
      </c>
      <c r="E500" t="s">
        <v>60</v>
      </c>
      <c r="F500">
        <v>13</v>
      </c>
      <c r="G500" t="s">
        <v>36</v>
      </c>
      <c r="H500" t="s">
        <v>61</v>
      </c>
      <c r="I500" t="s">
        <v>38</v>
      </c>
      <c r="J500" t="s">
        <v>70</v>
      </c>
      <c r="K500" t="s">
        <v>52</v>
      </c>
      <c r="L500">
        <v>0</v>
      </c>
      <c r="M500">
        <v>0</v>
      </c>
      <c r="N500">
        <v>40</v>
      </c>
      <c r="O500" t="s">
        <v>41</v>
      </c>
      <c r="P500" t="s">
        <v>42</v>
      </c>
      <c r="Q500">
        <f>IF(Tabela3[[#This Row],[Income]]="&lt;=50K",Tabela3[[#This Row],[Age]],NA())</f>
        <v>27</v>
      </c>
      <c r="R500">
        <f>IF(Tabela3[[#This Row],[Income]]="&lt;=50K",Tabela3[[#This Row],[education-num]],NA())</f>
        <v>13</v>
      </c>
      <c r="S500" t="e">
        <f>IF(Tabela3[[#This Row],[Income]]="&gt;50K",Tabela3[[#This Row],[Age]],NA())</f>
        <v>#N/A</v>
      </c>
      <c r="T500" t="e">
        <f>IF(Tabela3[[#This Row],[Income]]="&gt;50K",Tabela3[[#This Row],[education-num]],NA())</f>
        <v>#N/A</v>
      </c>
    </row>
    <row r="501" spans="1:20">
      <c r="A501">
        <v>500</v>
      </c>
      <c r="B501">
        <v>22</v>
      </c>
      <c r="C501" t="s">
        <v>34</v>
      </c>
      <c r="D501">
        <v>385077</v>
      </c>
      <c r="E501" t="s">
        <v>62</v>
      </c>
      <c r="F501">
        <v>9</v>
      </c>
      <c r="G501" t="s">
        <v>36</v>
      </c>
      <c r="H501" t="s">
        <v>50</v>
      </c>
      <c r="I501" t="s">
        <v>38</v>
      </c>
      <c r="J501" t="s">
        <v>39</v>
      </c>
      <c r="K501" t="s">
        <v>52</v>
      </c>
      <c r="L501">
        <v>2907</v>
      </c>
      <c r="M501">
        <v>0</v>
      </c>
      <c r="N501">
        <v>40</v>
      </c>
      <c r="O501" t="s">
        <v>41</v>
      </c>
      <c r="P501" t="s">
        <v>42</v>
      </c>
      <c r="Q501">
        <f>IF(Tabela3[[#This Row],[Income]]="&lt;=50K",Tabela3[[#This Row],[Age]],NA())</f>
        <v>22</v>
      </c>
      <c r="R501">
        <f>IF(Tabela3[[#This Row],[Income]]="&lt;=50K",Tabela3[[#This Row],[education-num]],NA())</f>
        <v>9</v>
      </c>
      <c r="S501" t="e">
        <f>IF(Tabela3[[#This Row],[Income]]="&gt;50K",Tabela3[[#This Row],[Age]],NA())</f>
        <v>#N/A</v>
      </c>
      <c r="T501" t="e">
        <f>IF(Tabela3[[#This Row],[Income]]="&gt;50K",Tabela3[[#This Row],[education-num]],NA())</f>
        <v>#N/A</v>
      </c>
    </row>
    <row r="502" spans="1:20">
      <c r="A502">
        <v>501</v>
      </c>
      <c r="B502">
        <v>40</v>
      </c>
      <c r="C502" t="s">
        <v>34</v>
      </c>
      <c r="D502">
        <v>55191</v>
      </c>
      <c r="E502" t="s">
        <v>46</v>
      </c>
      <c r="F502">
        <v>10</v>
      </c>
      <c r="G502" t="s">
        <v>36</v>
      </c>
      <c r="H502" t="s">
        <v>67</v>
      </c>
      <c r="I502" t="s">
        <v>45</v>
      </c>
      <c r="J502" t="s">
        <v>57</v>
      </c>
      <c r="K502" t="s">
        <v>40</v>
      </c>
      <c r="L502">
        <v>0</v>
      </c>
      <c r="M502">
        <v>0</v>
      </c>
      <c r="N502">
        <v>40</v>
      </c>
      <c r="O502" t="s">
        <v>41</v>
      </c>
      <c r="P502" t="s">
        <v>42</v>
      </c>
      <c r="Q502">
        <f>IF(Tabela3[[#This Row],[Income]]="&lt;=50K",Tabela3[[#This Row],[Age]],NA())</f>
        <v>40</v>
      </c>
      <c r="R502">
        <f>IF(Tabela3[[#This Row],[Income]]="&lt;=50K",Tabela3[[#This Row],[education-num]],NA())</f>
        <v>10</v>
      </c>
      <c r="S502" t="e">
        <f>IF(Tabela3[[#This Row],[Income]]="&gt;50K",Tabela3[[#This Row],[Age]],NA())</f>
        <v>#N/A</v>
      </c>
      <c r="T502" t="e">
        <f>IF(Tabela3[[#This Row],[Income]]="&gt;50K",Tabela3[[#This Row],[education-num]],NA())</f>
        <v>#N/A</v>
      </c>
    </row>
    <row r="503" spans="1:20">
      <c r="A503">
        <v>502</v>
      </c>
      <c r="B503">
        <v>29</v>
      </c>
      <c r="C503" t="s">
        <v>34</v>
      </c>
      <c r="D503">
        <v>71860</v>
      </c>
      <c r="E503" t="s">
        <v>62</v>
      </c>
      <c r="F503">
        <v>9</v>
      </c>
      <c r="G503" t="s">
        <v>63</v>
      </c>
      <c r="H503" t="s">
        <v>58</v>
      </c>
      <c r="I503" t="s">
        <v>66</v>
      </c>
      <c r="J503" t="s">
        <v>39</v>
      </c>
      <c r="K503" t="s">
        <v>52</v>
      </c>
      <c r="L503">
        <v>0</v>
      </c>
      <c r="M503">
        <v>0</v>
      </c>
      <c r="N503">
        <v>60</v>
      </c>
      <c r="O503" t="s">
        <v>41</v>
      </c>
      <c r="P503" t="s">
        <v>42</v>
      </c>
      <c r="Q503">
        <f>IF(Tabela3[[#This Row],[Income]]="&lt;=50K",Tabela3[[#This Row],[Age]],NA())</f>
        <v>29</v>
      </c>
      <c r="R503">
        <f>IF(Tabela3[[#This Row],[Income]]="&lt;=50K",Tabela3[[#This Row],[education-num]],NA())</f>
        <v>9</v>
      </c>
      <c r="S503" t="e">
        <f>IF(Tabela3[[#This Row],[Income]]="&gt;50K",Tabela3[[#This Row],[Age]],NA())</f>
        <v>#N/A</v>
      </c>
      <c r="T503" t="e">
        <f>IF(Tabela3[[#This Row],[Income]]="&gt;50K",Tabela3[[#This Row],[education-num]],NA())</f>
        <v>#N/A</v>
      </c>
    </row>
    <row r="504" spans="1:20">
      <c r="A504">
        <v>503</v>
      </c>
      <c r="B504">
        <v>42</v>
      </c>
      <c r="C504" t="s">
        <v>83</v>
      </c>
      <c r="D504">
        <v>277488</v>
      </c>
      <c r="E504" t="s">
        <v>84</v>
      </c>
      <c r="F504">
        <v>15</v>
      </c>
      <c r="G504" t="s">
        <v>63</v>
      </c>
      <c r="H504" t="s">
        <v>61</v>
      </c>
      <c r="I504" t="s">
        <v>66</v>
      </c>
      <c r="J504" t="s">
        <v>39</v>
      </c>
      <c r="K504" t="s">
        <v>52</v>
      </c>
      <c r="L504">
        <v>15024</v>
      </c>
      <c r="M504">
        <v>0</v>
      </c>
      <c r="N504">
        <v>65</v>
      </c>
      <c r="O504" t="s">
        <v>41</v>
      </c>
      <c r="P504" t="s">
        <v>53</v>
      </c>
      <c r="Q504" t="e">
        <f>IF(Tabela3[[#This Row],[Income]]="&lt;=50K",Tabela3[[#This Row],[Age]],NA())</f>
        <v>#N/A</v>
      </c>
      <c r="R504" t="e">
        <f>IF(Tabela3[[#This Row],[Income]]="&lt;=50K",Tabela3[[#This Row],[education-num]],NA())</f>
        <v>#N/A</v>
      </c>
      <c r="S504">
        <f>IF(Tabela3[[#This Row],[Income]]="&gt;50K",Tabela3[[#This Row],[Age]],NA())</f>
        <v>42</v>
      </c>
      <c r="T504">
        <f>IF(Tabela3[[#This Row],[Income]]="&gt;50K",Tabela3[[#This Row],[education-num]],NA())</f>
        <v>15</v>
      </c>
    </row>
    <row r="505" spans="1:20">
      <c r="A505">
        <v>504</v>
      </c>
      <c r="B505">
        <v>19</v>
      </c>
      <c r="C505" t="s">
        <v>34</v>
      </c>
      <c r="D505">
        <v>205830</v>
      </c>
      <c r="E505" t="s">
        <v>62</v>
      </c>
      <c r="F505">
        <v>9</v>
      </c>
      <c r="G505" t="s">
        <v>36</v>
      </c>
      <c r="H505" t="s">
        <v>37</v>
      </c>
      <c r="I505" t="s">
        <v>38</v>
      </c>
      <c r="J505" t="s">
        <v>39</v>
      </c>
      <c r="K505" t="s">
        <v>40</v>
      </c>
      <c r="L505">
        <v>0</v>
      </c>
      <c r="M505">
        <v>0</v>
      </c>
      <c r="N505">
        <v>40</v>
      </c>
      <c r="O505" t="s">
        <v>87</v>
      </c>
      <c r="P505" t="s">
        <v>42</v>
      </c>
      <c r="Q505">
        <f>IF(Tabela3[[#This Row],[Income]]="&lt;=50K",Tabela3[[#This Row],[Age]],NA())</f>
        <v>19</v>
      </c>
      <c r="R505">
        <f>IF(Tabela3[[#This Row],[Income]]="&lt;=50K",Tabela3[[#This Row],[education-num]],NA())</f>
        <v>9</v>
      </c>
      <c r="S505" t="e">
        <f>IF(Tabela3[[#This Row],[Income]]="&gt;50K",Tabela3[[#This Row],[Age]],NA())</f>
        <v>#N/A</v>
      </c>
      <c r="T505" t="e">
        <f>IF(Tabela3[[#This Row],[Income]]="&gt;50K",Tabela3[[#This Row],[education-num]],NA())</f>
        <v>#N/A</v>
      </c>
    </row>
    <row r="506" spans="1:20">
      <c r="A506">
        <v>505</v>
      </c>
      <c r="B506">
        <v>31</v>
      </c>
      <c r="C506" t="s">
        <v>34</v>
      </c>
      <c r="D506">
        <v>100252</v>
      </c>
      <c r="E506" t="s">
        <v>60</v>
      </c>
      <c r="F506">
        <v>13</v>
      </c>
      <c r="G506" t="s">
        <v>49</v>
      </c>
      <c r="H506" t="s">
        <v>37</v>
      </c>
      <c r="I506" t="s">
        <v>45</v>
      </c>
      <c r="J506" t="s">
        <v>70</v>
      </c>
      <c r="K506" t="s">
        <v>52</v>
      </c>
      <c r="L506">
        <v>99999</v>
      </c>
      <c r="M506">
        <v>0</v>
      </c>
      <c r="N506">
        <v>70</v>
      </c>
      <c r="O506" t="s">
        <v>41</v>
      </c>
      <c r="P506" t="s">
        <v>53</v>
      </c>
      <c r="Q506" t="e">
        <f>IF(Tabela3[[#This Row],[Income]]="&lt;=50K",Tabela3[[#This Row],[Age]],NA())</f>
        <v>#N/A</v>
      </c>
      <c r="R506" t="e">
        <f>IF(Tabela3[[#This Row],[Income]]="&lt;=50K",Tabela3[[#This Row],[education-num]],NA())</f>
        <v>#N/A</v>
      </c>
      <c r="S506">
        <f>IF(Tabela3[[#This Row],[Income]]="&gt;50K",Tabela3[[#This Row],[Age]],NA())</f>
        <v>31</v>
      </c>
      <c r="T506">
        <f>IF(Tabela3[[#This Row],[Income]]="&gt;50K",Tabela3[[#This Row],[education-num]],NA())</f>
        <v>13</v>
      </c>
    </row>
    <row r="507" spans="1:20">
      <c r="A507">
        <v>506</v>
      </c>
      <c r="B507">
        <v>62</v>
      </c>
      <c r="C507" t="s">
        <v>34</v>
      </c>
      <c r="D507">
        <v>132917</v>
      </c>
      <c r="E507" t="s">
        <v>46</v>
      </c>
      <c r="F507">
        <v>10</v>
      </c>
      <c r="G507" t="s">
        <v>63</v>
      </c>
      <c r="H507" t="s">
        <v>72</v>
      </c>
      <c r="I507" t="s">
        <v>66</v>
      </c>
      <c r="J507" t="s">
        <v>57</v>
      </c>
      <c r="K507" t="s">
        <v>52</v>
      </c>
      <c r="L507">
        <v>0</v>
      </c>
      <c r="M507">
        <v>0</v>
      </c>
      <c r="N507">
        <v>20</v>
      </c>
      <c r="O507" t="s">
        <v>41</v>
      </c>
      <c r="P507" t="s">
        <v>42</v>
      </c>
      <c r="Q507">
        <f>IF(Tabela3[[#This Row],[Income]]="&lt;=50K",Tabela3[[#This Row],[Age]],NA())</f>
        <v>62</v>
      </c>
      <c r="R507">
        <f>IF(Tabela3[[#This Row],[Income]]="&lt;=50K",Tabela3[[#This Row],[education-num]],NA())</f>
        <v>10</v>
      </c>
      <c r="S507" t="e">
        <f>IF(Tabela3[[#This Row],[Income]]="&gt;50K",Tabela3[[#This Row],[Age]],NA())</f>
        <v>#N/A</v>
      </c>
      <c r="T507" t="e">
        <f>IF(Tabela3[[#This Row],[Income]]="&gt;50K",Tabela3[[#This Row],[education-num]],NA())</f>
        <v>#N/A</v>
      </c>
    </row>
    <row r="508" spans="1:20">
      <c r="A508">
        <v>507</v>
      </c>
      <c r="B508">
        <v>38</v>
      </c>
      <c r="C508" t="s">
        <v>34</v>
      </c>
      <c r="D508">
        <v>193372</v>
      </c>
      <c r="E508" t="s">
        <v>46</v>
      </c>
      <c r="F508">
        <v>10</v>
      </c>
      <c r="G508" t="s">
        <v>36</v>
      </c>
      <c r="H508" t="s">
        <v>80</v>
      </c>
      <c r="I508" t="s">
        <v>38</v>
      </c>
      <c r="J508" t="s">
        <v>39</v>
      </c>
      <c r="K508" t="s">
        <v>40</v>
      </c>
      <c r="L508">
        <v>0</v>
      </c>
      <c r="M508">
        <v>0</v>
      </c>
      <c r="N508">
        <v>40</v>
      </c>
      <c r="O508" t="s">
        <v>41</v>
      </c>
      <c r="P508" t="s">
        <v>42</v>
      </c>
      <c r="Q508">
        <f>IF(Tabela3[[#This Row],[Income]]="&lt;=50K",Tabela3[[#This Row],[Age]],NA())</f>
        <v>38</v>
      </c>
      <c r="R508">
        <f>IF(Tabela3[[#This Row],[Income]]="&lt;=50K",Tabela3[[#This Row],[education-num]],NA())</f>
        <v>10</v>
      </c>
      <c r="S508" t="e">
        <f>IF(Tabela3[[#This Row],[Income]]="&gt;50K",Tabela3[[#This Row],[Age]],NA())</f>
        <v>#N/A</v>
      </c>
      <c r="T508" t="e">
        <f>IF(Tabela3[[#This Row],[Income]]="&gt;50K",Tabela3[[#This Row],[education-num]],NA())</f>
        <v>#N/A</v>
      </c>
    </row>
    <row r="509" spans="1:20">
      <c r="A509">
        <v>508</v>
      </c>
      <c r="B509">
        <v>47</v>
      </c>
      <c r="C509" t="s">
        <v>34</v>
      </c>
      <c r="D509">
        <v>267205</v>
      </c>
      <c r="E509" t="s">
        <v>78</v>
      </c>
      <c r="F509">
        <v>11</v>
      </c>
      <c r="G509" t="s">
        <v>63</v>
      </c>
      <c r="H509" t="s">
        <v>50</v>
      </c>
      <c r="I509" t="s">
        <v>66</v>
      </c>
      <c r="J509" t="s">
        <v>39</v>
      </c>
      <c r="K509" t="s">
        <v>52</v>
      </c>
      <c r="L509">
        <v>0</v>
      </c>
      <c r="M509">
        <v>0</v>
      </c>
      <c r="N509">
        <v>60</v>
      </c>
      <c r="O509" t="s">
        <v>71</v>
      </c>
      <c r="P509" t="s">
        <v>53</v>
      </c>
      <c r="Q509" t="e">
        <f>IF(Tabela3[[#This Row],[Income]]="&lt;=50K",Tabela3[[#This Row],[Age]],NA())</f>
        <v>#N/A</v>
      </c>
      <c r="R509" t="e">
        <f>IF(Tabela3[[#This Row],[Income]]="&lt;=50K",Tabela3[[#This Row],[education-num]],NA())</f>
        <v>#N/A</v>
      </c>
      <c r="S509">
        <f>IF(Tabela3[[#This Row],[Income]]="&gt;50K",Tabela3[[#This Row],[Age]],NA())</f>
        <v>47</v>
      </c>
      <c r="T509">
        <f>IF(Tabela3[[#This Row],[Income]]="&gt;50K",Tabela3[[#This Row],[education-num]],NA())</f>
        <v>11</v>
      </c>
    </row>
    <row r="510" spans="1:20">
      <c r="A510">
        <v>509</v>
      </c>
      <c r="B510">
        <v>37</v>
      </c>
      <c r="C510" t="s">
        <v>54</v>
      </c>
      <c r="D510">
        <v>108320</v>
      </c>
      <c r="E510" t="s">
        <v>60</v>
      </c>
      <c r="F510">
        <v>13</v>
      </c>
      <c r="G510" t="s">
        <v>63</v>
      </c>
      <c r="H510" t="s">
        <v>64</v>
      </c>
      <c r="I510" t="s">
        <v>66</v>
      </c>
      <c r="J510" t="s">
        <v>39</v>
      </c>
      <c r="K510" t="s">
        <v>52</v>
      </c>
      <c r="L510">
        <v>0</v>
      </c>
      <c r="M510">
        <v>0</v>
      </c>
      <c r="N510">
        <v>45</v>
      </c>
      <c r="O510" t="s">
        <v>41</v>
      </c>
      <c r="P510" t="s">
        <v>53</v>
      </c>
      <c r="Q510" t="e">
        <f>IF(Tabela3[[#This Row],[Income]]="&lt;=50K",Tabela3[[#This Row],[Age]],NA())</f>
        <v>#N/A</v>
      </c>
      <c r="R510" t="e">
        <f>IF(Tabela3[[#This Row],[Income]]="&lt;=50K",Tabela3[[#This Row],[education-num]],NA())</f>
        <v>#N/A</v>
      </c>
      <c r="S510">
        <f>IF(Tabela3[[#This Row],[Income]]="&gt;50K",Tabela3[[#This Row],[Age]],NA())</f>
        <v>37</v>
      </c>
      <c r="T510">
        <f>IF(Tabela3[[#This Row],[Income]]="&gt;50K",Tabela3[[#This Row],[education-num]],NA())</f>
        <v>13</v>
      </c>
    </row>
    <row r="511" spans="1:20">
      <c r="A511">
        <v>510</v>
      </c>
      <c r="B511">
        <v>36</v>
      </c>
      <c r="C511" t="s">
        <v>74</v>
      </c>
      <c r="D511">
        <v>167691</v>
      </c>
      <c r="E511" t="s">
        <v>46</v>
      </c>
      <c r="F511">
        <v>10</v>
      </c>
      <c r="G511" t="s">
        <v>36</v>
      </c>
      <c r="H511" t="s">
        <v>37</v>
      </c>
      <c r="I511" t="s">
        <v>69</v>
      </c>
      <c r="J511" t="s">
        <v>39</v>
      </c>
      <c r="K511" t="s">
        <v>40</v>
      </c>
      <c r="L511">
        <v>0</v>
      </c>
      <c r="M511">
        <v>0</v>
      </c>
      <c r="N511">
        <v>50</v>
      </c>
      <c r="O511" t="s">
        <v>41</v>
      </c>
      <c r="P511" t="s">
        <v>42</v>
      </c>
      <c r="Q511">
        <f>IF(Tabela3[[#This Row],[Income]]="&lt;=50K",Tabela3[[#This Row],[Age]],NA())</f>
        <v>36</v>
      </c>
      <c r="R511">
        <f>IF(Tabela3[[#This Row],[Income]]="&lt;=50K",Tabela3[[#This Row],[education-num]],NA())</f>
        <v>10</v>
      </c>
      <c r="S511" t="e">
        <f>IF(Tabela3[[#This Row],[Income]]="&gt;50K",Tabela3[[#This Row],[Age]],NA())</f>
        <v>#N/A</v>
      </c>
      <c r="T511" t="e">
        <f>IF(Tabela3[[#This Row],[Income]]="&gt;50K",Tabela3[[#This Row],[education-num]],NA())</f>
        <v>#N/A</v>
      </c>
    </row>
    <row r="512" spans="1:20">
      <c r="A512">
        <v>511</v>
      </c>
      <c r="B512">
        <v>18</v>
      </c>
      <c r="C512" t="s">
        <v>34</v>
      </c>
      <c r="D512">
        <v>111256</v>
      </c>
      <c r="E512" t="s">
        <v>62</v>
      </c>
      <c r="F512">
        <v>9</v>
      </c>
      <c r="G512" t="s">
        <v>36</v>
      </c>
      <c r="H512" t="s">
        <v>67</v>
      </c>
      <c r="I512" t="s">
        <v>38</v>
      </c>
      <c r="J512" t="s">
        <v>39</v>
      </c>
      <c r="K512" t="s">
        <v>40</v>
      </c>
      <c r="L512">
        <v>0</v>
      </c>
      <c r="M512">
        <v>0</v>
      </c>
      <c r="N512">
        <v>20</v>
      </c>
      <c r="O512" t="s">
        <v>41</v>
      </c>
      <c r="P512" t="s">
        <v>42</v>
      </c>
      <c r="Q512">
        <f>IF(Tabela3[[#This Row],[Income]]="&lt;=50K",Tabela3[[#This Row],[Age]],NA())</f>
        <v>18</v>
      </c>
      <c r="R512">
        <f>IF(Tabela3[[#This Row],[Income]]="&lt;=50K",Tabela3[[#This Row],[education-num]],NA())</f>
        <v>9</v>
      </c>
      <c r="S512" t="e">
        <f>IF(Tabela3[[#This Row],[Income]]="&gt;50K",Tabela3[[#This Row],[Age]],NA())</f>
        <v>#N/A</v>
      </c>
      <c r="T512" t="e">
        <f>IF(Tabela3[[#This Row],[Income]]="&gt;50K",Tabela3[[#This Row],[education-num]],NA())</f>
        <v>#N/A</v>
      </c>
    </row>
    <row r="513" spans="1:20">
      <c r="A513">
        <v>512</v>
      </c>
      <c r="B513">
        <v>20</v>
      </c>
      <c r="C513" t="s">
        <v>54</v>
      </c>
      <c r="D513">
        <v>163965</v>
      </c>
      <c r="E513" t="s">
        <v>62</v>
      </c>
      <c r="F513">
        <v>9</v>
      </c>
      <c r="G513" t="s">
        <v>36</v>
      </c>
      <c r="H513" t="s">
        <v>37</v>
      </c>
      <c r="I513" t="s">
        <v>69</v>
      </c>
      <c r="J513" t="s">
        <v>57</v>
      </c>
      <c r="K513" t="s">
        <v>40</v>
      </c>
      <c r="L513">
        <v>0</v>
      </c>
      <c r="M513">
        <v>0</v>
      </c>
      <c r="N513">
        <v>40</v>
      </c>
      <c r="O513" t="s">
        <v>41</v>
      </c>
      <c r="P513" t="s">
        <v>42</v>
      </c>
      <c r="Q513">
        <f>IF(Tabela3[[#This Row],[Income]]="&lt;=50K",Tabela3[[#This Row],[Age]],NA())</f>
        <v>20</v>
      </c>
      <c r="R513">
        <f>IF(Tabela3[[#This Row],[Income]]="&lt;=50K",Tabela3[[#This Row],[education-num]],NA())</f>
        <v>9</v>
      </c>
      <c r="S513" t="e">
        <f>IF(Tabela3[[#This Row],[Income]]="&gt;50K",Tabela3[[#This Row],[Age]],NA())</f>
        <v>#N/A</v>
      </c>
      <c r="T513" t="e">
        <f>IF(Tabela3[[#This Row],[Income]]="&gt;50K",Tabela3[[#This Row],[education-num]],NA())</f>
        <v>#N/A</v>
      </c>
    </row>
    <row r="514" spans="1:20">
      <c r="A514">
        <v>513</v>
      </c>
      <c r="B514">
        <v>45</v>
      </c>
      <c r="C514" t="s">
        <v>74</v>
      </c>
      <c r="D514">
        <v>275445</v>
      </c>
      <c r="E514" t="s">
        <v>60</v>
      </c>
      <c r="F514">
        <v>13</v>
      </c>
      <c r="G514" t="s">
        <v>49</v>
      </c>
      <c r="H514" t="s">
        <v>80</v>
      </c>
      <c r="I514" t="s">
        <v>69</v>
      </c>
      <c r="J514" t="s">
        <v>39</v>
      </c>
      <c r="K514" t="s">
        <v>52</v>
      </c>
      <c r="L514">
        <v>0</v>
      </c>
      <c r="M514">
        <v>0</v>
      </c>
      <c r="N514">
        <v>50</v>
      </c>
      <c r="O514" t="s">
        <v>41</v>
      </c>
      <c r="P514" t="s">
        <v>42</v>
      </c>
      <c r="Q514">
        <f>IF(Tabela3[[#This Row],[Income]]="&lt;=50K",Tabela3[[#This Row],[Age]],NA())</f>
        <v>45</v>
      </c>
      <c r="R514">
        <f>IF(Tabela3[[#This Row],[Income]]="&lt;=50K",Tabela3[[#This Row],[education-num]],NA())</f>
        <v>13</v>
      </c>
      <c r="S514" t="e">
        <f>IF(Tabela3[[#This Row],[Income]]="&gt;50K",Tabela3[[#This Row],[Age]],NA())</f>
        <v>#N/A</v>
      </c>
      <c r="T514" t="e">
        <f>IF(Tabela3[[#This Row],[Income]]="&gt;50K",Tabela3[[#This Row],[education-num]],NA())</f>
        <v>#N/A</v>
      </c>
    </row>
    <row r="515" spans="1:20">
      <c r="A515">
        <v>514</v>
      </c>
      <c r="B515">
        <v>63</v>
      </c>
      <c r="C515" t="s">
        <v>34</v>
      </c>
      <c r="D515">
        <v>207385</v>
      </c>
      <c r="E515" t="s">
        <v>46</v>
      </c>
      <c r="F515">
        <v>10</v>
      </c>
      <c r="G515" t="s">
        <v>63</v>
      </c>
      <c r="H515" t="s">
        <v>44</v>
      </c>
      <c r="I515" t="s">
        <v>66</v>
      </c>
      <c r="J515" t="s">
        <v>39</v>
      </c>
      <c r="K515" t="s">
        <v>52</v>
      </c>
      <c r="L515">
        <v>0</v>
      </c>
      <c r="M515">
        <v>0</v>
      </c>
      <c r="N515">
        <v>30</v>
      </c>
      <c r="O515" t="s">
        <v>41</v>
      </c>
      <c r="P515" t="s">
        <v>42</v>
      </c>
      <c r="Q515">
        <f>IF(Tabela3[[#This Row],[Income]]="&lt;=50K",Tabela3[[#This Row],[Age]],NA())</f>
        <v>63</v>
      </c>
      <c r="R515">
        <f>IF(Tabela3[[#This Row],[Income]]="&lt;=50K",Tabela3[[#This Row],[education-num]],NA())</f>
        <v>10</v>
      </c>
      <c r="S515" t="e">
        <f>IF(Tabela3[[#This Row],[Income]]="&gt;50K",Tabela3[[#This Row],[Age]],NA())</f>
        <v>#N/A</v>
      </c>
      <c r="T515" t="e">
        <f>IF(Tabela3[[#This Row],[Income]]="&gt;50K",Tabela3[[#This Row],[education-num]],NA())</f>
        <v>#N/A</v>
      </c>
    </row>
    <row r="516" spans="1:20">
      <c r="A516">
        <v>515</v>
      </c>
      <c r="B516">
        <v>55</v>
      </c>
      <c r="C516" t="s">
        <v>34</v>
      </c>
      <c r="D516">
        <v>239404</v>
      </c>
      <c r="E516" t="s">
        <v>77</v>
      </c>
      <c r="F516">
        <v>6</v>
      </c>
      <c r="G516" t="s">
        <v>63</v>
      </c>
      <c r="H516" t="s">
        <v>72</v>
      </c>
      <c r="I516" t="s">
        <v>66</v>
      </c>
      <c r="J516" t="s">
        <v>57</v>
      </c>
      <c r="K516" t="s">
        <v>52</v>
      </c>
      <c r="L516">
        <v>0</v>
      </c>
      <c r="M516">
        <v>0</v>
      </c>
      <c r="N516">
        <v>45</v>
      </c>
      <c r="O516" t="s">
        <v>41</v>
      </c>
      <c r="P516" t="s">
        <v>42</v>
      </c>
      <c r="Q516">
        <f>IF(Tabela3[[#This Row],[Income]]="&lt;=50K",Tabela3[[#This Row],[Age]],NA())</f>
        <v>55</v>
      </c>
      <c r="R516">
        <f>IF(Tabela3[[#This Row],[Income]]="&lt;=50K",Tabela3[[#This Row],[education-num]],NA())</f>
        <v>6</v>
      </c>
      <c r="S516" t="e">
        <f>IF(Tabela3[[#This Row],[Income]]="&gt;50K",Tabela3[[#This Row],[Age]],NA())</f>
        <v>#N/A</v>
      </c>
      <c r="T516" t="e">
        <f>IF(Tabela3[[#This Row],[Income]]="&gt;50K",Tabela3[[#This Row],[education-num]],NA())</f>
        <v>#N/A</v>
      </c>
    </row>
    <row r="517" spans="1:20">
      <c r="A517">
        <v>516</v>
      </c>
      <c r="B517">
        <v>40</v>
      </c>
      <c r="C517" t="s">
        <v>54</v>
      </c>
      <c r="D517">
        <v>150755</v>
      </c>
      <c r="E517" t="s">
        <v>60</v>
      </c>
      <c r="F517">
        <v>13</v>
      </c>
      <c r="G517" t="s">
        <v>63</v>
      </c>
      <c r="H517" t="s">
        <v>61</v>
      </c>
      <c r="I517" t="s">
        <v>66</v>
      </c>
      <c r="J517" t="s">
        <v>39</v>
      </c>
      <c r="K517" t="s">
        <v>52</v>
      </c>
      <c r="L517">
        <v>99999</v>
      </c>
      <c r="M517">
        <v>0</v>
      </c>
      <c r="N517">
        <v>75</v>
      </c>
      <c r="O517" t="s">
        <v>41</v>
      </c>
      <c r="P517" t="s">
        <v>53</v>
      </c>
      <c r="Q517" t="e">
        <f>IF(Tabela3[[#This Row],[Income]]="&lt;=50K",Tabela3[[#This Row],[Age]],NA())</f>
        <v>#N/A</v>
      </c>
      <c r="R517" t="e">
        <f>IF(Tabela3[[#This Row],[Income]]="&lt;=50K",Tabela3[[#This Row],[education-num]],NA())</f>
        <v>#N/A</v>
      </c>
      <c r="S517">
        <f>IF(Tabela3[[#This Row],[Income]]="&gt;50K",Tabela3[[#This Row],[Age]],NA())</f>
        <v>40</v>
      </c>
      <c r="T517">
        <f>IF(Tabela3[[#This Row],[Income]]="&gt;50K",Tabela3[[#This Row],[education-num]],NA())</f>
        <v>13</v>
      </c>
    </row>
    <row r="518" spans="1:20">
      <c r="A518">
        <v>517</v>
      </c>
      <c r="B518">
        <v>33</v>
      </c>
      <c r="C518" t="s">
        <v>34</v>
      </c>
      <c r="D518">
        <v>119033</v>
      </c>
      <c r="E518" t="s">
        <v>98</v>
      </c>
      <c r="F518">
        <v>5</v>
      </c>
      <c r="G518" t="s">
        <v>63</v>
      </c>
      <c r="H518" t="s">
        <v>68</v>
      </c>
      <c r="I518" t="s">
        <v>66</v>
      </c>
      <c r="J518" t="s">
        <v>39</v>
      </c>
      <c r="K518" t="s">
        <v>52</v>
      </c>
      <c r="L518">
        <v>0</v>
      </c>
      <c r="M518">
        <v>0</v>
      </c>
      <c r="N518">
        <v>40</v>
      </c>
      <c r="O518" t="s">
        <v>41</v>
      </c>
      <c r="P518" t="s">
        <v>42</v>
      </c>
      <c r="Q518">
        <f>IF(Tabela3[[#This Row],[Income]]="&lt;=50K",Tabela3[[#This Row],[Age]],NA())</f>
        <v>33</v>
      </c>
      <c r="R518">
        <f>IF(Tabela3[[#This Row],[Income]]="&lt;=50K",Tabela3[[#This Row],[education-num]],NA())</f>
        <v>5</v>
      </c>
      <c r="S518" t="e">
        <f>IF(Tabela3[[#This Row],[Income]]="&gt;50K",Tabela3[[#This Row],[Age]],NA())</f>
        <v>#N/A</v>
      </c>
      <c r="T518" t="e">
        <f>IF(Tabela3[[#This Row],[Income]]="&gt;50K",Tabela3[[#This Row],[education-num]],NA())</f>
        <v>#N/A</v>
      </c>
    </row>
    <row r="519" spans="1:20">
      <c r="A519">
        <v>518</v>
      </c>
      <c r="B519">
        <v>27</v>
      </c>
      <c r="C519" t="s">
        <v>34</v>
      </c>
      <c r="D519">
        <v>303954</v>
      </c>
      <c r="E519" t="s">
        <v>60</v>
      </c>
      <c r="F519">
        <v>13</v>
      </c>
      <c r="G519" t="s">
        <v>63</v>
      </c>
      <c r="H519" t="s">
        <v>44</v>
      </c>
      <c r="I519" t="s">
        <v>66</v>
      </c>
      <c r="J519" t="s">
        <v>39</v>
      </c>
      <c r="K519" t="s">
        <v>52</v>
      </c>
      <c r="L519">
        <v>0</v>
      </c>
      <c r="M519">
        <v>0</v>
      </c>
      <c r="N519">
        <v>45</v>
      </c>
      <c r="O519" t="s">
        <v>41</v>
      </c>
      <c r="P519" t="s">
        <v>42</v>
      </c>
      <c r="Q519">
        <f>IF(Tabela3[[#This Row],[Income]]="&lt;=50K",Tabela3[[#This Row],[Age]],NA())</f>
        <v>27</v>
      </c>
      <c r="R519">
        <f>IF(Tabela3[[#This Row],[Income]]="&lt;=50K",Tabela3[[#This Row],[education-num]],NA())</f>
        <v>13</v>
      </c>
      <c r="S519" t="e">
        <f>IF(Tabela3[[#This Row],[Income]]="&gt;50K",Tabela3[[#This Row],[Age]],NA())</f>
        <v>#N/A</v>
      </c>
      <c r="T519" t="e">
        <f>IF(Tabela3[[#This Row],[Income]]="&gt;50K",Tabela3[[#This Row],[education-num]],NA())</f>
        <v>#N/A</v>
      </c>
    </row>
    <row r="520" spans="1:20">
      <c r="A520">
        <v>519</v>
      </c>
      <c r="B520">
        <v>47</v>
      </c>
      <c r="C520" t="s">
        <v>59</v>
      </c>
      <c r="D520">
        <v>108890</v>
      </c>
      <c r="E520" t="s">
        <v>62</v>
      </c>
      <c r="F520">
        <v>9</v>
      </c>
      <c r="G520" t="s">
        <v>49</v>
      </c>
      <c r="H520" t="s">
        <v>67</v>
      </c>
      <c r="I520" t="s">
        <v>69</v>
      </c>
      <c r="J520" t="s">
        <v>39</v>
      </c>
      <c r="K520" t="s">
        <v>40</v>
      </c>
      <c r="L520">
        <v>1831</v>
      </c>
      <c r="M520">
        <v>0</v>
      </c>
      <c r="N520">
        <v>38</v>
      </c>
      <c r="O520" t="s">
        <v>41</v>
      </c>
      <c r="P520" t="s">
        <v>42</v>
      </c>
      <c r="Q520">
        <f>IF(Tabela3[[#This Row],[Income]]="&lt;=50K",Tabela3[[#This Row],[Age]],NA())</f>
        <v>47</v>
      </c>
      <c r="R520">
        <f>IF(Tabela3[[#This Row],[Income]]="&lt;=50K",Tabela3[[#This Row],[education-num]],NA())</f>
        <v>9</v>
      </c>
      <c r="S520" t="e">
        <f>IF(Tabela3[[#This Row],[Income]]="&gt;50K",Tabela3[[#This Row],[Age]],NA())</f>
        <v>#N/A</v>
      </c>
      <c r="T520" t="e">
        <f>IF(Tabela3[[#This Row],[Income]]="&gt;50K",Tabela3[[#This Row],[education-num]],NA())</f>
        <v>#N/A</v>
      </c>
    </row>
    <row r="521" spans="1:20">
      <c r="A521">
        <v>520</v>
      </c>
      <c r="B521">
        <v>40</v>
      </c>
      <c r="C521" t="s">
        <v>34</v>
      </c>
      <c r="D521">
        <v>205706</v>
      </c>
      <c r="E521" t="s">
        <v>62</v>
      </c>
      <c r="F521">
        <v>9</v>
      </c>
      <c r="G521" t="s">
        <v>63</v>
      </c>
      <c r="H521" t="s">
        <v>80</v>
      </c>
      <c r="I521" t="s">
        <v>65</v>
      </c>
      <c r="J521" t="s">
        <v>39</v>
      </c>
      <c r="K521" t="s">
        <v>40</v>
      </c>
      <c r="L521">
        <v>0</v>
      </c>
      <c r="M521">
        <v>0</v>
      </c>
      <c r="N521">
        <v>40</v>
      </c>
      <c r="O521" t="s">
        <v>41</v>
      </c>
      <c r="P521" t="s">
        <v>42</v>
      </c>
      <c r="Q521">
        <f>IF(Tabela3[[#This Row],[Income]]="&lt;=50K",Tabela3[[#This Row],[Age]],NA())</f>
        <v>40</v>
      </c>
      <c r="R521">
        <f>IF(Tabela3[[#This Row],[Income]]="&lt;=50K",Tabela3[[#This Row],[education-num]],NA())</f>
        <v>9</v>
      </c>
      <c r="S521" t="e">
        <f>IF(Tabela3[[#This Row],[Income]]="&gt;50K",Tabela3[[#This Row],[Age]],NA())</f>
        <v>#N/A</v>
      </c>
      <c r="T521" t="e">
        <f>IF(Tabela3[[#This Row],[Income]]="&gt;50K",Tabela3[[#This Row],[education-num]],NA())</f>
        <v>#N/A</v>
      </c>
    </row>
    <row r="522" spans="1:20">
      <c r="A522">
        <v>521</v>
      </c>
      <c r="B522">
        <v>54</v>
      </c>
      <c r="C522" t="s">
        <v>34</v>
      </c>
      <c r="D522">
        <v>215990</v>
      </c>
      <c r="E522" t="s">
        <v>73</v>
      </c>
      <c r="F522">
        <v>14</v>
      </c>
      <c r="G522" t="s">
        <v>63</v>
      </c>
      <c r="H522" t="s">
        <v>80</v>
      </c>
      <c r="I522" t="s">
        <v>66</v>
      </c>
      <c r="J522" t="s">
        <v>39</v>
      </c>
      <c r="K522" t="s">
        <v>52</v>
      </c>
      <c r="L522">
        <v>0</v>
      </c>
      <c r="M522">
        <v>1887</v>
      </c>
      <c r="N522">
        <v>44</v>
      </c>
      <c r="O522" t="s">
        <v>41</v>
      </c>
      <c r="P522" t="s">
        <v>53</v>
      </c>
      <c r="Q522" t="e">
        <f>IF(Tabela3[[#This Row],[Income]]="&lt;=50K",Tabela3[[#This Row],[Age]],NA())</f>
        <v>#N/A</v>
      </c>
      <c r="R522" t="e">
        <f>IF(Tabela3[[#This Row],[Income]]="&lt;=50K",Tabela3[[#This Row],[education-num]],NA())</f>
        <v>#N/A</v>
      </c>
      <c r="S522">
        <f>IF(Tabela3[[#This Row],[Income]]="&gt;50K",Tabela3[[#This Row],[Age]],NA())</f>
        <v>54</v>
      </c>
      <c r="T522">
        <f>IF(Tabela3[[#This Row],[Income]]="&gt;50K",Tabela3[[#This Row],[education-num]],NA())</f>
        <v>14</v>
      </c>
    </row>
    <row r="523" spans="1:20">
      <c r="A523">
        <v>522</v>
      </c>
      <c r="B523">
        <v>19</v>
      </c>
      <c r="C523" t="s">
        <v>74</v>
      </c>
      <c r="D523">
        <v>137578</v>
      </c>
      <c r="E523" t="s">
        <v>62</v>
      </c>
      <c r="F523">
        <v>9</v>
      </c>
      <c r="G523" t="s">
        <v>36</v>
      </c>
      <c r="H523" t="s">
        <v>37</v>
      </c>
      <c r="I523" t="s">
        <v>38</v>
      </c>
      <c r="J523" t="s">
        <v>39</v>
      </c>
      <c r="K523" t="s">
        <v>52</v>
      </c>
      <c r="L523">
        <v>0</v>
      </c>
      <c r="M523">
        <v>0</v>
      </c>
      <c r="N523">
        <v>53</v>
      </c>
      <c r="O523" t="s">
        <v>41</v>
      </c>
      <c r="P523" t="s">
        <v>42</v>
      </c>
      <c r="Q523">
        <f>IF(Tabela3[[#This Row],[Income]]="&lt;=50K",Tabela3[[#This Row],[Age]],NA())</f>
        <v>19</v>
      </c>
      <c r="R523">
        <f>IF(Tabela3[[#This Row],[Income]]="&lt;=50K",Tabela3[[#This Row],[education-num]],NA())</f>
        <v>9</v>
      </c>
      <c r="S523" t="e">
        <f>IF(Tabela3[[#This Row],[Income]]="&gt;50K",Tabela3[[#This Row],[Age]],NA())</f>
        <v>#N/A</v>
      </c>
      <c r="T523" t="e">
        <f>IF(Tabela3[[#This Row],[Income]]="&gt;50K",Tabela3[[#This Row],[education-num]],NA())</f>
        <v>#N/A</v>
      </c>
    </row>
    <row r="524" spans="1:20">
      <c r="A524">
        <v>523</v>
      </c>
      <c r="B524">
        <v>29</v>
      </c>
      <c r="C524" t="s">
        <v>83</v>
      </c>
      <c r="D524">
        <v>156815</v>
      </c>
      <c r="E524" t="s">
        <v>62</v>
      </c>
      <c r="F524">
        <v>9</v>
      </c>
      <c r="G524" t="s">
        <v>63</v>
      </c>
      <c r="H524" t="s">
        <v>37</v>
      </c>
      <c r="I524" t="s">
        <v>66</v>
      </c>
      <c r="J524" t="s">
        <v>39</v>
      </c>
      <c r="K524" t="s">
        <v>52</v>
      </c>
      <c r="L524">
        <v>0</v>
      </c>
      <c r="M524">
        <v>0</v>
      </c>
      <c r="N524">
        <v>40</v>
      </c>
      <c r="O524" t="s">
        <v>41</v>
      </c>
      <c r="P524" t="s">
        <v>42</v>
      </c>
      <c r="Q524">
        <f>IF(Tabela3[[#This Row],[Income]]="&lt;=50K",Tabela3[[#This Row],[Age]],NA())</f>
        <v>29</v>
      </c>
      <c r="R524">
        <f>IF(Tabela3[[#This Row],[Income]]="&lt;=50K",Tabela3[[#This Row],[education-num]],NA())</f>
        <v>9</v>
      </c>
      <c r="S524" t="e">
        <f>IF(Tabela3[[#This Row],[Income]]="&gt;50K",Tabela3[[#This Row],[Age]],NA())</f>
        <v>#N/A</v>
      </c>
      <c r="T524" t="e">
        <f>IF(Tabela3[[#This Row],[Income]]="&gt;50K",Tabela3[[#This Row],[education-num]],NA())</f>
        <v>#N/A</v>
      </c>
    </row>
    <row r="525" spans="1:20">
      <c r="A525">
        <v>524</v>
      </c>
      <c r="B525">
        <v>61</v>
      </c>
      <c r="C525" t="s">
        <v>74</v>
      </c>
      <c r="D525">
        <v>117387</v>
      </c>
      <c r="E525" t="s">
        <v>35</v>
      </c>
      <c r="F525">
        <v>7</v>
      </c>
      <c r="G525" t="s">
        <v>63</v>
      </c>
      <c r="H525" t="s">
        <v>80</v>
      </c>
      <c r="I525" t="s">
        <v>66</v>
      </c>
      <c r="J525" t="s">
        <v>39</v>
      </c>
      <c r="K525" t="s">
        <v>52</v>
      </c>
      <c r="L525">
        <v>0</v>
      </c>
      <c r="M525">
        <v>0</v>
      </c>
      <c r="N525">
        <v>20</v>
      </c>
      <c r="O525" t="s">
        <v>41</v>
      </c>
      <c r="P525" t="s">
        <v>42</v>
      </c>
      <c r="Q525">
        <f>IF(Tabela3[[#This Row],[Income]]="&lt;=50K",Tabela3[[#This Row],[Age]],NA())</f>
        <v>61</v>
      </c>
      <c r="R525">
        <f>IF(Tabela3[[#This Row],[Income]]="&lt;=50K",Tabela3[[#This Row],[education-num]],NA())</f>
        <v>7</v>
      </c>
      <c r="S525" t="e">
        <f>IF(Tabela3[[#This Row],[Income]]="&gt;50K",Tabela3[[#This Row],[Age]],NA())</f>
        <v>#N/A</v>
      </c>
      <c r="T525" t="e">
        <f>IF(Tabela3[[#This Row],[Income]]="&gt;50K",Tabela3[[#This Row],[education-num]],NA())</f>
        <v>#N/A</v>
      </c>
    </row>
    <row r="526" spans="1:20">
      <c r="A526">
        <v>525</v>
      </c>
      <c r="B526">
        <v>22</v>
      </c>
      <c r="C526" t="s">
        <v>34</v>
      </c>
      <c r="D526">
        <v>119592</v>
      </c>
      <c r="E526" t="s">
        <v>43</v>
      </c>
      <c r="F526">
        <v>12</v>
      </c>
      <c r="G526" t="s">
        <v>36</v>
      </c>
      <c r="H526" t="s">
        <v>68</v>
      </c>
      <c r="I526" t="s">
        <v>45</v>
      </c>
      <c r="J526" t="s">
        <v>57</v>
      </c>
      <c r="K526" t="s">
        <v>52</v>
      </c>
      <c r="L526">
        <v>0</v>
      </c>
      <c r="M526">
        <v>2824</v>
      </c>
      <c r="N526">
        <v>40</v>
      </c>
      <c r="O526" t="s">
        <v>71</v>
      </c>
      <c r="P526" t="s">
        <v>53</v>
      </c>
      <c r="Q526" t="e">
        <f>IF(Tabela3[[#This Row],[Income]]="&lt;=50K",Tabela3[[#This Row],[Age]],NA())</f>
        <v>#N/A</v>
      </c>
      <c r="R526" t="e">
        <f>IF(Tabela3[[#This Row],[Income]]="&lt;=50K",Tabela3[[#This Row],[education-num]],NA())</f>
        <v>#N/A</v>
      </c>
      <c r="S526">
        <f>IF(Tabela3[[#This Row],[Income]]="&gt;50K",Tabela3[[#This Row],[Age]],NA())</f>
        <v>22</v>
      </c>
      <c r="T526">
        <f>IF(Tabela3[[#This Row],[Income]]="&gt;50K",Tabela3[[#This Row],[education-num]],NA())</f>
        <v>12</v>
      </c>
    </row>
    <row r="527" spans="1:20">
      <c r="A527">
        <v>526</v>
      </c>
      <c r="B527">
        <v>19</v>
      </c>
      <c r="C527" t="s">
        <v>71</v>
      </c>
      <c r="D527">
        <v>185619</v>
      </c>
      <c r="E527" t="s">
        <v>46</v>
      </c>
      <c r="F527">
        <v>10</v>
      </c>
      <c r="G527" t="s">
        <v>36</v>
      </c>
      <c r="H527" t="s">
        <v>71</v>
      </c>
      <c r="I527" t="s">
        <v>38</v>
      </c>
      <c r="J527" t="s">
        <v>39</v>
      </c>
      <c r="K527" t="s">
        <v>40</v>
      </c>
      <c r="L527">
        <v>0</v>
      </c>
      <c r="M527">
        <v>0</v>
      </c>
      <c r="N527">
        <v>20</v>
      </c>
      <c r="O527" t="s">
        <v>41</v>
      </c>
      <c r="P527" t="s">
        <v>42</v>
      </c>
      <c r="Q527">
        <f>IF(Tabela3[[#This Row],[Income]]="&lt;=50K",Tabela3[[#This Row],[Age]],NA())</f>
        <v>19</v>
      </c>
      <c r="R527">
        <f>IF(Tabela3[[#This Row],[Income]]="&lt;=50K",Tabela3[[#This Row],[education-num]],NA())</f>
        <v>10</v>
      </c>
      <c r="S527" t="e">
        <f>IF(Tabela3[[#This Row],[Income]]="&gt;50K",Tabela3[[#This Row],[Age]],NA())</f>
        <v>#N/A</v>
      </c>
      <c r="T527" t="e">
        <f>IF(Tabela3[[#This Row],[Income]]="&gt;50K",Tabela3[[#This Row],[education-num]],NA())</f>
        <v>#N/A</v>
      </c>
    </row>
    <row r="528" spans="1:20">
      <c r="A528">
        <v>527</v>
      </c>
      <c r="B528">
        <v>40</v>
      </c>
      <c r="C528" t="s">
        <v>54</v>
      </c>
      <c r="D528">
        <v>105862</v>
      </c>
      <c r="E528" t="s">
        <v>60</v>
      </c>
      <c r="F528">
        <v>13</v>
      </c>
      <c r="G528" t="s">
        <v>49</v>
      </c>
      <c r="H528" t="s">
        <v>61</v>
      </c>
      <c r="I528" t="s">
        <v>69</v>
      </c>
      <c r="J528" t="s">
        <v>39</v>
      </c>
      <c r="K528" t="s">
        <v>40</v>
      </c>
      <c r="L528">
        <v>5455</v>
      </c>
      <c r="M528">
        <v>0</v>
      </c>
      <c r="N528">
        <v>40</v>
      </c>
      <c r="O528" t="s">
        <v>41</v>
      </c>
      <c r="P528" t="s">
        <v>42</v>
      </c>
      <c r="Q528">
        <f>IF(Tabela3[[#This Row],[Income]]="&lt;=50K",Tabela3[[#This Row],[Age]],NA())</f>
        <v>40</v>
      </c>
      <c r="R528">
        <f>IF(Tabela3[[#This Row],[Income]]="&lt;=50K",Tabela3[[#This Row],[education-num]],NA())</f>
        <v>13</v>
      </c>
      <c r="S528" t="e">
        <f>IF(Tabela3[[#This Row],[Income]]="&gt;50K",Tabela3[[#This Row],[Age]],NA())</f>
        <v>#N/A</v>
      </c>
      <c r="T528" t="e">
        <f>IF(Tabela3[[#This Row],[Income]]="&gt;50K",Tabela3[[#This Row],[education-num]],NA())</f>
        <v>#N/A</v>
      </c>
    </row>
    <row r="529" spans="1:20">
      <c r="A529">
        <v>528</v>
      </c>
      <c r="B529">
        <v>62</v>
      </c>
      <c r="C529" t="s">
        <v>54</v>
      </c>
      <c r="D529">
        <v>180162</v>
      </c>
      <c r="E529" t="s">
        <v>98</v>
      </c>
      <c r="F529">
        <v>5</v>
      </c>
      <c r="G529" t="s">
        <v>49</v>
      </c>
      <c r="H529" t="s">
        <v>89</v>
      </c>
      <c r="I529" t="s">
        <v>45</v>
      </c>
      <c r="J529" t="s">
        <v>57</v>
      </c>
      <c r="K529" t="s">
        <v>52</v>
      </c>
      <c r="L529">
        <v>0</v>
      </c>
      <c r="M529">
        <v>0</v>
      </c>
      <c r="N529">
        <v>24</v>
      </c>
      <c r="O529" t="s">
        <v>41</v>
      </c>
      <c r="P529" t="s">
        <v>42</v>
      </c>
      <c r="Q529">
        <f>IF(Tabela3[[#This Row],[Income]]="&lt;=50K",Tabela3[[#This Row],[Age]],NA())</f>
        <v>62</v>
      </c>
      <c r="R529">
        <f>IF(Tabela3[[#This Row],[Income]]="&lt;=50K",Tabela3[[#This Row],[education-num]],NA())</f>
        <v>5</v>
      </c>
      <c r="S529" t="e">
        <f>IF(Tabela3[[#This Row],[Income]]="&gt;50K",Tabela3[[#This Row],[Age]],NA())</f>
        <v>#N/A</v>
      </c>
      <c r="T529" t="e">
        <f>IF(Tabela3[[#This Row],[Income]]="&gt;50K",Tabela3[[#This Row],[education-num]],NA())</f>
        <v>#N/A</v>
      </c>
    </row>
    <row r="530" spans="1:20">
      <c r="A530">
        <v>529</v>
      </c>
      <c r="B530">
        <v>42</v>
      </c>
      <c r="C530" t="s">
        <v>34</v>
      </c>
      <c r="D530">
        <v>54611</v>
      </c>
      <c r="E530" t="s">
        <v>46</v>
      </c>
      <c r="F530">
        <v>10</v>
      </c>
      <c r="G530" t="s">
        <v>49</v>
      </c>
      <c r="H530" t="s">
        <v>58</v>
      </c>
      <c r="I530" t="s">
        <v>45</v>
      </c>
      <c r="J530" t="s">
        <v>39</v>
      </c>
      <c r="K530" t="s">
        <v>52</v>
      </c>
      <c r="L530">
        <v>0</v>
      </c>
      <c r="M530">
        <v>0</v>
      </c>
      <c r="N530">
        <v>40</v>
      </c>
      <c r="O530" t="s">
        <v>41</v>
      </c>
      <c r="P530" t="s">
        <v>42</v>
      </c>
      <c r="Q530">
        <f>IF(Tabela3[[#This Row],[Income]]="&lt;=50K",Tabela3[[#This Row],[Age]],NA())</f>
        <v>42</v>
      </c>
      <c r="R530">
        <f>IF(Tabela3[[#This Row],[Income]]="&lt;=50K",Tabela3[[#This Row],[education-num]],NA())</f>
        <v>10</v>
      </c>
      <c r="S530" t="e">
        <f>IF(Tabela3[[#This Row],[Income]]="&gt;50K",Tabela3[[#This Row],[Age]],NA())</f>
        <v>#N/A</v>
      </c>
      <c r="T530" t="e">
        <f>IF(Tabela3[[#This Row],[Income]]="&gt;50K",Tabela3[[#This Row],[education-num]],NA())</f>
        <v>#N/A</v>
      </c>
    </row>
    <row r="531" spans="1:20">
      <c r="A531">
        <v>530</v>
      </c>
      <c r="B531">
        <v>30</v>
      </c>
      <c r="C531" t="s">
        <v>34</v>
      </c>
      <c r="D531">
        <v>46712</v>
      </c>
      <c r="E531" t="s">
        <v>62</v>
      </c>
      <c r="F531">
        <v>9</v>
      </c>
      <c r="G531" t="s">
        <v>49</v>
      </c>
      <c r="H531" t="s">
        <v>37</v>
      </c>
      <c r="I531" t="s">
        <v>45</v>
      </c>
      <c r="J531" t="s">
        <v>39</v>
      </c>
      <c r="K531" t="s">
        <v>40</v>
      </c>
      <c r="L531">
        <v>0</v>
      </c>
      <c r="M531">
        <v>0</v>
      </c>
      <c r="N531">
        <v>40</v>
      </c>
      <c r="O531" t="s">
        <v>41</v>
      </c>
      <c r="P531" t="s">
        <v>42</v>
      </c>
      <c r="Q531">
        <f>IF(Tabela3[[#This Row],[Income]]="&lt;=50K",Tabela3[[#This Row],[Age]],NA())</f>
        <v>30</v>
      </c>
      <c r="R531">
        <f>IF(Tabela3[[#This Row],[Income]]="&lt;=50K",Tabela3[[#This Row],[education-num]],NA())</f>
        <v>9</v>
      </c>
      <c r="S531" t="e">
        <f>IF(Tabela3[[#This Row],[Income]]="&gt;50K",Tabela3[[#This Row],[Age]],NA())</f>
        <v>#N/A</v>
      </c>
      <c r="T531" t="e">
        <f>IF(Tabela3[[#This Row],[Income]]="&gt;50K",Tabela3[[#This Row],[education-num]],NA())</f>
        <v>#N/A</v>
      </c>
    </row>
    <row r="532" spans="1:20">
      <c r="A532">
        <v>531</v>
      </c>
      <c r="B532">
        <v>65</v>
      </c>
      <c r="C532" t="s">
        <v>34</v>
      </c>
      <c r="D532">
        <v>344152</v>
      </c>
      <c r="E532" t="s">
        <v>73</v>
      </c>
      <c r="F532">
        <v>14</v>
      </c>
      <c r="G532" t="s">
        <v>63</v>
      </c>
      <c r="H532" t="s">
        <v>61</v>
      </c>
      <c r="I532" t="s">
        <v>66</v>
      </c>
      <c r="J532" t="s">
        <v>39</v>
      </c>
      <c r="K532" t="s">
        <v>52</v>
      </c>
      <c r="L532">
        <v>5556</v>
      </c>
      <c r="M532">
        <v>0</v>
      </c>
      <c r="N532">
        <v>50</v>
      </c>
      <c r="O532" t="s">
        <v>41</v>
      </c>
      <c r="P532" t="s">
        <v>53</v>
      </c>
      <c r="Q532" t="e">
        <f>IF(Tabela3[[#This Row],[Income]]="&lt;=50K",Tabela3[[#This Row],[Age]],NA())</f>
        <v>#N/A</v>
      </c>
      <c r="R532" t="e">
        <f>IF(Tabela3[[#This Row],[Income]]="&lt;=50K",Tabela3[[#This Row],[education-num]],NA())</f>
        <v>#N/A</v>
      </c>
      <c r="S532">
        <f>IF(Tabela3[[#This Row],[Income]]="&gt;50K",Tabela3[[#This Row],[Age]],NA())</f>
        <v>65</v>
      </c>
      <c r="T532">
        <f>IF(Tabela3[[#This Row],[Income]]="&gt;50K",Tabela3[[#This Row],[education-num]],NA())</f>
        <v>14</v>
      </c>
    </row>
    <row r="533" spans="1:20">
      <c r="A533">
        <v>532</v>
      </c>
      <c r="B533">
        <v>41</v>
      </c>
      <c r="C533" t="s">
        <v>59</v>
      </c>
      <c r="D533">
        <v>58930</v>
      </c>
      <c r="E533" t="s">
        <v>60</v>
      </c>
      <c r="F533">
        <v>13</v>
      </c>
      <c r="G533" t="s">
        <v>36</v>
      </c>
      <c r="H533" t="s">
        <v>61</v>
      </c>
      <c r="I533" t="s">
        <v>45</v>
      </c>
      <c r="J533" t="s">
        <v>39</v>
      </c>
      <c r="K533" t="s">
        <v>40</v>
      </c>
      <c r="L533">
        <v>0</v>
      </c>
      <c r="M533">
        <v>0</v>
      </c>
      <c r="N533">
        <v>40</v>
      </c>
      <c r="O533" t="s">
        <v>41</v>
      </c>
      <c r="P533" t="s">
        <v>42</v>
      </c>
      <c r="Q533">
        <f>IF(Tabela3[[#This Row],[Income]]="&lt;=50K",Tabela3[[#This Row],[Age]],NA())</f>
        <v>41</v>
      </c>
      <c r="R533">
        <f>IF(Tabela3[[#This Row],[Income]]="&lt;=50K",Tabela3[[#This Row],[education-num]],NA())</f>
        <v>13</v>
      </c>
      <c r="S533" t="e">
        <f>IF(Tabela3[[#This Row],[Income]]="&gt;50K",Tabela3[[#This Row],[Age]],NA())</f>
        <v>#N/A</v>
      </c>
      <c r="T533" t="e">
        <f>IF(Tabela3[[#This Row],[Income]]="&gt;50K",Tabela3[[#This Row],[education-num]],NA())</f>
        <v>#N/A</v>
      </c>
    </row>
    <row r="534" spans="1:20">
      <c r="A534">
        <v>533</v>
      </c>
      <c r="B534">
        <v>28</v>
      </c>
      <c r="C534" t="s">
        <v>34</v>
      </c>
      <c r="D534">
        <v>392100</v>
      </c>
      <c r="E534" t="s">
        <v>62</v>
      </c>
      <c r="F534">
        <v>9</v>
      </c>
      <c r="G534" t="s">
        <v>63</v>
      </c>
      <c r="H534" t="s">
        <v>50</v>
      </c>
      <c r="I534" t="s">
        <v>38</v>
      </c>
      <c r="J534" t="s">
        <v>39</v>
      </c>
      <c r="K534" t="s">
        <v>52</v>
      </c>
      <c r="L534">
        <v>0</v>
      </c>
      <c r="M534">
        <v>0</v>
      </c>
      <c r="N534">
        <v>40</v>
      </c>
      <c r="O534" t="s">
        <v>41</v>
      </c>
      <c r="P534" t="s">
        <v>42</v>
      </c>
      <c r="Q534">
        <f>IF(Tabela3[[#This Row],[Income]]="&lt;=50K",Tabela3[[#This Row],[Age]],NA())</f>
        <v>28</v>
      </c>
      <c r="R534">
        <f>IF(Tabela3[[#This Row],[Income]]="&lt;=50K",Tabela3[[#This Row],[education-num]],NA())</f>
        <v>9</v>
      </c>
      <c r="S534" t="e">
        <f>IF(Tabela3[[#This Row],[Income]]="&gt;50K",Tabela3[[#This Row],[Age]],NA())</f>
        <v>#N/A</v>
      </c>
      <c r="T534" t="e">
        <f>IF(Tabela3[[#This Row],[Income]]="&gt;50K",Tabela3[[#This Row],[education-num]],NA())</f>
        <v>#N/A</v>
      </c>
    </row>
    <row r="535" spans="1:20">
      <c r="A535">
        <v>534</v>
      </c>
      <c r="B535">
        <v>26</v>
      </c>
      <c r="C535" t="s">
        <v>34</v>
      </c>
      <c r="D535">
        <v>173593</v>
      </c>
      <c r="E535" t="s">
        <v>73</v>
      </c>
      <c r="F535">
        <v>14</v>
      </c>
      <c r="G535" t="s">
        <v>63</v>
      </c>
      <c r="H535" t="s">
        <v>56</v>
      </c>
      <c r="I535" t="s">
        <v>66</v>
      </c>
      <c r="J535" t="s">
        <v>39</v>
      </c>
      <c r="K535" t="s">
        <v>52</v>
      </c>
      <c r="L535">
        <v>0</v>
      </c>
      <c r="M535">
        <v>0</v>
      </c>
      <c r="N535">
        <v>20</v>
      </c>
      <c r="O535" t="s">
        <v>111</v>
      </c>
      <c r="P535" t="s">
        <v>42</v>
      </c>
      <c r="Q535">
        <f>IF(Tabela3[[#This Row],[Income]]="&lt;=50K",Tabela3[[#This Row],[Age]],NA())</f>
        <v>26</v>
      </c>
      <c r="R535">
        <f>IF(Tabela3[[#This Row],[Income]]="&lt;=50K",Tabela3[[#This Row],[education-num]],NA())</f>
        <v>14</v>
      </c>
      <c r="S535" t="e">
        <f>IF(Tabela3[[#This Row],[Income]]="&gt;50K",Tabela3[[#This Row],[Age]],NA())</f>
        <v>#N/A</v>
      </c>
      <c r="T535" t="e">
        <f>IF(Tabela3[[#This Row],[Income]]="&gt;50K",Tabela3[[#This Row],[education-num]],NA())</f>
        <v>#N/A</v>
      </c>
    </row>
    <row r="536" spans="1:20">
      <c r="A536">
        <v>535</v>
      </c>
      <c r="B536">
        <v>23</v>
      </c>
      <c r="C536" t="s">
        <v>34</v>
      </c>
      <c r="D536">
        <v>32950</v>
      </c>
      <c r="E536" t="s">
        <v>46</v>
      </c>
      <c r="F536">
        <v>10</v>
      </c>
      <c r="G536" t="s">
        <v>36</v>
      </c>
      <c r="H536" t="s">
        <v>44</v>
      </c>
      <c r="I536" t="s">
        <v>45</v>
      </c>
      <c r="J536" t="s">
        <v>39</v>
      </c>
      <c r="K536" t="s">
        <v>52</v>
      </c>
      <c r="L536">
        <v>0</v>
      </c>
      <c r="M536">
        <v>0</v>
      </c>
      <c r="N536">
        <v>40</v>
      </c>
      <c r="O536" t="s">
        <v>41</v>
      </c>
      <c r="P536" t="s">
        <v>42</v>
      </c>
      <c r="Q536">
        <f>IF(Tabela3[[#This Row],[Income]]="&lt;=50K",Tabela3[[#This Row],[Age]],NA())</f>
        <v>23</v>
      </c>
      <c r="R536">
        <f>IF(Tabela3[[#This Row],[Income]]="&lt;=50K",Tabela3[[#This Row],[education-num]],NA())</f>
        <v>10</v>
      </c>
      <c r="S536" t="e">
        <f>IF(Tabela3[[#This Row],[Income]]="&gt;50K",Tabela3[[#This Row],[Age]],NA())</f>
        <v>#N/A</v>
      </c>
      <c r="T536" t="e">
        <f>IF(Tabela3[[#This Row],[Income]]="&gt;50K",Tabela3[[#This Row],[education-num]],NA())</f>
        <v>#N/A</v>
      </c>
    </row>
    <row r="537" spans="1:20">
      <c r="A537">
        <v>536</v>
      </c>
      <c r="B537">
        <v>45</v>
      </c>
      <c r="C537" t="s">
        <v>34</v>
      </c>
      <c r="D537">
        <v>20534</v>
      </c>
      <c r="E537" t="s">
        <v>46</v>
      </c>
      <c r="F537">
        <v>10</v>
      </c>
      <c r="G537" t="s">
        <v>63</v>
      </c>
      <c r="H537" t="s">
        <v>56</v>
      </c>
      <c r="I537" t="s">
        <v>66</v>
      </c>
      <c r="J537" t="s">
        <v>39</v>
      </c>
      <c r="K537" t="s">
        <v>52</v>
      </c>
      <c r="L537">
        <v>0</v>
      </c>
      <c r="M537">
        <v>0</v>
      </c>
      <c r="N537">
        <v>84</v>
      </c>
      <c r="O537" t="s">
        <v>41</v>
      </c>
      <c r="P537" t="s">
        <v>53</v>
      </c>
      <c r="Q537" t="e">
        <f>IF(Tabela3[[#This Row],[Income]]="&lt;=50K",Tabela3[[#This Row],[Age]],NA())</f>
        <v>#N/A</v>
      </c>
      <c r="R537" t="e">
        <f>IF(Tabela3[[#This Row],[Income]]="&lt;=50K",Tabela3[[#This Row],[education-num]],NA())</f>
        <v>#N/A</v>
      </c>
      <c r="S537">
        <f>IF(Tabela3[[#This Row],[Income]]="&gt;50K",Tabela3[[#This Row],[Age]],NA())</f>
        <v>45</v>
      </c>
      <c r="T537">
        <f>IF(Tabela3[[#This Row],[Income]]="&gt;50K",Tabela3[[#This Row],[education-num]],NA())</f>
        <v>10</v>
      </c>
    </row>
    <row r="538" spans="1:20">
      <c r="A538">
        <v>537</v>
      </c>
      <c r="B538">
        <v>61</v>
      </c>
      <c r="C538" t="s">
        <v>75</v>
      </c>
      <c r="D538">
        <v>229062</v>
      </c>
      <c r="E538" t="s">
        <v>46</v>
      </c>
      <c r="F538">
        <v>10</v>
      </c>
      <c r="G538" t="s">
        <v>63</v>
      </c>
      <c r="H538" t="s">
        <v>67</v>
      </c>
      <c r="I538" t="s">
        <v>66</v>
      </c>
      <c r="J538" t="s">
        <v>39</v>
      </c>
      <c r="K538" t="s">
        <v>52</v>
      </c>
      <c r="L538">
        <v>0</v>
      </c>
      <c r="M538">
        <v>1887</v>
      </c>
      <c r="N538">
        <v>40</v>
      </c>
      <c r="O538" t="s">
        <v>41</v>
      </c>
      <c r="P538" t="s">
        <v>53</v>
      </c>
      <c r="Q538" t="e">
        <f>IF(Tabela3[[#This Row],[Income]]="&lt;=50K",Tabela3[[#This Row],[Age]],NA())</f>
        <v>#N/A</v>
      </c>
      <c r="R538" t="e">
        <f>IF(Tabela3[[#This Row],[Income]]="&lt;=50K",Tabela3[[#This Row],[education-num]],NA())</f>
        <v>#N/A</v>
      </c>
      <c r="S538">
        <f>IF(Tabela3[[#This Row],[Income]]="&gt;50K",Tabela3[[#This Row],[Age]],NA())</f>
        <v>61</v>
      </c>
      <c r="T538">
        <f>IF(Tabela3[[#This Row],[Income]]="&gt;50K",Tabela3[[#This Row],[education-num]],NA())</f>
        <v>10</v>
      </c>
    </row>
    <row r="539" spans="1:20">
      <c r="A539">
        <v>538</v>
      </c>
      <c r="B539">
        <v>76</v>
      </c>
      <c r="C539" t="s">
        <v>34</v>
      </c>
      <c r="D539">
        <v>208843</v>
      </c>
      <c r="E539" t="s">
        <v>91</v>
      </c>
      <c r="F539">
        <v>4</v>
      </c>
      <c r="G539" t="s">
        <v>81</v>
      </c>
      <c r="H539" t="s">
        <v>89</v>
      </c>
      <c r="I539" t="s">
        <v>45</v>
      </c>
      <c r="J539" t="s">
        <v>39</v>
      </c>
      <c r="K539" t="s">
        <v>52</v>
      </c>
      <c r="L539">
        <v>0</v>
      </c>
      <c r="M539">
        <v>0</v>
      </c>
      <c r="N539">
        <v>30</v>
      </c>
      <c r="O539" t="s">
        <v>41</v>
      </c>
      <c r="P539" t="s">
        <v>42</v>
      </c>
      <c r="Q539">
        <f>IF(Tabela3[[#This Row],[Income]]="&lt;=50K",Tabela3[[#This Row],[Age]],NA())</f>
        <v>76</v>
      </c>
      <c r="R539">
        <f>IF(Tabela3[[#This Row],[Income]]="&lt;=50K",Tabela3[[#This Row],[education-num]],NA())</f>
        <v>4</v>
      </c>
      <c r="S539" t="e">
        <f>IF(Tabela3[[#This Row],[Income]]="&gt;50K",Tabela3[[#This Row],[Age]],NA())</f>
        <v>#N/A</v>
      </c>
      <c r="T539" t="e">
        <f>IF(Tabela3[[#This Row],[Income]]="&gt;50K",Tabela3[[#This Row],[education-num]],NA())</f>
        <v>#N/A</v>
      </c>
    </row>
    <row r="540" spans="1:20">
      <c r="A540">
        <v>539</v>
      </c>
      <c r="B540">
        <v>60</v>
      </c>
      <c r="C540" t="s">
        <v>34</v>
      </c>
      <c r="D540">
        <v>139391</v>
      </c>
      <c r="E540" t="s">
        <v>46</v>
      </c>
      <c r="F540">
        <v>10</v>
      </c>
      <c r="G540" t="s">
        <v>90</v>
      </c>
      <c r="H540" t="s">
        <v>56</v>
      </c>
      <c r="I540" t="s">
        <v>45</v>
      </c>
      <c r="J540" t="s">
        <v>39</v>
      </c>
      <c r="K540" t="s">
        <v>52</v>
      </c>
      <c r="L540">
        <v>0</v>
      </c>
      <c r="M540">
        <v>0</v>
      </c>
      <c r="N540">
        <v>50</v>
      </c>
      <c r="O540" t="s">
        <v>41</v>
      </c>
      <c r="P540" t="s">
        <v>53</v>
      </c>
      <c r="Q540" t="e">
        <f>IF(Tabela3[[#This Row],[Income]]="&lt;=50K",Tabela3[[#This Row],[Age]],NA())</f>
        <v>#N/A</v>
      </c>
      <c r="R540" t="e">
        <f>IF(Tabela3[[#This Row],[Income]]="&lt;=50K",Tabela3[[#This Row],[education-num]],NA())</f>
        <v>#N/A</v>
      </c>
      <c r="S540">
        <f>IF(Tabela3[[#This Row],[Income]]="&gt;50K",Tabela3[[#This Row],[Age]],NA())</f>
        <v>60</v>
      </c>
      <c r="T540">
        <f>IF(Tabela3[[#This Row],[Income]]="&gt;50K",Tabela3[[#This Row],[education-num]],NA())</f>
        <v>10</v>
      </c>
    </row>
    <row r="541" spans="1:20">
      <c r="A541">
        <v>540</v>
      </c>
      <c r="B541">
        <v>33</v>
      </c>
      <c r="C541" t="s">
        <v>59</v>
      </c>
      <c r="D541">
        <v>111994</v>
      </c>
      <c r="E541" t="s">
        <v>46</v>
      </c>
      <c r="F541">
        <v>10</v>
      </c>
      <c r="G541" t="s">
        <v>49</v>
      </c>
      <c r="H541" t="s">
        <v>67</v>
      </c>
      <c r="I541" t="s">
        <v>69</v>
      </c>
      <c r="J541" t="s">
        <v>39</v>
      </c>
      <c r="K541" t="s">
        <v>40</v>
      </c>
      <c r="L541">
        <v>0</v>
      </c>
      <c r="M541">
        <v>0</v>
      </c>
      <c r="N541">
        <v>45</v>
      </c>
      <c r="O541" t="s">
        <v>41</v>
      </c>
      <c r="P541" t="s">
        <v>42</v>
      </c>
      <c r="Q541">
        <f>IF(Tabela3[[#This Row],[Income]]="&lt;=50K",Tabela3[[#This Row],[Age]],NA())</f>
        <v>33</v>
      </c>
      <c r="R541">
        <f>IF(Tabela3[[#This Row],[Income]]="&lt;=50K",Tabela3[[#This Row],[education-num]],NA())</f>
        <v>10</v>
      </c>
      <c r="S541" t="e">
        <f>IF(Tabela3[[#This Row],[Income]]="&gt;50K",Tabela3[[#This Row],[Age]],NA())</f>
        <v>#N/A</v>
      </c>
      <c r="T541" t="e">
        <f>IF(Tabela3[[#This Row],[Income]]="&gt;50K",Tabela3[[#This Row],[education-num]],NA())</f>
        <v>#N/A</v>
      </c>
    </row>
    <row r="542" spans="1:20">
      <c r="A542">
        <v>541</v>
      </c>
      <c r="B542">
        <v>35</v>
      </c>
      <c r="C542" t="s">
        <v>74</v>
      </c>
      <c r="D542">
        <v>348771</v>
      </c>
      <c r="E542" t="s">
        <v>35</v>
      </c>
      <c r="F542">
        <v>7</v>
      </c>
      <c r="G542" t="s">
        <v>63</v>
      </c>
      <c r="H542" t="s">
        <v>50</v>
      </c>
      <c r="I542" t="s">
        <v>66</v>
      </c>
      <c r="J542" t="s">
        <v>39</v>
      </c>
      <c r="K542" t="s">
        <v>52</v>
      </c>
      <c r="L542">
        <v>0</v>
      </c>
      <c r="M542">
        <v>0</v>
      </c>
      <c r="N542">
        <v>36</v>
      </c>
      <c r="O542" t="s">
        <v>41</v>
      </c>
      <c r="P542" t="s">
        <v>42</v>
      </c>
      <c r="Q542">
        <f>IF(Tabela3[[#This Row],[Income]]="&lt;=50K",Tabela3[[#This Row],[Age]],NA())</f>
        <v>35</v>
      </c>
      <c r="R542">
        <f>IF(Tabela3[[#This Row],[Income]]="&lt;=50K",Tabela3[[#This Row],[education-num]],NA())</f>
        <v>7</v>
      </c>
      <c r="S542" t="e">
        <f>IF(Tabela3[[#This Row],[Income]]="&gt;50K",Tabela3[[#This Row],[Age]],NA())</f>
        <v>#N/A</v>
      </c>
      <c r="T542" t="e">
        <f>IF(Tabela3[[#This Row],[Income]]="&gt;50K",Tabela3[[#This Row],[education-num]],NA())</f>
        <v>#N/A</v>
      </c>
    </row>
    <row r="543" spans="1:20">
      <c r="A543">
        <v>542</v>
      </c>
      <c r="B543">
        <v>23</v>
      </c>
      <c r="C543" t="s">
        <v>34</v>
      </c>
      <c r="D543">
        <v>348420</v>
      </c>
      <c r="E543" t="s">
        <v>60</v>
      </c>
      <c r="F543">
        <v>13</v>
      </c>
      <c r="G543" t="s">
        <v>36</v>
      </c>
      <c r="H543" t="s">
        <v>64</v>
      </c>
      <c r="I543" t="s">
        <v>45</v>
      </c>
      <c r="J543" t="s">
        <v>39</v>
      </c>
      <c r="K543" t="s">
        <v>52</v>
      </c>
      <c r="L543">
        <v>0</v>
      </c>
      <c r="M543">
        <v>0</v>
      </c>
      <c r="N543">
        <v>40</v>
      </c>
      <c r="O543" t="s">
        <v>41</v>
      </c>
      <c r="P543" t="s">
        <v>42</v>
      </c>
      <c r="Q543">
        <f>IF(Tabela3[[#This Row],[Income]]="&lt;=50K",Tabela3[[#This Row],[Age]],NA())</f>
        <v>23</v>
      </c>
      <c r="R543">
        <f>IF(Tabela3[[#This Row],[Income]]="&lt;=50K",Tabela3[[#This Row],[education-num]],NA())</f>
        <v>13</v>
      </c>
      <c r="S543" t="e">
        <f>IF(Tabela3[[#This Row],[Income]]="&gt;50K",Tabela3[[#This Row],[Age]],NA())</f>
        <v>#N/A</v>
      </c>
      <c r="T543" t="e">
        <f>IF(Tabela3[[#This Row],[Income]]="&gt;50K",Tabela3[[#This Row],[education-num]],NA())</f>
        <v>#N/A</v>
      </c>
    </row>
    <row r="544" spans="1:20">
      <c r="A544">
        <v>543</v>
      </c>
      <c r="B544">
        <v>36</v>
      </c>
      <c r="C544" t="s">
        <v>34</v>
      </c>
      <c r="D544">
        <v>115700</v>
      </c>
      <c r="E544" t="s">
        <v>62</v>
      </c>
      <c r="F544">
        <v>9</v>
      </c>
      <c r="G544" t="s">
        <v>63</v>
      </c>
      <c r="H544" t="s">
        <v>44</v>
      </c>
      <c r="I544" t="s">
        <v>66</v>
      </c>
      <c r="J544" t="s">
        <v>39</v>
      </c>
      <c r="K544" t="s">
        <v>52</v>
      </c>
      <c r="L544">
        <v>0</v>
      </c>
      <c r="M544">
        <v>0</v>
      </c>
      <c r="N544">
        <v>50</v>
      </c>
      <c r="O544" t="s">
        <v>41</v>
      </c>
      <c r="P544" t="s">
        <v>42</v>
      </c>
      <c r="Q544">
        <f>IF(Tabela3[[#This Row],[Income]]="&lt;=50K",Tabela3[[#This Row],[Age]],NA())</f>
        <v>36</v>
      </c>
      <c r="R544">
        <f>IF(Tabela3[[#This Row],[Income]]="&lt;=50K",Tabela3[[#This Row],[education-num]],NA())</f>
        <v>9</v>
      </c>
      <c r="S544" t="e">
        <f>IF(Tabela3[[#This Row],[Income]]="&gt;50K",Tabela3[[#This Row],[Age]],NA())</f>
        <v>#N/A</v>
      </c>
      <c r="T544" t="e">
        <f>IF(Tabela3[[#This Row],[Income]]="&gt;50K",Tabela3[[#This Row],[education-num]],NA())</f>
        <v>#N/A</v>
      </c>
    </row>
    <row r="545" spans="1:20">
      <c r="A545">
        <v>544</v>
      </c>
      <c r="B545">
        <v>33</v>
      </c>
      <c r="C545" t="s">
        <v>54</v>
      </c>
      <c r="D545">
        <v>133876</v>
      </c>
      <c r="E545" t="s">
        <v>62</v>
      </c>
      <c r="F545">
        <v>9</v>
      </c>
      <c r="G545" t="s">
        <v>49</v>
      </c>
      <c r="H545" t="s">
        <v>50</v>
      </c>
      <c r="I545" t="s">
        <v>69</v>
      </c>
      <c r="J545" t="s">
        <v>39</v>
      </c>
      <c r="K545" t="s">
        <v>52</v>
      </c>
      <c r="L545">
        <v>0</v>
      </c>
      <c r="M545">
        <v>0</v>
      </c>
      <c r="N545">
        <v>40</v>
      </c>
      <c r="O545" t="s">
        <v>41</v>
      </c>
      <c r="P545" t="s">
        <v>42</v>
      </c>
      <c r="Q545">
        <f>IF(Tabela3[[#This Row],[Income]]="&lt;=50K",Tabela3[[#This Row],[Age]],NA())</f>
        <v>33</v>
      </c>
      <c r="R545">
        <f>IF(Tabela3[[#This Row],[Income]]="&lt;=50K",Tabela3[[#This Row],[education-num]],NA())</f>
        <v>9</v>
      </c>
      <c r="S545" t="e">
        <f>IF(Tabela3[[#This Row],[Income]]="&gt;50K",Tabela3[[#This Row],[Age]],NA())</f>
        <v>#N/A</v>
      </c>
      <c r="T545" t="e">
        <f>IF(Tabela3[[#This Row],[Income]]="&gt;50K",Tabela3[[#This Row],[education-num]],NA())</f>
        <v>#N/A</v>
      </c>
    </row>
    <row r="546" spans="1:20">
      <c r="A546">
        <v>545</v>
      </c>
      <c r="B546">
        <v>36</v>
      </c>
      <c r="C546" t="s">
        <v>59</v>
      </c>
      <c r="D546">
        <v>196348</v>
      </c>
      <c r="E546" t="s">
        <v>62</v>
      </c>
      <c r="F546">
        <v>9</v>
      </c>
      <c r="G546" t="s">
        <v>63</v>
      </c>
      <c r="H546" t="s">
        <v>80</v>
      </c>
      <c r="I546" t="s">
        <v>66</v>
      </c>
      <c r="J546" t="s">
        <v>39</v>
      </c>
      <c r="K546" t="s">
        <v>52</v>
      </c>
      <c r="L546">
        <v>0</v>
      </c>
      <c r="M546">
        <v>0</v>
      </c>
      <c r="N546">
        <v>60</v>
      </c>
      <c r="O546" t="s">
        <v>41</v>
      </c>
      <c r="P546" t="s">
        <v>53</v>
      </c>
      <c r="Q546" t="e">
        <f>IF(Tabela3[[#This Row],[Income]]="&lt;=50K",Tabela3[[#This Row],[Age]],NA())</f>
        <v>#N/A</v>
      </c>
      <c r="R546" t="e">
        <f>IF(Tabela3[[#This Row],[Income]]="&lt;=50K",Tabela3[[#This Row],[education-num]],NA())</f>
        <v>#N/A</v>
      </c>
      <c r="S546">
        <f>IF(Tabela3[[#This Row],[Income]]="&gt;50K",Tabela3[[#This Row],[Age]],NA())</f>
        <v>36</v>
      </c>
      <c r="T546">
        <f>IF(Tabela3[[#This Row],[Income]]="&gt;50K",Tabela3[[#This Row],[education-num]],NA())</f>
        <v>9</v>
      </c>
    </row>
    <row r="547" spans="1:20">
      <c r="A547">
        <v>546</v>
      </c>
      <c r="B547">
        <v>51</v>
      </c>
      <c r="C547" t="s">
        <v>34</v>
      </c>
      <c r="D547">
        <v>123429</v>
      </c>
      <c r="E547" t="s">
        <v>43</v>
      </c>
      <c r="F547">
        <v>12</v>
      </c>
      <c r="G547" t="s">
        <v>49</v>
      </c>
      <c r="H547" t="s">
        <v>64</v>
      </c>
      <c r="I547" t="s">
        <v>45</v>
      </c>
      <c r="J547" t="s">
        <v>39</v>
      </c>
      <c r="K547" t="s">
        <v>52</v>
      </c>
      <c r="L547">
        <v>0</v>
      </c>
      <c r="M547">
        <v>0</v>
      </c>
      <c r="N547">
        <v>30</v>
      </c>
      <c r="O547" t="s">
        <v>41</v>
      </c>
      <c r="P547" t="s">
        <v>42</v>
      </c>
      <c r="Q547">
        <f>IF(Tabela3[[#This Row],[Income]]="&lt;=50K",Tabela3[[#This Row],[Age]],NA())</f>
        <v>51</v>
      </c>
      <c r="R547">
        <f>IF(Tabela3[[#This Row],[Income]]="&lt;=50K",Tabela3[[#This Row],[education-num]],NA())</f>
        <v>12</v>
      </c>
      <c r="S547" t="e">
        <f>IF(Tabela3[[#This Row],[Income]]="&gt;50K",Tabela3[[#This Row],[Age]],NA())</f>
        <v>#N/A</v>
      </c>
      <c r="T547" t="e">
        <f>IF(Tabela3[[#This Row],[Income]]="&gt;50K",Tabela3[[#This Row],[education-num]],NA())</f>
        <v>#N/A</v>
      </c>
    </row>
    <row r="548" spans="1:20">
      <c r="A548">
        <v>547</v>
      </c>
      <c r="B548">
        <v>27</v>
      </c>
      <c r="C548" t="s">
        <v>59</v>
      </c>
      <c r="D548">
        <v>271328</v>
      </c>
      <c r="E548" t="s">
        <v>60</v>
      </c>
      <c r="F548">
        <v>13</v>
      </c>
      <c r="G548" t="s">
        <v>36</v>
      </c>
      <c r="H548" t="s">
        <v>61</v>
      </c>
      <c r="I548" t="s">
        <v>45</v>
      </c>
      <c r="J548" t="s">
        <v>39</v>
      </c>
      <c r="K548" t="s">
        <v>52</v>
      </c>
      <c r="L548">
        <v>0</v>
      </c>
      <c r="M548">
        <v>0</v>
      </c>
      <c r="N548">
        <v>60</v>
      </c>
      <c r="O548" t="s">
        <v>41</v>
      </c>
      <c r="P548" t="s">
        <v>42</v>
      </c>
      <c r="Q548">
        <f>IF(Tabela3[[#This Row],[Income]]="&lt;=50K",Tabela3[[#This Row],[Age]],NA())</f>
        <v>27</v>
      </c>
      <c r="R548">
        <f>IF(Tabela3[[#This Row],[Income]]="&lt;=50K",Tabela3[[#This Row],[education-num]],NA())</f>
        <v>13</v>
      </c>
      <c r="S548" t="e">
        <f>IF(Tabela3[[#This Row],[Income]]="&gt;50K",Tabela3[[#This Row],[Age]],NA())</f>
        <v>#N/A</v>
      </c>
      <c r="T548" t="e">
        <f>IF(Tabela3[[#This Row],[Income]]="&gt;50K",Tabela3[[#This Row],[education-num]],NA())</f>
        <v>#N/A</v>
      </c>
    </row>
    <row r="549" spans="1:20">
      <c r="A549">
        <v>548</v>
      </c>
      <c r="B549">
        <v>47</v>
      </c>
      <c r="C549" t="s">
        <v>54</v>
      </c>
      <c r="D549">
        <v>93618</v>
      </c>
      <c r="E549" t="s">
        <v>46</v>
      </c>
      <c r="F549">
        <v>10</v>
      </c>
      <c r="G549" t="s">
        <v>49</v>
      </c>
      <c r="H549" t="s">
        <v>67</v>
      </c>
      <c r="I549" t="s">
        <v>45</v>
      </c>
      <c r="J549" t="s">
        <v>39</v>
      </c>
      <c r="K549" t="s">
        <v>40</v>
      </c>
      <c r="L549">
        <v>0</v>
      </c>
      <c r="M549">
        <v>0</v>
      </c>
      <c r="N549">
        <v>33</v>
      </c>
      <c r="O549" t="s">
        <v>41</v>
      </c>
      <c r="P549" t="s">
        <v>42</v>
      </c>
      <c r="Q549">
        <f>IF(Tabela3[[#This Row],[Income]]="&lt;=50K",Tabela3[[#This Row],[Age]],NA())</f>
        <v>47</v>
      </c>
      <c r="R549">
        <f>IF(Tabela3[[#This Row],[Income]]="&lt;=50K",Tabela3[[#This Row],[education-num]],NA())</f>
        <v>10</v>
      </c>
      <c r="S549" t="e">
        <f>IF(Tabela3[[#This Row],[Income]]="&gt;50K",Tabela3[[#This Row],[Age]],NA())</f>
        <v>#N/A</v>
      </c>
      <c r="T549" t="e">
        <f>IF(Tabela3[[#This Row],[Income]]="&gt;50K",Tabela3[[#This Row],[education-num]],NA())</f>
        <v>#N/A</v>
      </c>
    </row>
    <row r="550" spans="1:20">
      <c r="A550">
        <v>549</v>
      </c>
      <c r="B550">
        <v>26</v>
      </c>
      <c r="C550" t="s">
        <v>34</v>
      </c>
      <c r="D550">
        <v>39212</v>
      </c>
      <c r="E550" t="s">
        <v>62</v>
      </c>
      <c r="F550">
        <v>9</v>
      </c>
      <c r="G550" t="s">
        <v>63</v>
      </c>
      <c r="H550" t="s">
        <v>56</v>
      </c>
      <c r="I550" t="s">
        <v>66</v>
      </c>
      <c r="J550" t="s">
        <v>39</v>
      </c>
      <c r="K550" t="s">
        <v>52</v>
      </c>
      <c r="L550">
        <v>0</v>
      </c>
      <c r="M550">
        <v>0</v>
      </c>
      <c r="N550">
        <v>45</v>
      </c>
      <c r="O550" t="s">
        <v>41</v>
      </c>
      <c r="P550" t="s">
        <v>42</v>
      </c>
      <c r="Q550">
        <f>IF(Tabela3[[#This Row],[Income]]="&lt;=50K",Tabela3[[#This Row],[Age]],NA())</f>
        <v>26</v>
      </c>
      <c r="R550">
        <f>IF(Tabela3[[#This Row],[Income]]="&lt;=50K",Tabela3[[#This Row],[education-num]],NA())</f>
        <v>9</v>
      </c>
      <c r="S550" t="e">
        <f>IF(Tabela3[[#This Row],[Income]]="&gt;50K",Tabela3[[#This Row],[Age]],NA())</f>
        <v>#N/A</v>
      </c>
      <c r="T550" t="e">
        <f>IF(Tabela3[[#This Row],[Income]]="&gt;50K",Tabela3[[#This Row],[education-num]],NA())</f>
        <v>#N/A</v>
      </c>
    </row>
    <row r="551" spans="1:20">
      <c r="A551">
        <v>550</v>
      </c>
      <c r="B551">
        <v>49</v>
      </c>
      <c r="C551" t="s">
        <v>34</v>
      </c>
      <c r="D551">
        <v>168211</v>
      </c>
      <c r="E551" t="s">
        <v>62</v>
      </c>
      <c r="F551">
        <v>9</v>
      </c>
      <c r="G551" t="s">
        <v>63</v>
      </c>
      <c r="H551" t="s">
        <v>89</v>
      </c>
      <c r="I551" t="s">
        <v>66</v>
      </c>
      <c r="J551" t="s">
        <v>39</v>
      </c>
      <c r="K551" t="s">
        <v>52</v>
      </c>
      <c r="L551">
        <v>0</v>
      </c>
      <c r="M551">
        <v>0</v>
      </c>
      <c r="N551">
        <v>40</v>
      </c>
      <c r="O551" t="s">
        <v>41</v>
      </c>
      <c r="P551" t="s">
        <v>53</v>
      </c>
      <c r="Q551" t="e">
        <f>IF(Tabela3[[#This Row],[Income]]="&lt;=50K",Tabela3[[#This Row],[Age]],NA())</f>
        <v>#N/A</v>
      </c>
      <c r="R551" t="e">
        <f>IF(Tabela3[[#This Row],[Income]]="&lt;=50K",Tabela3[[#This Row],[education-num]],NA())</f>
        <v>#N/A</v>
      </c>
      <c r="S551">
        <f>IF(Tabela3[[#This Row],[Income]]="&gt;50K",Tabela3[[#This Row],[Age]],NA())</f>
        <v>49</v>
      </c>
      <c r="T551">
        <f>IF(Tabela3[[#This Row],[Income]]="&gt;50K",Tabela3[[#This Row],[education-num]],NA())</f>
        <v>9</v>
      </c>
    </row>
    <row r="552" spans="1:20">
      <c r="A552">
        <v>551</v>
      </c>
      <c r="B552">
        <v>25</v>
      </c>
      <c r="C552" t="s">
        <v>34</v>
      </c>
      <c r="D552">
        <v>104193</v>
      </c>
      <c r="E552" t="s">
        <v>62</v>
      </c>
      <c r="F552">
        <v>9</v>
      </c>
      <c r="G552" t="s">
        <v>36</v>
      </c>
      <c r="H552" t="s">
        <v>37</v>
      </c>
      <c r="I552" t="s">
        <v>38</v>
      </c>
      <c r="J552" t="s">
        <v>39</v>
      </c>
      <c r="K552" t="s">
        <v>40</v>
      </c>
      <c r="L552">
        <v>114</v>
      </c>
      <c r="M552">
        <v>0</v>
      </c>
      <c r="N552">
        <v>40</v>
      </c>
      <c r="O552" t="s">
        <v>41</v>
      </c>
      <c r="P552" t="s">
        <v>42</v>
      </c>
      <c r="Q552">
        <f>IF(Tabela3[[#This Row],[Income]]="&lt;=50K",Tabela3[[#This Row],[Age]],NA())</f>
        <v>25</v>
      </c>
      <c r="R552">
        <f>IF(Tabela3[[#This Row],[Income]]="&lt;=50K",Tabela3[[#This Row],[education-num]],NA())</f>
        <v>9</v>
      </c>
      <c r="S552" t="e">
        <f>IF(Tabela3[[#This Row],[Income]]="&gt;50K",Tabela3[[#This Row],[Age]],NA())</f>
        <v>#N/A</v>
      </c>
      <c r="T552" t="e">
        <f>IF(Tabela3[[#This Row],[Income]]="&gt;50K",Tabela3[[#This Row],[education-num]],NA())</f>
        <v>#N/A</v>
      </c>
    </row>
    <row r="553" spans="1:20">
      <c r="A553">
        <v>552</v>
      </c>
      <c r="B553">
        <v>62</v>
      </c>
      <c r="C553" t="s">
        <v>59</v>
      </c>
      <c r="D553">
        <v>202056</v>
      </c>
      <c r="E553" t="s">
        <v>60</v>
      </c>
      <c r="F553">
        <v>13</v>
      </c>
      <c r="G553" t="s">
        <v>49</v>
      </c>
      <c r="H553" t="s">
        <v>61</v>
      </c>
      <c r="I553" t="s">
        <v>45</v>
      </c>
      <c r="J553" t="s">
        <v>39</v>
      </c>
      <c r="K553" t="s">
        <v>52</v>
      </c>
      <c r="L553">
        <v>14084</v>
      </c>
      <c r="M553">
        <v>0</v>
      </c>
      <c r="N553">
        <v>40</v>
      </c>
      <c r="O553" t="s">
        <v>41</v>
      </c>
      <c r="P553" t="s">
        <v>53</v>
      </c>
      <c r="Q553" t="e">
        <f>IF(Tabela3[[#This Row],[Income]]="&lt;=50K",Tabela3[[#This Row],[Age]],NA())</f>
        <v>#N/A</v>
      </c>
      <c r="R553" t="e">
        <f>IF(Tabela3[[#This Row],[Income]]="&lt;=50K",Tabela3[[#This Row],[education-num]],NA())</f>
        <v>#N/A</v>
      </c>
      <c r="S553">
        <f>IF(Tabela3[[#This Row],[Income]]="&gt;50K",Tabela3[[#This Row],[Age]],NA())</f>
        <v>62</v>
      </c>
      <c r="T553">
        <f>IF(Tabela3[[#This Row],[Income]]="&gt;50K",Tabela3[[#This Row],[education-num]],NA())</f>
        <v>13</v>
      </c>
    </row>
    <row r="554" spans="1:20">
      <c r="A554">
        <v>553</v>
      </c>
      <c r="B554">
        <v>59</v>
      </c>
      <c r="C554" t="s">
        <v>34</v>
      </c>
      <c r="D554">
        <v>189664</v>
      </c>
      <c r="E554" t="s">
        <v>46</v>
      </c>
      <c r="F554">
        <v>10</v>
      </c>
      <c r="G554" t="s">
        <v>63</v>
      </c>
      <c r="H554" t="s">
        <v>44</v>
      </c>
      <c r="I554" t="s">
        <v>66</v>
      </c>
      <c r="J554" t="s">
        <v>39</v>
      </c>
      <c r="K554" t="s">
        <v>52</v>
      </c>
      <c r="L554">
        <v>0</v>
      </c>
      <c r="M554">
        <v>0</v>
      </c>
      <c r="N554">
        <v>40</v>
      </c>
      <c r="O554" t="s">
        <v>41</v>
      </c>
      <c r="P554" t="s">
        <v>42</v>
      </c>
      <c r="Q554">
        <f>IF(Tabela3[[#This Row],[Income]]="&lt;=50K",Tabela3[[#This Row],[Age]],NA())</f>
        <v>59</v>
      </c>
      <c r="R554">
        <f>IF(Tabela3[[#This Row],[Income]]="&lt;=50K",Tabela3[[#This Row],[education-num]],NA())</f>
        <v>10</v>
      </c>
      <c r="S554" t="e">
        <f>IF(Tabela3[[#This Row],[Income]]="&gt;50K",Tabela3[[#This Row],[Age]],NA())</f>
        <v>#N/A</v>
      </c>
      <c r="T554" t="e">
        <f>IF(Tabela3[[#This Row],[Income]]="&gt;50K",Tabela3[[#This Row],[education-num]],NA())</f>
        <v>#N/A</v>
      </c>
    </row>
    <row r="555" spans="1:20">
      <c r="A555">
        <v>554</v>
      </c>
      <c r="B555">
        <v>45</v>
      </c>
      <c r="C555" t="s">
        <v>34</v>
      </c>
      <c r="D555">
        <v>262802</v>
      </c>
      <c r="E555" t="s">
        <v>60</v>
      </c>
      <c r="F555">
        <v>13</v>
      </c>
      <c r="G555" t="s">
        <v>49</v>
      </c>
      <c r="H555" t="s">
        <v>80</v>
      </c>
      <c r="I555" t="s">
        <v>69</v>
      </c>
      <c r="J555" t="s">
        <v>39</v>
      </c>
      <c r="K555" t="s">
        <v>40</v>
      </c>
      <c r="L555">
        <v>0</v>
      </c>
      <c r="M555">
        <v>0</v>
      </c>
      <c r="N555">
        <v>40</v>
      </c>
      <c r="O555" t="s">
        <v>41</v>
      </c>
      <c r="P555" t="s">
        <v>42</v>
      </c>
      <c r="Q555">
        <f>IF(Tabela3[[#This Row],[Income]]="&lt;=50K",Tabela3[[#This Row],[Age]],NA())</f>
        <v>45</v>
      </c>
      <c r="R555">
        <f>IF(Tabela3[[#This Row],[Income]]="&lt;=50K",Tabela3[[#This Row],[education-num]],NA())</f>
        <v>13</v>
      </c>
      <c r="S555" t="e">
        <f>IF(Tabela3[[#This Row],[Income]]="&gt;50K",Tabela3[[#This Row],[Age]],NA())</f>
        <v>#N/A</v>
      </c>
      <c r="T555" t="e">
        <f>IF(Tabela3[[#This Row],[Income]]="&gt;50K",Tabela3[[#This Row],[education-num]],NA())</f>
        <v>#N/A</v>
      </c>
    </row>
    <row r="556" spans="1:20">
      <c r="A556">
        <v>555</v>
      </c>
      <c r="B556">
        <v>43</v>
      </c>
      <c r="C556" t="s">
        <v>34</v>
      </c>
      <c r="D556">
        <v>219424</v>
      </c>
      <c r="E556" t="s">
        <v>60</v>
      </c>
      <c r="F556">
        <v>13</v>
      </c>
      <c r="G556" t="s">
        <v>36</v>
      </c>
      <c r="H556" t="s">
        <v>80</v>
      </c>
      <c r="I556" t="s">
        <v>45</v>
      </c>
      <c r="J556" t="s">
        <v>57</v>
      </c>
      <c r="K556" t="s">
        <v>40</v>
      </c>
      <c r="L556">
        <v>0</v>
      </c>
      <c r="M556">
        <v>0</v>
      </c>
      <c r="N556">
        <v>50</v>
      </c>
      <c r="O556" t="s">
        <v>41</v>
      </c>
      <c r="P556" t="s">
        <v>53</v>
      </c>
      <c r="Q556" t="e">
        <f>IF(Tabela3[[#This Row],[Income]]="&lt;=50K",Tabela3[[#This Row],[Age]],NA())</f>
        <v>#N/A</v>
      </c>
      <c r="R556" t="e">
        <f>IF(Tabela3[[#This Row],[Income]]="&lt;=50K",Tabela3[[#This Row],[education-num]],NA())</f>
        <v>#N/A</v>
      </c>
      <c r="S556">
        <f>IF(Tabela3[[#This Row],[Income]]="&gt;50K",Tabela3[[#This Row],[Age]],NA())</f>
        <v>43</v>
      </c>
      <c r="T556">
        <f>IF(Tabela3[[#This Row],[Income]]="&gt;50K",Tabela3[[#This Row],[education-num]],NA())</f>
        <v>13</v>
      </c>
    </row>
    <row r="557" spans="1:20">
      <c r="A557">
        <v>556</v>
      </c>
      <c r="B557">
        <v>36</v>
      </c>
      <c r="C557" t="s">
        <v>83</v>
      </c>
      <c r="D557">
        <v>184456</v>
      </c>
      <c r="E557" t="s">
        <v>60</v>
      </c>
      <c r="F557">
        <v>13</v>
      </c>
      <c r="G557" t="s">
        <v>36</v>
      </c>
      <c r="H557" t="s">
        <v>64</v>
      </c>
      <c r="I557" t="s">
        <v>45</v>
      </c>
      <c r="J557" t="s">
        <v>39</v>
      </c>
      <c r="K557" t="s">
        <v>52</v>
      </c>
      <c r="L557">
        <v>27828</v>
      </c>
      <c r="M557">
        <v>0</v>
      </c>
      <c r="N557">
        <v>55</v>
      </c>
      <c r="O557" t="s">
        <v>41</v>
      </c>
      <c r="P557" t="s">
        <v>53</v>
      </c>
      <c r="Q557" t="e">
        <f>IF(Tabela3[[#This Row],[Income]]="&lt;=50K",Tabela3[[#This Row],[Age]],NA())</f>
        <v>#N/A</v>
      </c>
      <c r="R557" t="e">
        <f>IF(Tabela3[[#This Row],[Income]]="&lt;=50K",Tabela3[[#This Row],[education-num]],NA())</f>
        <v>#N/A</v>
      </c>
      <c r="S557">
        <f>IF(Tabela3[[#This Row],[Income]]="&gt;50K",Tabela3[[#This Row],[Age]],NA())</f>
        <v>36</v>
      </c>
      <c r="T557">
        <f>IF(Tabela3[[#This Row],[Income]]="&gt;50K",Tabela3[[#This Row],[education-num]],NA())</f>
        <v>13</v>
      </c>
    </row>
    <row r="558" spans="1:20">
      <c r="A558">
        <v>557</v>
      </c>
      <c r="B558">
        <v>49</v>
      </c>
      <c r="C558" t="s">
        <v>34</v>
      </c>
      <c r="D558">
        <v>207677</v>
      </c>
      <c r="E558" t="s">
        <v>91</v>
      </c>
      <c r="F558">
        <v>4</v>
      </c>
      <c r="G558" t="s">
        <v>49</v>
      </c>
      <c r="H558" t="s">
        <v>50</v>
      </c>
      <c r="I558" t="s">
        <v>45</v>
      </c>
      <c r="J558" t="s">
        <v>39</v>
      </c>
      <c r="K558" t="s">
        <v>52</v>
      </c>
      <c r="L558">
        <v>0</v>
      </c>
      <c r="M558">
        <v>0</v>
      </c>
      <c r="N558">
        <v>70</v>
      </c>
      <c r="O558" t="s">
        <v>41</v>
      </c>
      <c r="P558" t="s">
        <v>42</v>
      </c>
      <c r="Q558">
        <f>IF(Tabela3[[#This Row],[Income]]="&lt;=50K",Tabela3[[#This Row],[Age]],NA())</f>
        <v>49</v>
      </c>
      <c r="R558">
        <f>IF(Tabela3[[#This Row],[Income]]="&lt;=50K",Tabela3[[#This Row],[education-num]],NA())</f>
        <v>4</v>
      </c>
      <c r="S558" t="e">
        <f>IF(Tabela3[[#This Row],[Income]]="&gt;50K",Tabela3[[#This Row],[Age]],NA())</f>
        <v>#N/A</v>
      </c>
      <c r="T558" t="e">
        <f>IF(Tabela3[[#This Row],[Income]]="&gt;50K",Tabela3[[#This Row],[education-num]],NA())</f>
        <v>#N/A</v>
      </c>
    </row>
    <row r="559" spans="1:20">
      <c r="A559">
        <v>558</v>
      </c>
      <c r="B559">
        <v>61</v>
      </c>
      <c r="C559" t="s">
        <v>71</v>
      </c>
      <c r="D559">
        <v>60641</v>
      </c>
      <c r="E559" t="s">
        <v>60</v>
      </c>
      <c r="F559">
        <v>13</v>
      </c>
      <c r="G559" t="s">
        <v>36</v>
      </c>
      <c r="H559" t="s">
        <v>71</v>
      </c>
      <c r="I559" t="s">
        <v>45</v>
      </c>
      <c r="J559" t="s">
        <v>39</v>
      </c>
      <c r="K559" t="s">
        <v>40</v>
      </c>
      <c r="L559">
        <v>0</v>
      </c>
      <c r="M559">
        <v>0</v>
      </c>
      <c r="N559">
        <v>45</v>
      </c>
      <c r="O559" t="s">
        <v>41</v>
      </c>
      <c r="P559" t="s">
        <v>42</v>
      </c>
      <c r="Q559">
        <f>IF(Tabela3[[#This Row],[Income]]="&lt;=50K",Tabela3[[#This Row],[Age]],NA())</f>
        <v>61</v>
      </c>
      <c r="R559">
        <f>IF(Tabela3[[#This Row],[Income]]="&lt;=50K",Tabela3[[#This Row],[education-num]],NA())</f>
        <v>13</v>
      </c>
      <c r="S559" t="e">
        <f>IF(Tabela3[[#This Row],[Income]]="&gt;50K",Tabela3[[#This Row],[Age]],NA())</f>
        <v>#N/A</v>
      </c>
      <c r="T559" t="e">
        <f>IF(Tabela3[[#This Row],[Income]]="&gt;50K",Tabela3[[#This Row],[education-num]],NA())</f>
        <v>#N/A</v>
      </c>
    </row>
    <row r="560" spans="1:20">
      <c r="A560">
        <v>559</v>
      </c>
      <c r="B560">
        <v>32</v>
      </c>
      <c r="C560" t="s">
        <v>54</v>
      </c>
      <c r="D560">
        <v>19302</v>
      </c>
      <c r="E560" t="s">
        <v>43</v>
      </c>
      <c r="F560">
        <v>12</v>
      </c>
      <c r="G560" t="s">
        <v>63</v>
      </c>
      <c r="H560" t="s">
        <v>89</v>
      </c>
      <c r="I560" t="s">
        <v>66</v>
      </c>
      <c r="J560" t="s">
        <v>39</v>
      </c>
      <c r="K560" t="s">
        <v>52</v>
      </c>
      <c r="L560">
        <v>0</v>
      </c>
      <c r="M560">
        <v>0</v>
      </c>
      <c r="N560">
        <v>56</v>
      </c>
      <c r="O560" t="s">
        <v>105</v>
      </c>
      <c r="P560" t="s">
        <v>53</v>
      </c>
      <c r="Q560" t="e">
        <f>IF(Tabela3[[#This Row],[Income]]="&lt;=50K",Tabela3[[#This Row],[Age]],NA())</f>
        <v>#N/A</v>
      </c>
      <c r="R560" t="e">
        <f>IF(Tabela3[[#This Row],[Income]]="&lt;=50K",Tabela3[[#This Row],[education-num]],NA())</f>
        <v>#N/A</v>
      </c>
      <c r="S560">
        <f>IF(Tabela3[[#This Row],[Income]]="&gt;50K",Tabela3[[#This Row],[Age]],NA())</f>
        <v>32</v>
      </c>
      <c r="T560">
        <f>IF(Tabela3[[#This Row],[Income]]="&gt;50K",Tabela3[[#This Row],[education-num]],NA())</f>
        <v>12</v>
      </c>
    </row>
    <row r="561" spans="1:20">
      <c r="A561">
        <v>560</v>
      </c>
      <c r="B561">
        <v>30</v>
      </c>
      <c r="C561" t="s">
        <v>34</v>
      </c>
      <c r="D561">
        <v>208668</v>
      </c>
      <c r="E561" t="s">
        <v>43</v>
      </c>
      <c r="F561">
        <v>12</v>
      </c>
      <c r="G561" t="s">
        <v>36</v>
      </c>
      <c r="H561" t="s">
        <v>61</v>
      </c>
      <c r="I561" t="s">
        <v>45</v>
      </c>
      <c r="J561" t="s">
        <v>57</v>
      </c>
      <c r="K561" t="s">
        <v>40</v>
      </c>
      <c r="L561">
        <v>0</v>
      </c>
      <c r="M561">
        <v>0</v>
      </c>
      <c r="N561">
        <v>25</v>
      </c>
      <c r="O561" t="s">
        <v>41</v>
      </c>
      <c r="P561" t="s">
        <v>42</v>
      </c>
      <c r="Q561">
        <f>IF(Tabela3[[#This Row],[Income]]="&lt;=50K",Tabela3[[#This Row],[Age]],NA())</f>
        <v>30</v>
      </c>
      <c r="R561">
        <f>IF(Tabela3[[#This Row],[Income]]="&lt;=50K",Tabela3[[#This Row],[education-num]],NA())</f>
        <v>12</v>
      </c>
      <c r="S561" t="e">
        <f>IF(Tabela3[[#This Row],[Income]]="&gt;50K",Tabela3[[#This Row],[Age]],NA())</f>
        <v>#N/A</v>
      </c>
      <c r="T561" t="e">
        <f>IF(Tabela3[[#This Row],[Income]]="&gt;50K",Tabela3[[#This Row],[education-num]],NA())</f>
        <v>#N/A</v>
      </c>
    </row>
    <row r="562" spans="1:20">
      <c r="A562">
        <v>561</v>
      </c>
      <c r="B562">
        <v>22</v>
      </c>
      <c r="C562" t="s">
        <v>34</v>
      </c>
      <c r="D562">
        <v>500720</v>
      </c>
      <c r="E562" t="s">
        <v>62</v>
      </c>
      <c r="F562">
        <v>9</v>
      </c>
      <c r="G562" t="s">
        <v>36</v>
      </c>
      <c r="H562" t="s">
        <v>67</v>
      </c>
      <c r="I562" t="s">
        <v>38</v>
      </c>
      <c r="J562" t="s">
        <v>39</v>
      </c>
      <c r="K562" t="s">
        <v>40</v>
      </c>
      <c r="L562">
        <v>0</v>
      </c>
      <c r="M562">
        <v>0</v>
      </c>
      <c r="N562">
        <v>40</v>
      </c>
      <c r="O562" t="s">
        <v>88</v>
      </c>
      <c r="P562" t="s">
        <v>42</v>
      </c>
      <c r="Q562">
        <f>IF(Tabela3[[#This Row],[Income]]="&lt;=50K",Tabela3[[#This Row],[Age]],NA())</f>
        <v>22</v>
      </c>
      <c r="R562">
        <f>IF(Tabela3[[#This Row],[Income]]="&lt;=50K",Tabela3[[#This Row],[education-num]],NA())</f>
        <v>9</v>
      </c>
      <c r="S562" t="e">
        <f>IF(Tabela3[[#This Row],[Income]]="&gt;50K",Tabela3[[#This Row],[Age]],NA())</f>
        <v>#N/A</v>
      </c>
      <c r="T562" t="e">
        <f>IF(Tabela3[[#This Row],[Income]]="&gt;50K",Tabela3[[#This Row],[education-num]],NA())</f>
        <v>#N/A</v>
      </c>
    </row>
    <row r="563" spans="1:20">
      <c r="A563">
        <v>562</v>
      </c>
      <c r="B563">
        <v>41</v>
      </c>
      <c r="C563" t="s">
        <v>34</v>
      </c>
      <c r="D563">
        <v>222504</v>
      </c>
      <c r="E563" t="s">
        <v>84</v>
      </c>
      <c r="F563">
        <v>15</v>
      </c>
      <c r="G563" t="s">
        <v>49</v>
      </c>
      <c r="H563" t="s">
        <v>61</v>
      </c>
      <c r="I563" t="s">
        <v>69</v>
      </c>
      <c r="J563" t="s">
        <v>39</v>
      </c>
      <c r="K563" t="s">
        <v>40</v>
      </c>
      <c r="L563">
        <v>0</v>
      </c>
      <c r="M563">
        <v>0</v>
      </c>
      <c r="N563">
        <v>38</v>
      </c>
      <c r="O563" t="s">
        <v>41</v>
      </c>
      <c r="P563" t="s">
        <v>42</v>
      </c>
      <c r="Q563">
        <f>IF(Tabela3[[#This Row],[Income]]="&lt;=50K",Tabela3[[#This Row],[Age]],NA())</f>
        <v>41</v>
      </c>
      <c r="R563">
        <f>IF(Tabela3[[#This Row],[Income]]="&lt;=50K",Tabela3[[#This Row],[education-num]],NA())</f>
        <v>15</v>
      </c>
      <c r="S563" t="e">
        <f>IF(Tabela3[[#This Row],[Income]]="&gt;50K",Tabela3[[#This Row],[Age]],NA())</f>
        <v>#N/A</v>
      </c>
      <c r="T563" t="e">
        <f>IF(Tabela3[[#This Row],[Income]]="&gt;50K",Tabela3[[#This Row],[education-num]],NA())</f>
        <v>#N/A</v>
      </c>
    </row>
    <row r="564" spans="1:20">
      <c r="A564">
        <v>563</v>
      </c>
      <c r="B564">
        <v>60</v>
      </c>
      <c r="C564" t="s">
        <v>34</v>
      </c>
      <c r="D564">
        <v>320376</v>
      </c>
      <c r="E564" t="s">
        <v>91</v>
      </c>
      <c r="F564">
        <v>4</v>
      </c>
      <c r="G564" t="s">
        <v>63</v>
      </c>
      <c r="H564" t="s">
        <v>56</v>
      </c>
      <c r="I564" t="s">
        <v>65</v>
      </c>
      <c r="J564" t="s">
        <v>39</v>
      </c>
      <c r="K564" t="s">
        <v>40</v>
      </c>
      <c r="L564">
        <v>0</v>
      </c>
      <c r="M564">
        <v>0</v>
      </c>
      <c r="N564">
        <v>40</v>
      </c>
      <c r="O564" t="s">
        <v>41</v>
      </c>
      <c r="P564" t="s">
        <v>42</v>
      </c>
      <c r="Q564">
        <f>IF(Tabela3[[#This Row],[Income]]="&lt;=50K",Tabela3[[#This Row],[Age]],NA())</f>
        <v>60</v>
      </c>
      <c r="R564">
        <f>IF(Tabela3[[#This Row],[Income]]="&lt;=50K",Tabela3[[#This Row],[education-num]],NA())</f>
        <v>4</v>
      </c>
      <c r="S564" t="e">
        <f>IF(Tabela3[[#This Row],[Income]]="&gt;50K",Tabela3[[#This Row],[Age]],NA())</f>
        <v>#N/A</v>
      </c>
      <c r="T564" t="e">
        <f>IF(Tabela3[[#This Row],[Income]]="&gt;50K",Tabela3[[#This Row],[education-num]],NA())</f>
        <v>#N/A</v>
      </c>
    </row>
    <row r="565" spans="1:20">
      <c r="A565">
        <v>564</v>
      </c>
      <c r="B565">
        <v>28</v>
      </c>
      <c r="C565" t="s">
        <v>34</v>
      </c>
      <c r="D565">
        <v>148429</v>
      </c>
      <c r="E565" t="s">
        <v>62</v>
      </c>
      <c r="F565">
        <v>9</v>
      </c>
      <c r="G565" t="s">
        <v>63</v>
      </c>
      <c r="H565" t="s">
        <v>56</v>
      </c>
      <c r="I565" t="s">
        <v>66</v>
      </c>
      <c r="J565" t="s">
        <v>39</v>
      </c>
      <c r="K565" t="s">
        <v>52</v>
      </c>
      <c r="L565">
        <v>0</v>
      </c>
      <c r="M565">
        <v>0</v>
      </c>
      <c r="N565">
        <v>40</v>
      </c>
      <c r="O565" t="s">
        <v>41</v>
      </c>
      <c r="P565" t="s">
        <v>42</v>
      </c>
      <c r="Q565">
        <f>IF(Tabela3[[#This Row],[Income]]="&lt;=50K",Tabela3[[#This Row],[Age]],NA())</f>
        <v>28</v>
      </c>
      <c r="R565">
        <f>IF(Tabela3[[#This Row],[Income]]="&lt;=50K",Tabela3[[#This Row],[education-num]],NA())</f>
        <v>9</v>
      </c>
      <c r="S565" t="e">
        <f>IF(Tabela3[[#This Row],[Income]]="&gt;50K",Tabela3[[#This Row],[Age]],NA())</f>
        <v>#N/A</v>
      </c>
      <c r="T565" t="e">
        <f>IF(Tabela3[[#This Row],[Income]]="&gt;50K",Tabela3[[#This Row],[education-num]],NA())</f>
        <v>#N/A</v>
      </c>
    </row>
    <row r="566" spans="1:20">
      <c r="A566">
        <v>565</v>
      </c>
      <c r="B566">
        <v>66</v>
      </c>
      <c r="C566" t="s">
        <v>71</v>
      </c>
      <c r="D566">
        <v>175891</v>
      </c>
      <c r="E566" t="s">
        <v>98</v>
      </c>
      <c r="F566">
        <v>5</v>
      </c>
      <c r="G566" t="s">
        <v>63</v>
      </c>
      <c r="H566" t="s">
        <v>71</v>
      </c>
      <c r="I566" t="s">
        <v>66</v>
      </c>
      <c r="J566" t="s">
        <v>39</v>
      </c>
      <c r="K566" t="s">
        <v>52</v>
      </c>
      <c r="L566">
        <v>0</v>
      </c>
      <c r="M566">
        <v>0</v>
      </c>
      <c r="N566">
        <v>40</v>
      </c>
      <c r="O566" t="s">
        <v>41</v>
      </c>
      <c r="P566" t="s">
        <v>42</v>
      </c>
      <c r="Q566">
        <f>IF(Tabela3[[#This Row],[Income]]="&lt;=50K",Tabela3[[#This Row],[Age]],NA())</f>
        <v>66</v>
      </c>
      <c r="R566">
        <f>IF(Tabela3[[#This Row],[Income]]="&lt;=50K",Tabela3[[#This Row],[education-num]],NA())</f>
        <v>5</v>
      </c>
      <c r="S566" t="e">
        <f>IF(Tabela3[[#This Row],[Income]]="&gt;50K",Tabela3[[#This Row],[Age]],NA())</f>
        <v>#N/A</v>
      </c>
      <c r="T566" t="e">
        <f>IF(Tabela3[[#This Row],[Income]]="&gt;50K",Tabela3[[#This Row],[education-num]],NA())</f>
        <v>#N/A</v>
      </c>
    </row>
    <row r="567" spans="1:20">
      <c r="A567">
        <v>566</v>
      </c>
      <c r="B567">
        <v>51</v>
      </c>
      <c r="C567" t="s">
        <v>34</v>
      </c>
      <c r="D567">
        <v>128272</v>
      </c>
      <c r="E567" t="s">
        <v>46</v>
      </c>
      <c r="F567">
        <v>10</v>
      </c>
      <c r="G567" t="s">
        <v>63</v>
      </c>
      <c r="H567" t="s">
        <v>80</v>
      </c>
      <c r="I567" t="s">
        <v>66</v>
      </c>
      <c r="J567" t="s">
        <v>39</v>
      </c>
      <c r="K567" t="s">
        <v>52</v>
      </c>
      <c r="L567">
        <v>0</v>
      </c>
      <c r="M567">
        <v>0</v>
      </c>
      <c r="N567">
        <v>40</v>
      </c>
      <c r="O567" t="s">
        <v>41</v>
      </c>
      <c r="P567" t="s">
        <v>42</v>
      </c>
      <c r="Q567">
        <f>IF(Tabela3[[#This Row],[Income]]="&lt;=50K",Tabela3[[#This Row],[Age]],NA())</f>
        <v>51</v>
      </c>
      <c r="R567">
        <f>IF(Tabela3[[#This Row],[Income]]="&lt;=50K",Tabela3[[#This Row],[education-num]],NA())</f>
        <v>10</v>
      </c>
      <c r="S567" t="e">
        <f>IF(Tabela3[[#This Row],[Income]]="&gt;50K",Tabela3[[#This Row],[Age]],NA())</f>
        <v>#N/A</v>
      </c>
      <c r="T567" t="e">
        <f>IF(Tabela3[[#This Row],[Income]]="&gt;50K",Tabela3[[#This Row],[education-num]],NA())</f>
        <v>#N/A</v>
      </c>
    </row>
    <row r="568" spans="1:20">
      <c r="A568">
        <v>567</v>
      </c>
      <c r="B568">
        <v>46</v>
      </c>
      <c r="C568" t="s">
        <v>34</v>
      </c>
      <c r="D568">
        <v>216414</v>
      </c>
      <c r="E568" t="s">
        <v>78</v>
      </c>
      <c r="F568">
        <v>11</v>
      </c>
      <c r="G568" t="s">
        <v>90</v>
      </c>
      <c r="H568" t="s">
        <v>50</v>
      </c>
      <c r="I568" t="s">
        <v>69</v>
      </c>
      <c r="J568" t="s">
        <v>39</v>
      </c>
      <c r="K568" t="s">
        <v>52</v>
      </c>
      <c r="L568">
        <v>0</v>
      </c>
      <c r="M568">
        <v>0</v>
      </c>
      <c r="N568">
        <v>40</v>
      </c>
      <c r="O568" t="s">
        <v>41</v>
      </c>
      <c r="P568" t="s">
        <v>42</v>
      </c>
      <c r="Q568">
        <f>IF(Tabela3[[#This Row],[Income]]="&lt;=50K",Tabela3[[#This Row],[Age]],NA())</f>
        <v>46</v>
      </c>
      <c r="R568">
        <f>IF(Tabela3[[#This Row],[Income]]="&lt;=50K",Tabela3[[#This Row],[education-num]],NA())</f>
        <v>11</v>
      </c>
      <c r="S568" t="e">
        <f>IF(Tabela3[[#This Row],[Income]]="&gt;50K",Tabela3[[#This Row],[Age]],NA())</f>
        <v>#N/A</v>
      </c>
      <c r="T568" t="e">
        <f>IF(Tabela3[[#This Row],[Income]]="&gt;50K",Tabela3[[#This Row],[education-num]],NA())</f>
        <v>#N/A</v>
      </c>
    </row>
    <row r="569" spans="1:20">
      <c r="A569">
        <v>568</v>
      </c>
      <c r="B569">
        <v>29</v>
      </c>
      <c r="C569" t="s">
        <v>34</v>
      </c>
      <c r="D569">
        <v>144784</v>
      </c>
      <c r="E569" t="s">
        <v>62</v>
      </c>
      <c r="F569">
        <v>9</v>
      </c>
      <c r="G569" t="s">
        <v>36</v>
      </c>
      <c r="H569" t="s">
        <v>37</v>
      </c>
      <c r="I569" t="s">
        <v>45</v>
      </c>
      <c r="J569" t="s">
        <v>57</v>
      </c>
      <c r="K569" t="s">
        <v>40</v>
      </c>
      <c r="L569">
        <v>0</v>
      </c>
      <c r="M569">
        <v>0</v>
      </c>
      <c r="N569">
        <v>40</v>
      </c>
      <c r="O569" t="s">
        <v>41</v>
      </c>
      <c r="P569" t="s">
        <v>42</v>
      </c>
      <c r="Q569">
        <f>IF(Tabela3[[#This Row],[Income]]="&lt;=50K",Tabela3[[#This Row],[Age]],NA())</f>
        <v>29</v>
      </c>
      <c r="R569">
        <f>IF(Tabela3[[#This Row],[Income]]="&lt;=50K",Tabela3[[#This Row],[education-num]],NA())</f>
        <v>9</v>
      </c>
      <c r="S569" t="e">
        <f>IF(Tabela3[[#This Row],[Income]]="&gt;50K",Tabela3[[#This Row],[Age]],NA())</f>
        <v>#N/A</v>
      </c>
      <c r="T569" t="e">
        <f>IF(Tabela3[[#This Row],[Income]]="&gt;50K",Tabela3[[#This Row],[education-num]],NA())</f>
        <v>#N/A</v>
      </c>
    </row>
    <row r="570" spans="1:20">
      <c r="A570">
        <v>569</v>
      </c>
      <c r="B570">
        <v>32</v>
      </c>
      <c r="C570" t="s">
        <v>34</v>
      </c>
      <c r="D570">
        <v>116055</v>
      </c>
      <c r="E570" t="s">
        <v>62</v>
      </c>
      <c r="F570">
        <v>9</v>
      </c>
      <c r="G570" t="s">
        <v>36</v>
      </c>
      <c r="H570" t="s">
        <v>67</v>
      </c>
      <c r="I570" t="s">
        <v>69</v>
      </c>
      <c r="J570" t="s">
        <v>57</v>
      </c>
      <c r="K570" t="s">
        <v>40</v>
      </c>
      <c r="L570">
        <v>2977</v>
      </c>
      <c r="M570">
        <v>0</v>
      </c>
      <c r="N570">
        <v>35</v>
      </c>
      <c r="O570" t="s">
        <v>41</v>
      </c>
      <c r="P570" t="s">
        <v>42</v>
      </c>
      <c r="Q570">
        <f>IF(Tabela3[[#This Row],[Income]]="&lt;=50K",Tabela3[[#This Row],[Age]],NA())</f>
        <v>32</v>
      </c>
      <c r="R570">
        <f>IF(Tabela3[[#This Row],[Income]]="&lt;=50K",Tabela3[[#This Row],[education-num]],NA())</f>
        <v>9</v>
      </c>
      <c r="S570" t="e">
        <f>IF(Tabela3[[#This Row],[Income]]="&gt;50K",Tabela3[[#This Row],[Age]],NA())</f>
        <v>#N/A</v>
      </c>
      <c r="T570" t="e">
        <f>IF(Tabela3[[#This Row],[Income]]="&gt;50K",Tabela3[[#This Row],[education-num]],NA())</f>
        <v>#N/A</v>
      </c>
    </row>
    <row r="571" spans="1:20">
      <c r="A571">
        <v>570</v>
      </c>
      <c r="B571">
        <v>25</v>
      </c>
      <c r="C571" t="s">
        <v>34</v>
      </c>
      <c r="D571">
        <v>193787</v>
      </c>
      <c r="E571" t="s">
        <v>46</v>
      </c>
      <c r="F571">
        <v>10</v>
      </c>
      <c r="G571" t="s">
        <v>36</v>
      </c>
      <c r="H571" t="s">
        <v>56</v>
      </c>
      <c r="I571" t="s">
        <v>38</v>
      </c>
      <c r="J571" t="s">
        <v>39</v>
      </c>
      <c r="K571" t="s">
        <v>40</v>
      </c>
      <c r="L571">
        <v>0</v>
      </c>
      <c r="M571">
        <v>0</v>
      </c>
      <c r="N571">
        <v>50</v>
      </c>
      <c r="O571" t="s">
        <v>41</v>
      </c>
      <c r="P571" t="s">
        <v>42</v>
      </c>
      <c r="Q571">
        <f>IF(Tabela3[[#This Row],[Income]]="&lt;=50K",Tabela3[[#This Row],[Age]],NA())</f>
        <v>25</v>
      </c>
      <c r="R571">
        <f>IF(Tabela3[[#This Row],[Income]]="&lt;=50K",Tabela3[[#This Row],[education-num]],NA())</f>
        <v>10</v>
      </c>
      <c r="S571" t="e">
        <f>IF(Tabela3[[#This Row],[Income]]="&gt;50K",Tabela3[[#This Row],[Age]],NA())</f>
        <v>#N/A</v>
      </c>
      <c r="T571" t="e">
        <f>IF(Tabela3[[#This Row],[Income]]="&gt;50K",Tabela3[[#This Row],[education-num]],NA())</f>
        <v>#N/A</v>
      </c>
    </row>
    <row r="572" spans="1:20">
      <c r="A572">
        <v>571</v>
      </c>
      <c r="B572">
        <v>27</v>
      </c>
      <c r="C572" t="s">
        <v>34</v>
      </c>
      <c r="D572">
        <v>113635</v>
      </c>
      <c r="E572" t="s">
        <v>60</v>
      </c>
      <c r="F572">
        <v>13</v>
      </c>
      <c r="G572" t="s">
        <v>36</v>
      </c>
      <c r="H572" t="s">
        <v>37</v>
      </c>
      <c r="I572" t="s">
        <v>45</v>
      </c>
      <c r="J572" t="s">
        <v>39</v>
      </c>
      <c r="K572" t="s">
        <v>52</v>
      </c>
      <c r="L572">
        <v>0</v>
      </c>
      <c r="M572">
        <v>0</v>
      </c>
      <c r="N572">
        <v>35</v>
      </c>
      <c r="O572" t="s">
        <v>41</v>
      </c>
      <c r="P572" t="s">
        <v>42</v>
      </c>
      <c r="Q572">
        <f>IF(Tabela3[[#This Row],[Income]]="&lt;=50K",Tabela3[[#This Row],[Age]],NA())</f>
        <v>27</v>
      </c>
      <c r="R572">
        <f>IF(Tabela3[[#This Row],[Income]]="&lt;=50K",Tabela3[[#This Row],[education-num]],NA())</f>
        <v>13</v>
      </c>
      <c r="S572" t="e">
        <f>IF(Tabela3[[#This Row],[Income]]="&gt;50K",Tabela3[[#This Row],[Age]],NA())</f>
        <v>#N/A</v>
      </c>
      <c r="T572" t="e">
        <f>IF(Tabela3[[#This Row],[Income]]="&gt;50K",Tabela3[[#This Row],[education-num]],NA())</f>
        <v>#N/A</v>
      </c>
    </row>
    <row r="573" spans="1:20">
      <c r="A573">
        <v>572</v>
      </c>
      <c r="B573">
        <v>24</v>
      </c>
      <c r="C573" t="s">
        <v>34</v>
      </c>
      <c r="D573">
        <v>417668</v>
      </c>
      <c r="E573" t="s">
        <v>60</v>
      </c>
      <c r="F573">
        <v>13</v>
      </c>
      <c r="G573" t="s">
        <v>36</v>
      </c>
      <c r="H573" t="s">
        <v>61</v>
      </c>
      <c r="I573" t="s">
        <v>38</v>
      </c>
      <c r="J573" t="s">
        <v>39</v>
      </c>
      <c r="K573" t="s">
        <v>52</v>
      </c>
      <c r="L573">
        <v>0</v>
      </c>
      <c r="M573">
        <v>0</v>
      </c>
      <c r="N573">
        <v>30</v>
      </c>
      <c r="O573" t="s">
        <v>41</v>
      </c>
      <c r="P573" t="s">
        <v>42</v>
      </c>
      <c r="Q573">
        <f>IF(Tabela3[[#This Row],[Income]]="&lt;=50K",Tabela3[[#This Row],[Age]],NA())</f>
        <v>24</v>
      </c>
      <c r="R573">
        <f>IF(Tabela3[[#This Row],[Income]]="&lt;=50K",Tabela3[[#This Row],[education-num]],NA())</f>
        <v>13</v>
      </c>
      <c r="S573" t="e">
        <f>IF(Tabela3[[#This Row],[Income]]="&gt;50K",Tabela3[[#This Row],[Age]],NA())</f>
        <v>#N/A</v>
      </c>
      <c r="T573" t="e">
        <f>IF(Tabela3[[#This Row],[Income]]="&gt;50K",Tabela3[[#This Row],[education-num]],NA())</f>
        <v>#N/A</v>
      </c>
    </row>
    <row r="574" spans="1:20">
      <c r="A574">
        <v>573</v>
      </c>
      <c r="B574">
        <v>51</v>
      </c>
      <c r="C574" t="s">
        <v>34</v>
      </c>
      <c r="D574">
        <v>103529</v>
      </c>
      <c r="E574" t="s">
        <v>35</v>
      </c>
      <c r="F574">
        <v>7</v>
      </c>
      <c r="G574" t="s">
        <v>49</v>
      </c>
      <c r="H574" t="s">
        <v>37</v>
      </c>
      <c r="I574" t="s">
        <v>69</v>
      </c>
      <c r="J574" t="s">
        <v>57</v>
      </c>
      <c r="K574" t="s">
        <v>40</v>
      </c>
      <c r="L574">
        <v>0</v>
      </c>
      <c r="M574">
        <v>0</v>
      </c>
      <c r="N574">
        <v>30</v>
      </c>
      <c r="O574" t="s">
        <v>41</v>
      </c>
      <c r="P574" t="s">
        <v>42</v>
      </c>
      <c r="Q574">
        <f>IF(Tabela3[[#This Row],[Income]]="&lt;=50K",Tabela3[[#This Row],[Age]],NA())</f>
        <v>51</v>
      </c>
      <c r="R574">
        <f>IF(Tabela3[[#This Row],[Income]]="&lt;=50K",Tabela3[[#This Row],[education-num]],NA())</f>
        <v>7</v>
      </c>
      <c r="S574" t="e">
        <f>IF(Tabela3[[#This Row],[Income]]="&gt;50K",Tabela3[[#This Row],[Age]],NA())</f>
        <v>#N/A</v>
      </c>
      <c r="T574" t="e">
        <f>IF(Tabela3[[#This Row],[Income]]="&gt;50K",Tabela3[[#This Row],[education-num]],NA())</f>
        <v>#N/A</v>
      </c>
    </row>
    <row r="575" spans="1:20">
      <c r="A575">
        <v>574</v>
      </c>
      <c r="B575">
        <v>22</v>
      </c>
      <c r="C575" t="s">
        <v>34</v>
      </c>
      <c r="D575">
        <v>163911</v>
      </c>
      <c r="E575" t="s">
        <v>46</v>
      </c>
      <c r="F575">
        <v>10</v>
      </c>
      <c r="G575" t="s">
        <v>36</v>
      </c>
      <c r="H575" t="s">
        <v>67</v>
      </c>
      <c r="I575" t="s">
        <v>38</v>
      </c>
      <c r="J575" t="s">
        <v>39</v>
      </c>
      <c r="K575" t="s">
        <v>40</v>
      </c>
      <c r="L575">
        <v>0</v>
      </c>
      <c r="M575">
        <v>0</v>
      </c>
      <c r="N575">
        <v>20</v>
      </c>
      <c r="O575" t="s">
        <v>41</v>
      </c>
      <c r="P575" t="s">
        <v>42</v>
      </c>
      <c r="Q575">
        <f>IF(Tabela3[[#This Row],[Income]]="&lt;=50K",Tabela3[[#This Row],[Age]],NA())</f>
        <v>22</v>
      </c>
      <c r="R575">
        <f>IF(Tabela3[[#This Row],[Income]]="&lt;=50K",Tabela3[[#This Row],[education-num]],NA())</f>
        <v>10</v>
      </c>
      <c r="S575" t="e">
        <f>IF(Tabela3[[#This Row],[Income]]="&gt;50K",Tabela3[[#This Row],[Age]],NA())</f>
        <v>#N/A</v>
      </c>
      <c r="T575" t="e">
        <f>IF(Tabela3[[#This Row],[Income]]="&gt;50K",Tabela3[[#This Row],[education-num]],NA())</f>
        <v>#N/A</v>
      </c>
    </row>
    <row r="576" spans="1:20">
      <c r="A576">
        <v>575</v>
      </c>
      <c r="B576">
        <v>60</v>
      </c>
      <c r="C576" t="s">
        <v>54</v>
      </c>
      <c r="D576">
        <v>101110</v>
      </c>
      <c r="E576" t="s">
        <v>78</v>
      </c>
      <c r="F576">
        <v>11</v>
      </c>
      <c r="G576" t="s">
        <v>49</v>
      </c>
      <c r="H576" t="s">
        <v>61</v>
      </c>
      <c r="I576" t="s">
        <v>69</v>
      </c>
      <c r="J576" t="s">
        <v>39</v>
      </c>
      <c r="K576" t="s">
        <v>52</v>
      </c>
      <c r="L576">
        <v>0</v>
      </c>
      <c r="M576">
        <v>0</v>
      </c>
      <c r="N576">
        <v>40</v>
      </c>
      <c r="O576" t="s">
        <v>41</v>
      </c>
      <c r="P576" t="s">
        <v>53</v>
      </c>
      <c r="Q576" t="e">
        <f>IF(Tabela3[[#This Row],[Income]]="&lt;=50K",Tabela3[[#This Row],[Age]],NA())</f>
        <v>#N/A</v>
      </c>
      <c r="R576" t="e">
        <f>IF(Tabela3[[#This Row],[Income]]="&lt;=50K",Tabela3[[#This Row],[education-num]],NA())</f>
        <v>#N/A</v>
      </c>
      <c r="S576">
        <f>IF(Tabela3[[#This Row],[Income]]="&gt;50K",Tabela3[[#This Row],[Age]],NA())</f>
        <v>60</v>
      </c>
      <c r="T576">
        <f>IF(Tabela3[[#This Row],[Income]]="&gt;50K",Tabela3[[#This Row],[education-num]],NA())</f>
        <v>11</v>
      </c>
    </row>
    <row r="577" spans="1:20">
      <c r="A577">
        <v>576</v>
      </c>
      <c r="B577">
        <v>38</v>
      </c>
      <c r="C577" t="s">
        <v>54</v>
      </c>
      <c r="D577">
        <v>73715</v>
      </c>
      <c r="E577" t="s">
        <v>46</v>
      </c>
      <c r="F577">
        <v>10</v>
      </c>
      <c r="G577" t="s">
        <v>63</v>
      </c>
      <c r="H577" t="s">
        <v>89</v>
      </c>
      <c r="I577" t="s">
        <v>66</v>
      </c>
      <c r="J577" t="s">
        <v>39</v>
      </c>
      <c r="K577" t="s">
        <v>52</v>
      </c>
      <c r="L577">
        <v>0</v>
      </c>
      <c r="M577">
        <v>0</v>
      </c>
      <c r="N577">
        <v>60</v>
      </c>
      <c r="O577" t="s">
        <v>41</v>
      </c>
      <c r="P577" t="s">
        <v>53</v>
      </c>
      <c r="Q577" t="e">
        <f>IF(Tabela3[[#This Row],[Income]]="&lt;=50K",Tabela3[[#This Row],[Age]],NA())</f>
        <v>#N/A</v>
      </c>
      <c r="R577" t="e">
        <f>IF(Tabela3[[#This Row],[Income]]="&lt;=50K",Tabela3[[#This Row],[education-num]],NA())</f>
        <v>#N/A</v>
      </c>
      <c r="S577">
        <f>IF(Tabela3[[#This Row],[Income]]="&gt;50K",Tabela3[[#This Row],[Age]],NA())</f>
        <v>38</v>
      </c>
      <c r="T577">
        <f>IF(Tabela3[[#This Row],[Income]]="&gt;50K",Tabela3[[#This Row],[education-num]],NA())</f>
        <v>10</v>
      </c>
    </row>
    <row r="578" spans="1:20">
      <c r="A578">
        <v>577</v>
      </c>
      <c r="B578">
        <v>49</v>
      </c>
      <c r="C578" t="s">
        <v>34</v>
      </c>
      <c r="D578">
        <v>250733</v>
      </c>
      <c r="E578" t="s">
        <v>62</v>
      </c>
      <c r="F578">
        <v>9</v>
      </c>
      <c r="G578" t="s">
        <v>63</v>
      </c>
      <c r="H578" t="s">
        <v>50</v>
      </c>
      <c r="I578" t="s">
        <v>66</v>
      </c>
      <c r="J578" t="s">
        <v>39</v>
      </c>
      <c r="K578" t="s">
        <v>52</v>
      </c>
      <c r="L578">
        <v>0</v>
      </c>
      <c r="M578">
        <v>0</v>
      </c>
      <c r="N578">
        <v>46</v>
      </c>
      <c r="O578" t="s">
        <v>41</v>
      </c>
      <c r="P578" t="s">
        <v>42</v>
      </c>
      <c r="Q578">
        <f>IF(Tabela3[[#This Row],[Income]]="&lt;=50K",Tabela3[[#This Row],[Age]],NA())</f>
        <v>49</v>
      </c>
      <c r="R578">
        <f>IF(Tabela3[[#This Row],[Income]]="&lt;=50K",Tabela3[[#This Row],[education-num]],NA())</f>
        <v>9</v>
      </c>
      <c r="S578" t="e">
        <f>IF(Tabela3[[#This Row],[Income]]="&gt;50K",Tabela3[[#This Row],[Age]],NA())</f>
        <v>#N/A</v>
      </c>
      <c r="T578" t="e">
        <f>IF(Tabela3[[#This Row],[Income]]="&gt;50K",Tabela3[[#This Row],[education-num]],NA())</f>
        <v>#N/A</v>
      </c>
    </row>
    <row r="579" spans="1:20">
      <c r="A579">
        <v>578</v>
      </c>
      <c r="B579">
        <v>50</v>
      </c>
      <c r="C579" t="s">
        <v>74</v>
      </c>
      <c r="D579">
        <v>42402</v>
      </c>
      <c r="E579" t="s">
        <v>84</v>
      </c>
      <c r="F579">
        <v>15</v>
      </c>
      <c r="G579" t="s">
        <v>63</v>
      </c>
      <c r="H579" t="s">
        <v>61</v>
      </c>
      <c r="I579" t="s">
        <v>66</v>
      </c>
      <c r="J579" t="s">
        <v>39</v>
      </c>
      <c r="K579" t="s">
        <v>52</v>
      </c>
      <c r="L579">
        <v>0</v>
      </c>
      <c r="M579">
        <v>2415</v>
      </c>
      <c r="N579">
        <v>30</v>
      </c>
      <c r="O579" t="s">
        <v>41</v>
      </c>
      <c r="P579" t="s">
        <v>53</v>
      </c>
      <c r="Q579" t="e">
        <f>IF(Tabela3[[#This Row],[Income]]="&lt;=50K",Tabela3[[#This Row],[Age]],NA())</f>
        <v>#N/A</v>
      </c>
      <c r="R579" t="e">
        <f>IF(Tabela3[[#This Row],[Income]]="&lt;=50K",Tabela3[[#This Row],[education-num]],NA())</f>
        <v>#N/A</v>
      </c>
      <c r="S579">
        <f>IF(Tabela3[[#This Row],[Income]]="&gt;50K",Tabela3[[#This Row],[Age]],NA())</f>
        <v>50</v>
      </c>
      <c r="T579">
        <f>IF(Tabela3[[#This Row],[Income]]="&gt;50K",Tabela3[[#This Row],[education-num]],NA())</f>
        <v>15</v>
      </c>
    </row>
    <row r="580" spans="1:20">
      <c r="A580">
        <v>579</v>
      </c>
      <c r="B580">
        <v>47</v>
      </c>
      <c r="C580" t="s">
        <v>34</v>
      </c>
      <c r="D580">
        <v>144351</v>
      </c>
      <c r="E580" t="s">
        <v>62</v>
      </c>
      <c r="F580">
        <v>9</v>
      </c>
      <c r="G580" t="s">
        <v>49</v>
      </c>
      <c r="H580" t="s">
        <v>50</v>
      </c>
      <c r="I580" t="s">
        <v>69</v>
      </c>
      <c r="J580" t="s">
        <v>39</v>
      </c>
      <c r="K580" t="s">
        <v>52</v>
      </c>
      <c r="L580">
        <v>0</v>
      </c>
      <c r="M580">
        <v>625</v>
      </c>
      <c r="N580">
        <v>40</v>
      </c>
      <c r="O580" t="s">
        <v>41</v>
      </c>
      <c r="P580" t="s">
        <v>42</v>
      </c>
      <c r="Q580">
        <f>IF(Tabela3[[#This Row],[Income]]="&lt;=50K",Tabela3[[#This Row],[Age]],NA())</f>
        <v>47</v>
      </c>
      <c r="R580">
        <f>IF(Tabela3[[#This Row],[Income]]="&lt;=50K",Tabela3[[#This Row],[education-num]],NA())</f>
        <v>9</v>
      </c>
      <c r="S580" t="e">
        <f>IF(Tabela3[[#This Row],[Income]]="&gt;50K",Tabela3[[#This Row],[Age]],NA())</f>
        <v>#N/A</v>
      </c>
      <c r="T580" t="e">
        <f>IF(Tabela3[[#This Row],[Income]]="&gt;50K",Tabela3[[#This Row],[education-num]],NA())</f>
        <v>#N/A</v>
      </c>
    </row>
    <row r="581" spans="1:20">
      <c r="A581">
        <v>580</v>
      </c>
      <c r="B581">
        <v>80</v>
      </c>
      <c r="C581" t="s">
        <v>74</v>
      </c>
      <c r="D581">
        <v>225892</v>
      </c>
      <c r="E581" t="s">
        <v>62</v>
      </c>
      <c r="F581">
        <v>9</v>
      </c>
      <c r="G581" t="s">
        <v>63</v>
      </c>
      <c r="H581" t="s">
        <v>37</v>
      </c>
      <c r="I581" t="s">
        <v>66</v>
      </c>
      <c r="J581" t="s">
        <v>39</v>
      </c>
      <c r="K581" t="s">
        <v>52</v>
      </c>
      <c r="L581">
        <v>1409</v>
      </c>
      <c r="M581">
        <v>0</v>
      </c>
      <c r="N581">
        <v>40</v>
      </c>
      <c r="O581" t="s">
        <v>41</v>
      </c>
      <c r="P581" t="s">
        <v>42</v>
      </c>
      <c r="Q581">
        <f>IF(Tabela3[[#This Row],[Income]]="&lt;=50K",Tabela3[[#This Row],[Age]],NA())</f>
        <v>80</v>
      </c>
      <c r="R581">
        <f>IF(Tabela3[[#This Row],[Income]]="&lt;=50K",Tabela3[[#This Row],[education-num]],NA())</f>
        <v>9</v>
      </c>
      <c r="S581" t="e">
        <f>IF(Tabela3[[#This Row],[Income]]="&gt;50K",Tabela3[[#This Row],[Age]],NA())</f>
        <v>#N/A</v>
      </c>
      <c r="T581" t="e">
        <f>IF(Tabela3[[#This Row],[Income]]="&gt;50K",Tabela3[[#This Row],[education-num]],NA())</f>
        <v>#N/A</v>
      </c>
    </row>
    <row r="582" spans="1:20">
      <c r="A582">
        <v>581</v>
      </c>
      <c r="B582">
        <v>45</v>
      </c>
      <c r="C582" t="s">
        <v>34</v>
      </c>
      <c r="D582">
        <v>184277</v>
      </c>
      <c r="E582" t="s">
        <v>78</v>
      </c>
      <c r="F582">
        <v>11</v>
      </c>
      <c r="G582" t="s">
        <v>49</v>
      </c>
      <c r="H582" t="s">
        <v>67</v>
      </c>
      <c r="I582" t="s">
        <v>69</v>
      </c>
      <c r="J582" t="s">
        <v>39</v>
      </c>
      <c r="K582" t="s">
        <v>40</v>
      </c>
      <c r="L582">
        <v>0</v>
      </c>
      <c r="M582">
        <v>0</v>
      </c>
      <c r="N582">
        <v>55</v>
      </c>
      <c r="O582" t="s">
        <v>41</v>
      </c>
      <c r="P582" t="s">
        <v>53</v>
      </c>
      <c r="Q582" t="e">
        <f>IF(Tabela3[[#This Row],[Income]]="&lt;=50K",Tabela3[[#This Row],[Age]],NA())</f>
        <v>#N/A</v>
      </c>
      <c r="R582" t="e">
        <f>IF(Tabela3[[#This Row],[Income]]="&lt;=50K",Tabela3[[#This Row],[education-num]],NA())</f>
        <v>#N/A</v>
      </c>
      <c r="S582">
        <f>IF(Tabela3[[#This Row],[Income]]="&gt;50K",Tabela3[[#This Row],[Age]],NA())</f>
        <v>45</v>
      </c>
      <c r="T582">
        <f>IF(Tabela3[[#This Row],[Income]]="&gt;50K",Tabela3[[#This Row],[education-num]],NA())</f>
        <v>11</v>
      </c>
    </row>
    <row r="583" spans="1:20">
      <c r="A583">
        <v>582</v>
      </c>
      <c r="B583">
        <v>29</v>
      </c>
      <c r="C583" t="s">
        <v>34</v>
      </c>
      <c r="D583">
        <v>48895</v>
      </c>
      <c r="E583" t="s">
        <v>62</v>
      </c>
      <c r="F583">
        <v>9</v>
      </c>
      <c r="G583" t="s">
        <v>36</v>
      </c>
      <c r="H583" t="s">
        <v>50</v>
      </c>
      <c r="I583" t="s">
        <v>45</v>
      </c>
      <c r="J583" t="s">
        <v>39</v>
      </c>
      <c r="K583" t="s">
        <v>52</v>
      </c>
      <c r="L583">
        <v>0</v>
      </c>
      <c r="M583">
        <v>0</v>
      </c>
      <c r="N583">
        <v>50</v>
      </c>
      <c r="O583" t="s">
        <v>41</v>
      </c>
      <c r="P583" t="s">
        <v>42</v>
      </c>
      <c r="Q583">
        <f>IF(Tabela3[[#This Row],[Income]]="&lt;=50K",Tabela3[[#This Row],[Age]],NA())</f>
        <v>29</v>
      </c>
      <c r="R583">
        <f>IF(Tabela3[[#This Row],[Income]]="&lt;=50K",Tabela3[[#This Row],[education-num]],NA())</f>
        <v>9</v>
      </c>
      <c r="S583" t="e">
        <f>IF(Tabela3[[#This Row],[Income]]="&gt;50K",Tabela3[[#This Row],[Age]],NA())</f>
        <v>#N/A</v>
      </c>
      <c r="T583" t="e">
        <f>IF(Tabela3[[#This Row],[Income]]="&gt;50K",Tabela3[[#This Row],[education-num]],NA())</f>
        <v>#N/A</v>
      </c>
    </row>
    <row r="584" spans="1:20">
      <c r="A584">
        <v>583</v>
      </c>
      <c r="B584">
        <v>20</v>
      </c>
      <c r="C584" t="s">
        <v>34</v>
      </c>
      <c r="D584">
        <v>375698</v>
      </c>
      <c r="E584" t="s">
        <v>46</v>
      </c>
      <c r="F584">
        <v>10</v>
      </c>
      <c r="G584" t="s">
        <v>36</v>
      </c>
      <c r="H584" t="s">
        <v>67</v>
      </c>
      <c r="I584" t="s">
        <v>38</v>
      </c>
      <c r="J584" t="s">
        <v>39</v>
      </c>
      <c r="K584" t="s">
        <v>40</v>
      </c>
      <c r="L584">
        <v>0</v>
      </c>
      <c r="M584">
        <v>0</v>
      </c>
      <c r="N584">
        <v>15</v>
      </c>
      <c r="O584" t="s">
        <v>41</v>
      </c>
      <c r="P584" t="s">
        <v>42</v>
      </c>
      <c r="Q584">
        <f>IF(Tabela3[[#This Row],[Income]]="&lt;=50K",Tabela3[[#This Row],[Age]],NA())</f>
        <v>20</v>
      </c>
      <c r="R584">
        <f>IF(Tabela3[[#This Row],[Income]]="&lt;=50K",Tabela3[[#This Row],[education-num]],NA())</f>
        <v>10</v>
      </c>
      <c r="S584" t="e">
        <f>IF(Tabela3[[#This Row],[Income]]="&gt;50K",Tabela3[[#This Row],[Age]],NA())</f>
        <v>#N/A</v>
      </c>
      <c r="T584" t="e">
        <f>IF(Tabela3[[#This Row],[Income]]="&gt;50K",Tabela3[[#This Row],[education-num]],NA())</f>
        <v>#N/A</v>
      </c>
    </row>
    <row r="585" spans="1:20">
      <c r="A585">
        <v>584</v>
      </c>
      <c r="B585">
        <v>39</v>
      </c>
      <c r="C585" t="s">
        <v>75</v>
      </c>
      <c r="D585">
        <v>184964</v>
      </c>
      <c r="E585" t="s">
        <v>46</v>
      </c>
      <c r="F585">
        <v>10</v>
      </c>
      <c r="G585" t="s">
        <v>49</v>
      </c>
      <c r="H585" t="s">
        <v>67</v>
      </c>
      <c r="I585" t="s">
        <v>45</v>
      </c>
      <c r="J585" t="s">
        <v>39</v>
      </c>
      <c r="K585" t="s">
        <v>52</v>
      </c>
      <c r="L585">
        <v>0</v>
      </c>
      <c r="M585">
        <v>0</v>
      </c>
      <c r="N585">
        <v>40</v>
      </c>
      <c r="O585" t="s">
        <v>41</v>
      </c>
      <c r="P585" t="s">
        <v>53</v>
      </c>
      <c r="Q585" t="e">
        <f>IF(Tabela3[[#This Row],[Income]]="&lt;=50K",Tabela3[[#This Row],[Age]],NA())</f>
        <v>#N/A</v>
      </c>
      <c r="R585" t="e">
        <f>IF(Tabela3[[#This Row],[Income]]="&lt;=50K",Tabela3[[#This Row],[education-num]],NA())</f>
        <v>#N/A</v>
      </c>
      <c r="S585">
        <f>IF(Tabela3[[#This Row],[Income]]="&gt;50K",Tabela3[[#This Row],[Age]],NA())</f>
        <v>39</v>
      </c>
      <c r="T585">
        <f>IF(Tabela3[[#This Row],[Income]]="&gt;50K",Tabela3[[#This Row],[education-num]],NA())</f>
        <v>10</v>
      </c>
    </row>
    <row r="586" spans="1:20">
      <c r="A586">
        <v>585</v>
      </c>
      <c r="B586">
        <v>28</v>
      </c>
      <c r="C586" t="s">
        <v>34</v>
      </c>
      <c r="D586">
        <v>215211</v>
      </c>
      <c r="E586" t="s">
        <v>62</v>
      </c>
      <c r="F586">
        <v>9</v>
      </c>
      <c r="G586" t="s">
        <v>63</v>
      </c>
      <c r="H586" t="s">
        <v>44</v>
      </c>
      <c r="I586" t="s">
        <v>66</v>
      </c>
      <c r="J586" t="s">
        <v>39</v>
      </c>
      <c r="K586" t="s">
        <v>52</v>
      </c>
      <c r="L586">
        <v>0</v>
      </c>
      <c r="M586">
        <v>0</v>
      </c>
      <c r="N586">
        <v>50</v>
      </c>
      <c r="O586" t="s">
        <v>41</v>
      </c>
      <c r="P586" t="s">
        <v>42</v>
      </c>
      <c r="Q586">
        <f>IF(Tabela3[[#This Row],[Income]]="&lt;=50K",Tabela3[[#This Row],[Age]],NA())</f>
        <v>28</v>
      </c>
      <c r="R586">
        <f>IF(Tabela3[[#This Row],[Income]]="&lt;=50K",Tabela3[[#This Row],[education-num]],NA())</f>
        <v>9</v>
      </c>
      <c r="S586" t="e">
        <f>IF(Tabela3[[#This Row],[Income]]="&gt;50K",Tabela3[[#This Row],[Age]],NA())</f>
        <v>#N/A</v>
      </c>
      <c r="T586" t="e">
        <f>IF(Tabela3[[#This Row],[Income]]="&gt;50K",Tabela3[[#This Row],[education-num]],NA())</f>
        <v>#N/A</v>
      </c>
    </row>
    <row r="587" spans="1:20">
      <c r="A587">
        <v>586</v>
      </c>
      <c r="B587">
        <v>32</v>
      </c>
      <c r="C587" t="s">
        <v>34</v>
      </c>
      <c r="D587">
        <v>101352</v>
      </c>
      <c r="E587" t="s">
        <v>46</v>
      </c>
      <c r="F587">
        <v>10</v>
      </c>
      <c r="G587" t="s">
        <v>63</v>
      </c>
      <c r="H587" t="s">
        <v>64</v>
      </c>
      <c r="I587" t="s">
        <v>65</v>
      </c>
      <c r="J587" t="s">
        <v>39</v>
      </c>
      <c r="K587" t="s">
        <v>40</v>
      </c>
      <c r="L587">
        <v>0</v>
      </c>
      <c r="M587">
        <v>0</v>
      </c>
      <c r="N587">
        <v>32</v>
      </c>
      <c r="O587" t="s">
        <v>41</v>
      </c>
      <c r="P587" t="s">
        <v>53</v>
      </c>
      <c r="Q587" t="e">
        <f>IF(Tabela3[[#This Row],[Income]]="&lt;=50K",Tabela3[[#This Row],[Age]],NA())</f>
        <v>#N/A</v>
      </c>
      <c r="R587" t="e">
        <f>IF(Tabela3[[#This Row],[Income]]="&lt;=50K",Tabela3[[#This Row],[education-num]],NA())</f>
        <v>#N/A</v>
      </c>
      <c r="S587">
        <f>IF(Tabela3[[#This Row],[Income]]="&gt;50K",Tabela3[[#This Row],[Age]],NA())</f>
        <v>32</v>
      </c>
      <c r="T587">
        <f>IF(Tabela3[[#This Row],[Income]]="&gt;50K",Tabela3[[#This Row],[education-num]],NA())</f>
        <v>10</v>
      </c>
    </row>
    <row r="588" spans="1:20">
      <c r="A588">
        <v>587</v>
      </c>
      <c r="B588">
        <v>41</v>
      </c>
      <c r="C588" t="s">
        <v>34</v>
      </c>
      <c r="D588">
        <v>100451</v>
      </c>
      <c r="E588" t="s">
        <v>62</v>
      </c>
      <c r="F588">
        <v>9</v>
      </c>
      <c r="G588" t="s">
        <v>63</v>
      </c>
      <c r="H588" t="s">
        <v>50</v>
      </c>
      <c r="I588" t="s">
        <v>66</v>
      </c>
      <c r="J588" t="s">
        <v>39</v>
      </c>
      <c r="K588" t="s">
        <v>52</v>
      </c>
      <c r="L588">
        <v>7688</v>
      </c>
      <c r="M588">
        <v>0</v>
      </c>
      <c r="N588">
        <v>38</v>
      </c>
      <c r="O588" t="s">
        <v>41</v>
      </c>
      <c r="P588" t="s">
        <v>53</v>
      </c>
      <c r="Q588" t="e">
        <f>IF(Tabela3[[#This Row],[Income]]="&lt;=50K",Tabela3[[#This Row],[Age]],NA())</f>
        <v>#N/A</v>
      </c>
      <c r="R588" t="e">
        <f>IF(Tabela3[[#This Row],[Income]]="&lt;=50K",Tabela3[[#This Row],[education-num]],NA())</f>
        <v>#N/A</v>
      </c>
      <c r="S588">
        <f>IF(Tabela3[[#This Row],[Income]]="&gt;50K",Tabela3[[#This Row],[Age]],NA())</f>
        <v>41</v>
      </c>
      <c r="T588">
        <f>IF(Tabela3[[#This Row],[Income]]="&gt;50K",Tabela3[[#This Row],[education-num]],NA())</f>
        <v>9</v>
      </c>
    </row>
    <row r="589" spans="1:20">
      <c r="A589">
        <v>588</v>
      </c>
      <c r="B589">
        <v>22</v>
      </c>
      <c r="C589" t="s">
        <v>34</v>
      </c>
      <c r="D589">
        <v>113703</v>
      </c>
      <c r="E589" t="s">
        <v>46</v>
      </c>
      <c r="F589">
        <v>10</v>
      </c>
      <c r="G589" t="s">
        <v>36</v>
      </c>
      <c r="H589" t="s">
        <v>44</v>
      </c>
      <c r="I589" t="s">
        <v>79</v>
      </c>
      <c r="J589" t="s">
        <v>39</v>
      </c>
      <c r="K589" t="s">
        <v>52</v>
      </c>
      <c r="L589">
        <v>0</v>
      </c>
      <c r="M589">
        <v>0</v>
      </c>
      <c r="N589">
        <v>20</v>
      </c>
      <c r="O589" t="s">
        <v>41</v>
      </c>
      <c r="P589" t="s">
        <v>42</v>
      </c>
      <c r="Q589">
        <f>IF(Tabela3[[#This Row],[Income]]="&lt;=50K",Tabela3[[#This Row],[Age]],NA())</f>
        <v>22</v>
      </c>
      <c r="R589">
        <f>IF(Tabela3[[#This Row],[Income]]="&lt;=50K",Tabela3[[#This Row],[education-num]],NA())</f>
        <v>10</v>
      </c>
      <c r="S589" t="e">
        <f>IF(Tabela3[[#This Row],[Income]]="&gt;50K",Tabela3[[#This Row],[Age]],NA())</f>
        <v>#N/A</v>
      </c>
      <c r="T589" t="e">
        <f>IF(Tabela3[[#This Row],[Income]]="&gt;50K",Tabela3[[#This Row],[education-num]],NA())</f>
        <v>#N/A</v>
      </c>
    </row>
    <row r="590" spans="1:20">
      <c r="A590">
        <v>589</v>
      </c>
      <c r="B590">
        <v>36</v>
      </c>
      <c r="C590" t="s">
        <v>74</v>
      </c>
      <c r="D590">
        <v>150371</v>
      </c>
      <c r="E590" t="s">
        <v>62</v>
      </c>
      <c r="F590">
        <v>9</v>
      </c>
      <c r="G590" t="s">
        <v>36</v>
      </c>
      <c r="H590" t="s">
        <v>50</v>
      </c>
      <c r="I590" t="s">
        <v>45</v>
      </c>
      <c r="J590" t="s">
        <v>39</v>
      </c>
      <c r="K590" t="s">
        <v>52</v>
      </c>
      <c r="L590">
        <v>0</v>
      </c>
      <c r="M590">
        <v>0</v>
      </c>
      <c r="N590">
        <v>40</v>
      </c>
      <c r="O590" t="s">
        <v>41</v>
      </c>
      <c r="P590" t="s">
        <v>42</v>
      </c>
      <c r="Q590">
        <f>IF(Tabela3[[#This Row],[Income]]="&lt;=50K",Tabela3[[#This Row],[Age]],NA())</f>
        <v>36</v>
      </c>
      <c r="R590">
        <f>IF(Tabela3[[#This Row],[Income]]="&lt;=50K",Tabela3[[#This Row],[education-num]],NA())</f>
        <v>9</v>
      </c>
      <c r="S590" t="e">
        <f>IF(Tabela3[[#This Row],[Income]]="&gt;50K",Tabela3[[#This Row],[Age]],NA())</f>
        <v>#N/A</v>
      </c>
      <c r="T590" t="e">
        <f>IF(Tabela3[[#This Row],[Income]]="&gt;50K",Tabela3[[#This Row],[education-num]],NA())</f>
        <v>#N/A</v>
      </c>
    </row>
    <row r="591" spans="1:20">
      <c r="A591">
        <v>590</v>
      </c>
      <c r="B591">
        <v>19</v>
      </c>
      <c r="C591" t="s">
        <v>34</v>
      </c>
      <c r="D591">
        <v>69151</v>
      </c>
      <c r="E591" t="s">
        <v>98</v>
      </c>
      <c r="F591">
        <v>5</v>
      </c>
      <c r="G591" t="s">
        <v>36</v>
      </c>
      <c r="H591" t="s">
        <v>68</v>
      </c>
      <c r="I591" t="s">
        <v>38</v>
      </c>
      <c r="J591" t="s">
        <v>39</v>
      </c>
      <c r="K591" t="s">
        <v>52</v>
      </c>
      <c r="L591">
        <v>0</v>
      </c>
      <c r="M591">
        <v>0</v>
      </c>
      <c r="N591">
        <v>25</v>
      </c>
      <c r="O591" t="s">
        <v>41</v>
      </c>
      <c r="P591" t="s">
        <v>42</v>
      </c>
      <c r="Q591">
        <f>IF(Tabela3[[#This Row],[Income]]="&lt;=50K",Tabela3[[#This Row],[Age]],NA())</f>
        <v>19</v>
      </c>
      <c r="R591">
        <f>IF(Tabela3[[#This Row],[Income]]="&lt;=50K",Tabela3[[#This Row],[education-num]],NA())</f>
        <v>5</v>
      </c>
      <c r="S591" t="e">
        <f>IF(Tabela3[[#This Row],[Income]]="&gt;50K",Tabela3[[#This Row],[Age]],NA())</f>
        <v>#N/A</v>
      </c>
      <c r="T591" t="e">
        <f>IF(Tabela3[[#This Row],[Income]]="&gt;50K",Tabela3[[#This Row],[education-num]],NA())</f>
        <v>#N/A</v>
      </c>
    </row>
    <row r="592" spans="1:20">
      <c r="A592">
        <v>591</v>
      </c>
      <c r="B592">
        <v>31</v>
      </c>
      <c r="C592" t="s">
        <v>74</v>
      </c>
      <c r="D592">
        <v>234537</v>
      </c>
      <c r="E592" t="s">
        <v>46</v>
      </c>
      <c r="F592">
        <v>10</v>
      </c>
      <c r="G592" t="s">
        <v>63</v>
      </c>
      <c r="H592" t="s">
        <v>50</v>
      </c>
      <c r="I592" t="s">
        <v>66</v>
      </c>
      <c r="J592" t="s">
        <v>39</v>
      </c>
      <c r="K592" t="s">
        <v>52</v>
      </c>
      <c r="L592">
        <v>0</v>
      </c>
      <c r="M592">
        <v>0</v>
      </c>
      <c r="N592">
        <v>60</v>
      </c>
      <c r="O592" t="s">
        <v>41</v>
      </c>
      <c r="P592" t="s">
        <v>42</v>
      </c>
      <c r="Q592">
        <f>IF(Tabela3[[#This Row],[Income]]="&lt;=50K",Tabela3[[#This Row],[Age]],NA())</f>
        <v>31</v>
      </c>
      <c r="R592">
        <f>IF(Tabela3[[#This Row],[Income]]="&lt;=50K",Tabela3[[#This Row],[education-num]],NA())</f>
        <v>10</v>
      </c>
      <c r="S592" t="e">
        <f>IF(Tabela3[[#This Row],[Income]]="&gt;50K",Tabela3[[#This Row],[Age]],NA())</f>
        <v>#N/A</v>
      </c>
      <c r="T592" t="e">
        <f>IF(Tabela3[[#This Row],[Income]]="&gt;50K",Tabela3[[#This Row],[education-num]],NA())</f>
        <v>#N/A</v>
      </c>
    </row>
    <row r="593" spans="1:20">
      <c r="A593">
        <v>592</v>
      </c>
      <c r="B593">
        <v>33</v>
      </c>
      <c r="C593" t="s">
        <v>34</v>
      </c>
      <c r="D593">
        <v>323811</v>
      </c>
      <c r="E593" t="s">
        <v>46</v>
      </c>
      <c r="F593">
        <v>10</v>
      </c>
      <c r="G593" t="s">
        <v>63</v>
      </c>
      <c r="H593" t="s">
        <v>56</v>
      </c>
      <c r="I593" t="s">
        <v>66</v>
      </c>
      <c r="J593" t="s">
        <v>39</v>
      </c>
      <c r="K593" t="s">
        <v>52</v>
      </c>
      <c r="L593">
        <v>0</v>
      </c>
      <c r="M593">
        <v>0</v>
      </c>
      <c r="N593">
        <v>55</v>
      </c>
      <c r="O593" t="s">
        <v>41</v>
      </c>
      <c r="P593" t="s">
        <v>42</v>
      </c>
      <c r="Q593">
        <f>IF(Tabela3[[#This Row],[Income]]="&lt;=50K",Tabela3[[#This Row],[Age]],NA())</f>
        <v>33</v>
      </c>
      <c r="R593">
        <f>IF(Tabela3[[#This Row],[Income]]="&lt;=50K",Tabela3[[#This Row],[education-num]],NA())</f>
        <v>10</v>
      </c>
      <c r="S593" t="e">
        <f>IF(Tabela3[[#This Row],[Income]]="&gt;50K",Tabela3[[#This Row],[Age]],NA())</f>
        <v>#N/A</v>
      </c>
      <c r="T593" t="e">
        <f>IF(Tabela3[[#This Row],[Income]]="&gt;50K",Tabela3[[#This Row],[education-num]],NA())</f>
        <v>#N/A</v>
      </c>
    </row>
    <row r="594" spans="1:20">
      <c r="A594">
        <v>593</v>
      </c>
      <c r="B594">
        <v>32</v>
      </c>
      <c r="C594" t="s">
        <v>74</v>
      </c>
      <c r="D594">
        <v>35595</v>
      </c>
      <c r="E594" t="s">
        <v>62</v>
      </c>
      <c r="F594">
        <v>9</v>
      </c>
      <c r="G594" t="s">
        <v>63</v>
      </c>
      <c r="H594" t="s">
        <v>50</v>
      </c>
      <c r="I594" t="s">
        <v>66</v>
      </c>
      <c r="J594" t="s">
        <v>39</v>
      </c>
      <c r="K594" t="s">
        <v>52</v>
      </c>
      <c r="L594">
        <v>0</v>
      </c>
      <c r="M594">
        <v>0</v>
      </c>
      <c r="N594">
        <v>50</v>
      </c>
      <c r="O594" t="s">
        <v>41</v>
      </c>
      <c r="P594" t="s">
        <v>42</v>
      </c>
      <c r="Q594">
        <f>IF(Tabela3[[#This Row],[Income]]="&lt;=50K",Tabela3[[#This Row],[Age]],NA())</f>
        <v>32</v>
      </c>
      <c r="R594">
        <f>IF(Tabela3[[#This Row],[Income]]="&lt;=50K",Tabela3[[#This Row],[education-num]],NA())</f>
        <v>9</v>
      </c>
      <c r="S594" t="e">
        <f>IF(Tabela3[[#This Row],[Income]]="&gt;50K",Tabela3[[#This Row],[Age]],NA())</f>
        <v>#N/A</v>
      </c>
      <c r="T594" t="e">
        <f>IF(Tabela3[[#This Row],[Income]]="&gt;50K",Tabela3[[#This Row],[education-num]],NA())</f>
        <v>#N/A</v>
      </c>
    </row>
    <row r="595" spans="1:20">
      <c r="A595">
        <v>594</v>
      </c>
      <c r="B595">
        <v>25</v>
      </c>
      <c r="C595" t="s">
        <v>34</v>
      </c>
      <c r="D595">
        <v>410240</v>
      </c>
      <c r="E595" t="s">
        <v>62</v>
      </c>
      <c r="F595">
        <v>9</v>
      </c>
      <c r="G595" t="s">
        <v>36</v>
      </c>
      <c r="H595" t="s">
        <v>50</v>
      </c>
      <c r="I595" t="s">
        <v>38</v>
      </c>
      <c r="J595" t="s">
        <v>39</v>
      </c>
      <c r="K595" t="s">
        <v>52</v>
      </c>
      <c r="L595">
        <v>0</v>
      </c>
      <c r="M595">
        <v>0</v>
      </c>
      <c r="N595">
        <v>40</v>
      </c>
      <c r="O595" t="s">
        <v>41</v>
      </c>
      <c r="P595" t="s">
        <v>42</v>
      </c>
      <c r="Q595">
        <f>IF(Tabela3[[#This Row],[Income]]="&lt;=50K",Tabela3[[#This Row],[Age]],NA())</f>
        <v>25</v>
      </c>
      <c r="R595">
        <f>IF(Tabela3[[#This Row],[Income]]="&lt;=50K",Tabela3[[#This Row],[education-num]],NA())</f>
        <v>9</v>
      </c>
      <c r="S595" t="e">
        <f>IF(Tabela3[[#This Row],[Income]]="&gt;50K",Tabela3[[#This Row],[Age]],NA())</f>
        <v>#N/A</v>
      </c>
      <c r="T595" t="e">
        <f>IF(Tabela3[[#This Row],[Income]]="&gt;50K",Tabela3[[#This Row],[education-num]],NA())</f>
        <v>#N/A</v>
      </c>
    </row>
    <row r="596" spans="1:20">
      <c r="A596">
        <v>595</v>
      </c>
      <c r="B596">
        <v>60</v>
      </c>
      <c r="C596" t="s">
        <v>34</v>
      </c>
      <c r="D596">
        <v>188650</v>
      </c>
      <c r="E596" t="s">
        <v>48</v>
      </c>
      <c r="F596">
        <v>3</v>
      </c>
      <c r="G596" t="s">
        <v>63</v>
      </c>
      <c r="H596" t="s">
        <v>44</v>
      </c>
      <c r="I596" t="s">
        <v>66</v>
      </c>
      <c r="J596" t="s">
        <v>39</v>
      </c>
      <c r="K596" t="s">
        <v>52</v>
      </c>
      <c r="L596">
        <v>0</v>
      </c>
      <c r="M596">
        <v>0</v>
      </c>
      <c r="N596">
        <v>40</v>
      </c>
      <c r="O596" t="s">
        <v>71</v>
      </c>
      <c r="P596" t="s">
        <v>53</v>
      </c>
      <c r="Q596" t="e">
        <f>IF(Tabela3[[#This Row],[Income]]="&lt;=50K",Tabela3[[#This Row],[Age]],NA())</f>
        <v>#N/A</v>
      </c>
      <c r="R596" t="e">
        <f>IF(Tabela3[[#This Row],[Income]]="&lt;=50K",Tabela3[[#This Row],[education-num]],NA())</f>
        <v>#N/A</v>
      </c>
      <c r="S596">
        <f>IF(Tabela3[[#This Row],[Income]]="&gt;50K",Tabela3[[#This Row],[Age]],NA())</f>
        <v>60</v>
      </c>
      <c r="T596">
        <f>IF(Tabela3[[#This Row],[Income]]="&gt;50K",Tabela3[[#This Row],[education-num]],NA())</f>
        <v>3</v>
      </c>
    </row>
    <row r="597" spans="1:20">
      <c r="A597">
        <v>596</v>
      </c>
      <c r="B597">
        <v>45</v>
      </c>
      <c r="C597" t="s">
        <v>34</v>
      </c>
      <c r="D597">
        <v>30457</v>
      </c>
      <c r="E597" t="s">
        <v>60</v>
      </c>
      <c r="F597">
        <v>13</v>
      </c>
      <c r="G597" t="s">
        <v>63</v>
      </c>
      <c r="H597" t="s">
        <v>80</v>
      </c>
      <c r="I597" t="s">
        <v>66</v>
      </c>
      <c r="J597" t="s">
        <v>39</v>
      </c>
      <c r="K597" t="s">
        <v>52</v>
      </c>
      <c r="L597">
        <v>15024</v>
      </c>
      <c r="M597">
        <v>0</v>
      </c>
      <c r="N597">
        <v>40</v>
      </c>
      <c r="O597" t="s">
        <v>41</v>
      </c>
      <c r="P597" t="s">
        <v>53</v>
      </c>
      <c r="Q597" t="e">
        <f>IF(Tabela3[[#This Row],[Income]]="&lt;=50K",Tabela3[[#This Row],[Age]],NA())</f>
        <v>#N/A</v>
      </c>
      <c r="R597" t="e">
        <f>IF(Tabela3[[#This Row],[Income]]="&lt;=50K",Tabela3[[#This Row],[education-num]],NA())</f>
        <v>#N/A</v>
      </c>
      <c r="S597">
        <f>IF(Tabela3[[#This Row],[Income]]="&gt;50K",Tabela3[[#This Row],[Age]],NA())</f>
        <v>45</v>
      </c>
      <c r="T597">
        <f>IF(Tabela3[[#This Row],[Income]]="&gt;50K",Tabela3[[#This Row],[education-num]],NA())</f>
        <v>13</v>
      </c>
    </row>
    <row r="598" spans="1:20">
      <c r="A598">
        <v>597</v>
      </c>
      <c r="B598">
        <v>34</v>
      </c>
      <c r="C598" t="s">
        <v>34</v>
      </c>
      <c r="D598">
        <v>293703</v>
      </c>
      <c r="E598" t="s">
        <v>46</v>
      </c>
      <c r="F598">
        <v>10</v>
      </c>
      <c r="G598" t="s">
        <v>63</v>
      </c>
      <c r="H598" t="s">
        <v>50</v>
      </c>
      <c r="I598" t="s">
        <v>66</v>
      </c>
      <c r="J598" t="s">
        <v>70</v>
      </c>
      <c r="K598" t="s">
        <v>52</v>
      </c>
      <c r="L598">
        <v>0</v>
      </c>
      <c r="M598">
        <v>0</v>
      </c>
      <c r="N598">
        <v>40</v>
      </c>
      <c r="O598" t="s">
        <v>106</v>
      </c>
      <c r="P598" t="s">
        <v>42</v>
      </c>
      <c r="Q598">
        <f>IF(Tabela3[[#This Row],[Income]]="&lt;=50K",Tabela3[[#This Row],[Age]],NA())</f>
        <v>34</v>
      </c>
      <c r="R598">
        <f>IF(Tabela3[[#This Row],[Income]]="&lt;=50K",Tabela3[[#This Row],[education-num]],NA())</f>
        <v>10</v>
      </c>
      <c r="S598" t="e">
        <f>IF(Tabela3[[#This Row],[Income]]="&gt;50K",Tabela3[[#This Row],[Age]],NA())</f>
        <v>#N/A</v>
      </c>
      <c r="T598" t="e">
        <f>IF(Tabela3[[#This Row],[Income]]="&gt;50K",Tabela3[[#This Row],[education-num]],NA())</f>
        <v>#N/A</v>
      </c>
    </row>
    <row r="599" spans="1:20">
      <c r="A599">
        <v>598</v>
      </c>
      <c r="B599">
        <v>81</v>
      </c>
      <c r="C599" t="s">
        <v>71</v>
      </c>
      <c r="D599">
        <v>89391</v>
      </c>
      <c r="E599" t="s">
        <v>84</v>
      </c>
      <c r="F599">
        <v>15</v>
      </c>
      <c r="G599" t="s">
        <v>63</v>
      </c>
      <c r="H599" t="s">
        <v>71</v>
      </c>
      <c r="I599" t="s">
        <v>66</v>
      </c>
      <c r="J599" t="s">
        <v>39</v>
      </c>
      <c r="K599" t="s">
        <v>52</v>
      </c>
      <c r="L599">
        <v>0</v>
      </c>
      <c r="M599">
        <v>0</v>
      </c>
      <c r="N599">
        <v>24</v>
      </c>
      <c r="O599" t="s">
        <v>41</v>
      </c>
      <c r="P599" t="s">
        <v>53</v>
      </c>
      <c r="Q599" t="e">
        <f>IF(Tabela3[[#This Row],[Income]]="&lt;=50K",Tabela3[[#This Row],[Age]],NA())</f>
        <v>#N/A</v>
      </c>
      <c r="R599" t="e">
        <f>IF(Tabela3[[#This Row],[Income]]="&lt;=50K",Tabela3[[#This Row],[education-num]],NA())</f>
        <v>#N/A</v>
      </c>
      <c r="S599">
        <f>IF(Tabela3[[#This Row],[Income]]="&gt;50K",Tabela3[[#This Row],[Age]],NA())</f>
        <v>81</v>
      </c>
      <c r="T599">
        <f>IF(Tabela3[[#This Row],[Income]]="&gt;50K",Tabela3[[#This Row],[education-num]],NA())</f>
        <v>15</v>
      </c>
    </row>
    <row r="600" spans="1:20">
      <c r="A600">
        <v>599</v>
      </c>
      <c r="B600">
        <v>29</v>
      </c>
      <c r="C600" t="s">
        <v>34</v>
      </c>
      <c r="D600">
        <v>181280</v>
      </c>
      <c r="E600" t="s">
        <v>62</v>
      </c>
      <c r="F600">
        <v>9</v>
      </c>
      <c r="G600" t="s">
        <v>63</v>
      </c>
      <c r="H600" t="s">
        <v>56</v>
      </c>
      <c r="I600" t="s">
        <v>66</v>
      </c>
      <c r="J600" t="s">
        <v>39</v>
      </c>
      <c r="K600" t="s">
        <v>52</v>
      </c>
      <c r="L600">
        <v>0</v>
      </c>
      <c r="M600">
        <v>0</v>
      </c>
      <c r="N600">
        <v>40</v>
      </c>
      <c r="O600" t="s">
        <v>41</v>
      </c>
      <c r="P600" t="s">
        <v>42</v>
      </c>
      <c r="Q600">
        <f>IF(Tabela3[[#This Row],[Income]]="&lt;=50K",Tabela3[[#This Row],[Age]],NA())</f>
        <v>29</v>
      </c>
      <c r="R600">
        <f>IF(Tabela3[[#This Row],[Income]]="&lt;=50K",Tabela3[[#This Row],[education-num]],NA())</f>
        <v>9</v>
      </c>
      <c r="S600" t="e">
        <f>IF(Tabela3[[#This Row],[Income]]="&gt;50K",Tabela3[[#This Row],[Age]],NA())</f>
        <v>#N/A</v>
      </c>
      <c r="T600" t="e">
        <f>IF(Tabela3[[#This Row],[Income]]="&gt;50K",Tabela3[[#This Row],[education-num]],NA())</f>
        <v>#N/A</v>
      </c>
    </row>
    <row r="601" spans="1:20">
      <c r="A601">
        <v>600</v>
      </c>
      <c r="B601">
        <v>38</v>
      </c>
      <c r="C601" t="s">
        <v>34</v>
      </c>
      <c r="D601">
        <v>240467</v>
      </c>
      <c r="E601" t="s">
        <v>73</v>
      </c>
      <c r="F601">
        <v>14</v>
      </c>
      <c r="G601" t="s">
        <v>36</v>
      </c>
      <c r="H601" t="s">
        <v>80</v>
      </c>
      <c r="I601" t="s">
        <v>69</v>
      </c>
      <c r="J601" t="s">
        <v>57</v>
      </c>
      <c r="K601" t="s">
        <v>40</v>
      </c>
      <c r="L601">
        <v>0</v>
      </c>
      <c r="M601">
        <v>0</v>
      </c>
      <c r="N601">
        <v>35</v>
      </c>
      <c r="O601" t="s">
        <v>41</v>
      </c>
      <c r="P601" t="s">
        <v>42</v>
      </c>
      <c r="Q601">
        <f>IF(Tabela3[[#This Row],[Income]]="&lt;=50K",Tabela3[[#This Row],[Age]],NA())</f>
        <v>38</v>
      </c>
      <c r="R601">
        <f>IF(Tabela3[[#This Row],[Income]]="&lt;=50K",Tabela3[[#This Row],[education-num]],NA())</f>
        <v>14</v>
      </c>
      <c r="S601" t="e">
        <f>IF(Tabela3[[#This Row],[Income]]="&gt;50K",Tabela3[[#This Row],[Age]],NA())</f>
        <v>#N/A</v>
      </c>
      <c r="T601" t="e">
        <f>IF(Tabela3[[#This Row],[Income]]="&gt;50K",Tabela3[[#This Row],[education-num]],NA())</f>
        <v>#N/A</v>
      </c>
    </row>
    <row r="602" spans="1:20">
      <c r="A602">
        <v>601</v>
      </c>
      <c r="B602">
        <v>32</v>
      </c>
      <c r="C602" t="s">
        <v>71</v>
      </c>
      <c r="D602">
        <v>119522</v>
      </c>
      <c r="E602" t="s">
        <v>60</v>
      </c>
      <c r="F602">
        <v>13</v>
      </c>
      <c r="G602" t="s">
        <v>49</v>
      </c>
      <c r="H602" t="s">
        <v>71</v>
      </c>
      <c r="I602" t="s">
        <v>45</v>
      </c>
      <c r="J602" t="s">
        <v>39</v>
      </c>
      <c r="K602" t="s">
        <v>52</v>
      </c>
      <c r="L602">
        <v>0</v>
      </c>
      <c r="M602">
        <v>0</v>
      </c>
      <c r="N602">
        <v>50</v>
      </c>
      <c r="O602" t="s">
        <v>41</v>
      </c>
      <c r="P602" t="s">
        <v>42</v>
      </c>
      <c r="Q602">
        <f>IF(Tabela3[[#This Row],[Income]]="&lt;=50K",Tabela3[[#This Row],[Age]],NA())</f>
        <v>32</v>
      </c>
      <c r="R602">
        <f>IF(Tabela3[[#This Row],[Income]]="&lt;=50K",Tabela3[[#This Row],[education-num]],NA())</f>
        <v>13</v>
      </c>
      <c r="S602" t="e">
        <f>IF(Tabela3[[#This Row],[Income]]="&gt;50K",Tabela3[[#This Row],[Age]],NA())</f>
        <v>#N/A</v>
      </c>
      <c r="T602" t="e">
        <f>IF(Tabela3[[#This Row],[Income]]="&gt;50K",Tabela3[[#This Row],[education-num]],NA())</f>
        <v>#N/A</v>
      </c>
    </row>
    <row r="603" spans="1:20">
      <c r="A603">
        <v>602</v>
      </c>
      <c r="B603">
        <v>33</v>
      </c>
      <c r="C603" t="s">
        <v>34</v>
      </c>
      <c r="D603">
        <v>231413</v>
      </c>
      <c r="E603" t="s">
        <v>60</v>
      </c>
      <c r="F603">
        <v>13</v>
      </c>
      <c r="G603" t="s">
        <v>63</v>
      </c>
      <c r="H603" t="s">
        <v>61</v>
      </c>
      <c r="I603" t="s">
        <v>66</v>
      </c>
      <c r="J603" t="s">
        <v>39</v>
      </c>
      <c r="K603" t="s">
        <v>52</v>
      </c>
      <c r="L603">
        <v>0</v>
      </c>
      <c r="M603">
        <v>0</v>
      </c>
      <c r="N603">
        <v>40</v>
      </c>
      <c r="O603" t="s">
        <v>41</v>
      </c>
      <c r="P603" t="s">
        <v>42</v>
      </c>
      <c r="Q603">
        <f>IF(Tabela3[[#This Row],[Income]]="&lt;=50K",Tabela3[[#This Row],[Age]],NA())</f>
        <v>33</v>
      </c>
      <c r="R603">
        <f>IF(Tabela3[[#This Row],[Income]]="&lt;=50K",Tabela3[[#This Row],[education-num]],NA())</f>
        <v>13</v>
      </c>
      <c r="S603" t="e">
        <f>IF(Tabela3[[#This Row],[Income]]="&gt;50K",Tabela3[[#This Row],[Age]],NA())</f>
        <v>#N/A</v>
      </c>
      <c r="T603" t="e">
        <f>IF(Tabela3[[#This Row],[Income]]="&gt;50K",Tabela3[[#This Row],[education-num]],NA())</f>
        <v>#N/A</v>
      </c>
    </row>
    <row r="604" spans="1:20">
      <c r="A604">
        <v>603</v>
      </c>
      <c r="B604">
        <v>33</v>
      </c>
      <c r="C604" t="s">
        <v>34</v>
      </c>
      <c r="D604">
        <v>347623</v>
      </c>
      <c r="E604" t="s">
        <v>73</v>
      </c>
      <c r="F604">
        <v>14</v>
      </c>
      <c r="G604" t="s">
        <v>36</v>
      </c>
      <c r="H604" t="s">
        <v>80</v>
      </c>
      <c r="I604" t="s">
        <v>69</v>
      </c>
      <c r="J604" t="s">
        <v>39</v>
      </c>
      <c r="K604" t="s">
        <v>52</v>
      </c>
      <c r="L604">
        <v>0</v>
      </c>
      <c r="M604">
        <v>0</v>
      </c>
      <c r="N604">
        <v>40</v>
      </c>
      <c r="O604" t="s">
        <v>41</v>
      </c>
      <c r="P604" t="s">
        <v>42</v>
      </c>
      <c r="Q604">
        <f>IF(Tabela3[[#This Row],[Income]]="&lt;=50K",Tabela3[[#This Row],[Age]],NA())</f>
        <v>33</v>
      </c>
      <c r="R604">
        <f>IF(Tabela3[[#This Row],[Income]]="&lt;=50K",Tabela3[[#This Row],[education-num]],NA())</f>
        <v>14</v>
      </c>
      <c r="S604" t="e">
        <f>IF(Tabela3[[#This Row],[Income]]="&gt;50K",Tabela3[[#This Row],[Age]],NA())</f>
        <v>#N/A</v>
      </c>
      <c r="T604" t="e">
        <f>IF(Tabela3[[#This Row],[Income]]="&gt;50K",Tabela3[[#This Row],[education-num]],NA())</f>
        <v>#N/A</v>
      </c>
    </row>
    <row r="605" spans="1:20">
      <c r="A605">
        <v>604</v>
      </c>
      <c r="B605">
        <v>34</v>
      </c>
      <c r="C605" t="s">
        <v>59</v>
      </c>
      <c r="D605">
        <v>103371</v>
      </c>
      <c r="E605" t="s">
        <v>78</v>
      </c>
      <c r="F605">
        <v>11</v>
      </c>
      <c r="G605" t="s">
        <v>36</v>
      </c>
      <c r="H605" t="s">
        <v>67</v>
      </c>
      <c r="I605" t="s">
        <v>69</v>
      </c>
      <c r="J605" t="s">
        <v>39</v>
      </c>
      <c r="K605" t="s">
        <v>40</v>
      </c>
      <c r="L605">
        <v>0</v>
      </c>
      <c r="M605">
        <v>0</v>
      </c>
      <c r="N605">
        <v>40</v>
      </c>
      <c r="O605" t="s">
        <v>41</v>
      </c>
      <c r="P605" t="s">
        <v>42</v>
      </c>
      <c r="Q605">
        <f>IF(Tabela3[[#This Row],[Income]]="&lt;=50K",Tabela3[[#This Row],[Age]],NA())</f>
        <v>34</v>
      </c>
      <c r="R605">
        <f>IF(Tabela3[[#This Row],[Income]]="&lt;=50K",Tabela3[[#This Row],[education-num]],NA())</f>
        <v>11</v>
      </c>
      <c r="S605" t="e">
        <f>IF(Tabela3[[#This Row],[Income]]="&gt;50K",Tabela3[[#This Row],[Age]],NA())</f>
        <v>#N/A</v>
      </c>
      <c r="T605" t="e">
        <f>IF(Tabela3[[#This Row],[Income]]="&gt;50K",Tabela3[[#This Row],[education-num]],NA())</f>
        <v>#N/A</v>
      </c>
    </row>
    <row r="606" spans="1:20">
      <c r="A606">
        <v>605</v>
      </c>
      <c r="B606">
        <v>26</v>
      </c>
      <c r="C606" t="s">
        <v>34</v>
      </c>
      <c r="D606">
        <v>276548</v>
      </c>
      <c r="E606" t="s">
        <v>62</v>
      </c>
      <c r="F606">
        <v>9</v>
      </c>
      <c r="G606" t="s">
        <v>63</v>
      </c>
      <c r="H606" t="s">
        <v>44</v>
      </c>
      <c r="I606" t="s">
        <v>65</v>
      </c>
      <c r="J606" t="s">
        <v>39</v>
      </c>
      <c r="K606" t="s">
        <v>40</v>
      </c>
      <c r="L606">
        <v>0</v>
      </c>
      <c r="M606">
        <v>0</v>
      </c>
      <c r="N606">
        <v>20</v>
      </c>
      <c r="O606" t="s">
        <v>41</v>
      </c>
      <c r="P606" t="s">
        <v>42</v>
      </c>
      <c r="Q606">
        <f>IF(Tabela3[[#This Row],[Income]]="&lt;=50K",Tabela3[[#This Row],[Age]],NA())</f>
        <v>26</v>
      </c>
      <c r="R606">
        <f>IF(Tabela3[[#This Row],[Income]]="&lt;=50K",Tabela3[[#This Row],[education-num]],NA())</f>
        <v>9</v>
      </c>
      <c r="S606" t="e">
        <f>IF(Tabela3[[#This Row],[Income]]="&gt;50K",Tabela3[[#This Row],[Age]],NA())</f>
        <v>#N/A</v>
      </c>
      <c r="T606" t="e">
        <f>IF(Tabela3[[#This Row],[Income]]="&gt;50K",Tabela3[[#This Row],[education-num]],NA())</f>
        <v>#N/A</v>
      </c>
    </row>
    <row r="607" spans="1:20">
      <c r="A607">
        <v>606</v>
      </c>
      <c r="B607">
        <v>30</v>
      </c>
      <c r="C607" t="s">
        <v>74</v>
      </c>
      <c r="D607">
        <v>85708</v>
      </c>
      <c r="E607" t="s">
        <v>62</v>
      </c>
      <c r="F607">
        <v>9</v>
      </c>
      <c r="G607" t="s">
        <v>63</v>
      </c>
      <c r="H607" t="s">
        <v>50</v>
      </c>
      <c r="I607" t="s">
        <v>66</v>
      </c>
      <c r="J607" t="s">
        <v>39</v>
      </c>
      <c r="K607" t="s">
        <v>52</v>
      </c>
      <c r="L607">
        <v>0</v>
      </c>
      <c r="M607">
        <v>0</v>
      </c>
      <c r="N607">
        <v>40</v>
      </c>
      <c r="O607" t="s">
        <v>41</v>
      </c>
      <c r="P607" t="s">
        <v>42</v>
      </c>
      <c r="Q607">
        <f>IF(Tabela3[[#This Row],[Income]]="&lt;=50K",Tabela3[[#This Row],[Age]],NA())</f>
        <v>30</v>
      </c>
      <c r="R607">
        <f>IF(Tabela3[[#This Row],[Income]]="&lt;=50K",Tabela3[[#This Row],[education-num]],NA())</f>
        <v>9</v>
      </c>
      <c r="S607" t="e">
        <f>IF(Tabela3[[#This Row],[Income]]="&gt;50K",Tabela3[[#This Row],[Age]],NA())</f>
        <v>#N/A</v>
      </c>
      <c r="T607" t="e">
        <f>IF(Tabela3[[#This Row],[Income]]="&gt;50K",Tabela3[[#This Row],[education-num]],NA())</f>
        <v>#N/A</v>
      </c>
    </row>
    <row r="608" spans="1:20">
      <c r="A608">
        <v>607</v>
      </c>
      <c r="B608">
        <v>33</v>
      </c>
      <c r="C608" t="s">
        <v>34</v>
      </c>
      <c r="D608">
        <v>183612</v>
      </c>
      <c r="E608" t="s">
        <v>62</v>
      </c>
      <c r="F608">
        <v>9</v>
      </c>
      <c r="G608" t="s">
        <v>63</v>
      </c>
      <c r="H608" t="s">
        <v>72</v>
      </c>
      <c r="I608" t="s">
        <v>66</v>
      </c>
      <c r="J608" t="s">
        <v>39</v>
      </c>
      <c r="K608" t="s">
        <v>52</v>
      </c>
      <c r="L608">
        <v>0</v>
      </c>
      <c r="M608">
        <v>0</v>
      </c>
      <c r="N608">
        <v>20</v>
      </c>
      <c r="O608" t="s">
        <v>41</v>
      </c>
      <c r="P608" t="s">
        <v>42</v>
      </c>
      <c r="Q608">
        <f>IF(Tabela3[[#This Row],[Income]]="&lt;=50K",Tabela3[[#This Row],[Age]],NA())</f>
        <v>33</v>
      </c>
      <c r="R608">
        <f>IF(Tabela3[[#This Row],[Income]]="&lt;=50K",Tabela3[[#This Row],[education-num]],NA())</f>
        <v>9</v>
      </c>
      <c r="S608" t="e">
        <f>IF(Tabela3[[#This Row],[Income]]="&gt;50K",Tabela3[[#This Row],[Age]],NA())</f>
        <v>#N/A</v>
      </c>
      <c r="T608" t="e">
        <f>IF(Tabela3[[#This Row],[Income]]="&gt;50K",Tabela3[[#This Row],[education-num]],NA())</f>
        <v>#N/A</v>
      </c>
    </row>
    <row r="609" spans="1:20">
      <c r="A609">
        <v>608</v>
      </c>
      <c r="B609">
        <v>37</v>
      </c>
      <c r="C609" t="s">
        <v>34</v>
      </c>
      <c r="D609">
        <v>356824</v>
      </c>
      <c r="E609" t="s">
        <v>62</v>
      </c>
      <c r="F609">
        <v>9</v>
      </c>
      <c r="G609" t="s">
        <v>55</v>
      </c>
      <c r="H609" t="s">
        <v>64</v>
      </c>
      <c r="I609" t="s">
        <v>69</v>
      </c>
      <c r="J609" t="s">
        <v>39</v>
      </c>
      <c r="K609" t="s">
        <v>40</v>
      </c>
      <c r="L609">
        <v>0</v>
      </c>
      <c r="M609">
        <v>0</v>
      </c>
      <c r="N609">
        <v>40</v>
      </c>
      <c r="O609" t="s">
        <v>41</v>
      </c>
      <c r="P609" t="s">
        <v>42</v>
      </c>
      <c r="Q609">
        <f>IF(Tabela3[[#This Row],[Income]]="&lt;=50K",Tabela3[[#This Row],[Age]],NA())</f>
        <v>37</v>
      </c>
      <c r="R609">
        <f>IF(Tabela3[[#This Row],[Income]]="&lt;=50K",Tabela3[[#This Row],[education-num]],NA())</f>
        <v>9</v>
      </c>
      <c r="S609" t="e">
        <f>IF(Tabela3[[#This Row],[Income]]="&gt;50K",Tabela3[[#This Row],[Age]],NA())</f>
        <v>#N/A</v>
      </c>
      <c r="T609" t="e">
        <f>IF(Tabela3[[#This Row],[Income]]="&gt;50K",Tabela3[[#This Row],[education-num]],NA())</f>
        <v>#N/A</v>
      </c>
    </row>
    <row r="610" spans="1:20">
      <c r="A610">
        <v>609</v>
      </c>
      <c r="B610">
        <v>37</v>
      </c>
      <c r="C610" t="s">
        <v>75</v>
      </c>
      <c r="D610">
        <v>45937</v>
      </c>
      <c r="E610" t="s">
        <v>43</v>
      </c>
      <c r="F610">
        <v>12</v>
      </c>
      <c r="G610" t="s">
        <v>63</v>
      </c>
      <c r="H610" t="s">
        <v>80</v>
      </c>
      <c r="I610" t="s">
        <v>65</v>
      </c>
      <c r="J610" t="s">
        <v>39</v>
      </c>
      <c r="K610" t="s">
        <v>40</v>
      </c>
      <c r="L610">
        <v>0</v>
      </c>
      <c r="M610">
        <v>0</v>
      </c>
      <c r="N610">
        <v>40</v>
      </c>
      <c r="O610" t="s">
        <v>41</v>
      </c>
      <c r="P610" t="s">
        <v>53</v>
      </c>
      <c r="Q610" t="e">
        <f>IF(Tabela3[[#This Row],[Income]]="&lt;=50K",Tabela3[[#This Row],[Age]],NA())</f>
        <v>#N/A</v>
      </c>
      <c r="R610" t="e">
        <f>IF(Tabela3[[#This Row],[Income]]="&lt;=50K",Tabela3[[#This Row],[education-num]],NA())</f>
        <v>#N/A</v>
      </c>
      <c r="S610">
        <f>IF(Tabela3[[#This Row],[Income]]="&gt;50K",Tabela3[[#This Row],[Age]],NA())</f>
        <v>37</v>
      </c>
      <c r="T610">
        <f>IF(Tabela3[[#This Row],[Income]]="&gt;50K",Tabela3[[#This Row],[education-num]],NA())</f>
        <v>12</v>
      </c>
    </row>
    <row r="611" spans="1:20">
      <c r="A611">
        <v>610</v>
      </c>
      <c r="B611">
        <v>38</v>
      </c>
      <c r="C611" t="s">
        <v>59</v>
      </c>
      <c r="D611">
        <v>255191</v>
      </c>
      <c r="E611" t="s">
        <v>62</v>
      </c>
      <c r="F611">
        <v>9</v>
      </c>
      <c r="G611" t="s">
        <v>36</v>
      </c>
      <c r="H611" t="s">
        <v>37</v>
      </c>
      <c r="I611" t="s">
        <v>45</v>
      </c>
      <c r="J611" t="s">
        <v>39</v>
      </c>
      <c r="K611" t="s">
        <v>52</v>
      </c>
      <c r="L611">
        <v>0</v>
      </c>
      <c r="M611">
        <v>0</v>
      </c>
      <c r="N611">
        <v>40</v>
      </c>
      <c r="O611" t="s">
        <v>41</v>
      </c>
      <c r="P611" t="s">
        <v>42</v>
      </c>
      <c r="Q611">
        <f>IF(Tabela3[[#This Row],[Income]]="&lt;=50K",Tabela3[[#This Row],[Age]],NA())</f>
        <v>38</v>
      </c>
      <c r="R611">
        <f>IF(Tabela3[[#This Row],[Income]]="&lt;=50K",Tabela3[[#This Row],[education-num]],NA())</f>
        <v>9</v>
      </c>
      <c r="S611" t="e">
        <f>IF(Tabela3[[#This Row],[Income]]="&gt;50K",Tabela3[[#This Row],[Age]],NA())</f>
        <v>#N/A</v>
      </c>
      <c r="T611" t="e">
        <f>IF(Tabela3[[#This Row],[Income]]="&gt;50K",Tabela3[[#This Row],[education-num]],NA())</f>
        <v>#N/A</v>
      </c>
    </row>
    <row r="612" spans="1:20">
      <c r="A612">
        <v>611</v>
      </c>
      <c r="B612">
        <v>21</v>
      </c>
      <c r="C612" t="s">
        <v>34</v>
      </c>
      <c r="D612">
        <v>195199</v>
      </c>
      <c r="E612" t="s">
        <v>62</v>
      </c>
      <c r="F612">
        <v>9</v>
      </c>
      <c r="G612" t="s">
        <v>36</v>
      </c>
      <c r="H612" t="s">
        <v>61</v>
      </c>
      <c r="I612" t="s">
        <v>38</v>
      </c>
      <c r="J612" t="s">
        <v>39</v>
      </c>
      <c r="K612" t="s">
        <v>40</v>
      </c>
      <c r="L612">
        <v>0</v>
      </c>
      <c r="M612">
        <v>0</v>
      </c>
      <c r="N612">
        <v>30</v>
      </c>
      <c r="O612" t="s">
        <v>41</v>
      </c>
      <c r="P612" t="s">
        <v>42</v>
      </c>
      <c r="Q612">
        <f>IF(Tabela3[[#This Row],[Income]]="&lt;=50K",Tabela3[[#This Row],[Age]],NA())</f>
        <v>21</v>
      </c>
      <c r="R612">
        <f>IF(Tabela3[[#This Row],[Income]]="&lt;=50K",Tabela3[[#This Row],[education-num]],NA())</f>
        <v>9</v>
      </c>
      <c r="S612" t="e">
        <f>IF(Tabela3[[#This Row],[Income]]="&gt;50K",Tabela3[[#This Row],[Age]],NA())</f>
        <v>#N/A</v>
      </c>
      <c r="T612" t="e">
        <f>IF(Tabela3[[#This Row],[Income]]="&gt;50K",Tabela3[[#This Row],[education-num]],NA())</f>
        <v>#N/A</v>
      </c>
    </row>
    <row r="613" spans="1:20">
      <c r="A613">
        <v>612</v>
      </c>
      <c r="B613">
        <v>62</v>
      </c>
      <c r="C613" t="s">
        <v>74</v>
      </c>
      <c r="D613">
        <v>197353</v>
      </c>
      <c r="E613" t="s">
        <v>62</v>
      </c>
      <c r="F613">
        <v>9</v>
      </c>
      <c r="G613" t="s">
        <v>63</v>
      </c>
      <c r="H613" t="s">
        <v>50</v>
      </c>
      <c r="I613" t="s">
        <v>66</v>
      </c>
      <c r="J613" t="s">
        <v>39</v>
      </c>
      <c r="K613" t="s">
        <v>52</v>
      </c>
      <c r="L613">
        <v>0</v>
      </c>
      <c r="M613">
        <v>1740</v>
      </c>
      <c r="N613">
        <v>40</v>
      </c>
      <c r="O613" t="s">
        <v>41</v>
      </c>
      <c r="P613" t="s">
        <v>42</v>
      </c>
      <c r="Q613">
        <f>IF(Tabela3[[#This Row],[Income]]="&lt;=50K",Tabela3[[#This Row],[Age]],NA())</f>
        <v>62</v>
      </c>
      <c r="R613">
        <f>IF(Tabela3[[#This Row],[Income]]="&lt;=50K",Tabela3[[#This Row],[education-num]],NA())</f>
        <v>9</v>
      </c>
      <c r="S613" t="e">
        <f>IF(Tabela3[[#This Row],[Income]]="&gt;50K",Tabela3[[#This Row],[Age]],NA())</f>
        <v>#N/A</v>
      </c>
      <c r="T613" t="e">
        <f>IF(Tabela3[[#This Row],[Income]]="&gt;50K",Tabela3[[#This Row],[education-num]],NA())</f>
        <v>#N/A</v>
      </c>
    </row>
    <row r="614" spans="1:20">
      <c r="A614">
        <v>613</v>
      </c>
      <c r="B614">
        <v>46</v>
      </c>
      <c r="C614" t="s">
        <v>34</v>
      </c>
      <c r="D614">
        <v>415051</v>
      </c>
      <c r="E614" t="s">
        <v>46</v>
      </c>
      <c r="F614">
        <v>10</v>
      </c>
      <c r="G614" t="s">
        <v>63</v>
      </c>
      <c r="H614" t="s">
        <v>44</v>
      </c>
      <c r="I614" t="s">
        <v>66</v>
      </c>
      <c r="J614" t="s">
        <v>57</v>
      </c>
      <c r="K614" t="s">
        <v>52</v>
      </c>
      <c r="L614">
        <v>0</v>
      </c>
      <c r="M614">
        <v>0</v>
      </c>
      <c r="N614">
        <v>60</v>
      </c>
      <c r="O614" t="s">
        <v>41</v>
      </c>
      <c r="P614" t="s">
        <v>53</v>
      </c>
      <c r="Q614" t="e">
        <f>IF(Tabela3[[#This Row],[Income]]="&lt;=50K",Tabela3[[#This Row],[Age]],NA())</f>
        <v>#N/A</v>
      </c>
      <c r="R614" t="e">
        <f>IF(Tabela3[[#This Row],[Income]]="&lt;=50K",Tabela3[[#This Row],[education-num]],NA())</f>
        <v>#N/A</v>
      </c>
      <c r="S614">
        <f>IF(Tabela3[[#This Row],[Income]]="&gt;50K",Tabela3[[#This Row],[Age]],NA())</f>
        <v>46</v>
      </c>
      <c r="T614">
        <f>IF(Tabela3[[#This Row],[Income]]="&gt;50K",Tabela3[[#This Row],[education-num]],NA())</f>
        <v>10</v>
      </c>
    </row>
    <row r="615" spans="1:20">
      <c r="A615">
        <v>614</v>
      </c>
      <c r="B615">
        <v>38</v>
      </c>
      <c r="C615" t="s">
        <v>71</v>
      </c>
      <c r="D615">
        <v>365465</v>
      </c>
      <c r="E615" t="s">
        <v>78</v>
      </c>
      <c r="F615">
        <v>11</v>
      </c>
      <c r="G615" t="s">
        <v>36</v>
      </c>
      <c r="H615" t="s">
        <v>71</v>
      </c>
      <c r="I615" t="s">
        <v>38</v>
      </c>
      <c r="J615" t="s">
        <v>39</v>
      </c>
      <c r="K615" t="s">
        <v>52</v>
      </c>
      <c r="L615">
        <v>0</v>
      </c>
      <c r="M615">
        <v>0</v>
      </c>
      <c r="N615">
        <v>15</v>
      </c>
      <c r="O615" t="s">
        <v>41</v>
      </c>
      <c r="P615" t="s">
        <v>42</v>
      </c>
      <c r="Q615">
        <f>IF(Tabela3[[#This Row],[Income]]="&lt;=50K",Tabela3[[#This Row],[Age]],NA())</f>
        <v>38</v>
      </c>
      <c r="R615">
        <f>IF(Tabela3[[#This Row],[Income]]="&lt;=50K",Tabela3[[#This Row],[education-num]],NA())</f>
        <v>11</v>
      </c>
      <c r="S615" t="e">
        <f>IF(Tabela3[[#This Row],[Income]]="&gt;50K",Tabela3[[#This Row],[Age]],NA())</f>
        <v>#N/A</v>
      </c>
      <c r="T615" t="e">
        <f>IF(Tabela3[[#This Row],[Income]]="&gt;50K",Tabela3[[#This Row],[education-num]],NA())</f>
        <v>#N/A</v>
      </c>
    </row>
    <row r="616" spans="1:20">
      <c r="A616">
        <v>615</v>
      </c>
      <c r="B616">
        <v>21</v>
      </c>
      <c r="C616" t="s">
        <v>34</v>
      </c>
      <c r="D616">
        <v>157893</v>
      </c>
      <c r="E616" t="s">
        <v>62</v>
      </c>
      <c r="F616">
        <v>9</v>
      </c>
      <c r="G616" t="s">
        <v>36</v>
      </c>
      <c r="H616" t="s">
        <v>72</v>
      </c>
      <c r="I616" t="s">
        <v>38</v>
      </c>
      <c r="J616" t="s">
        <v>39</v>
      </c>
      <c r="K616" t="s">
        <v>40</v>
      </c>
      <c r="L616">
        <v>0</v>
      </c>
      <c r="M616">
        <v>0</v>
      </c>
      <c r="N616">
        <v>40</v>
      </c>
      <c r="O616" t="s">
        <v>41</v>
      </c>
      <c r="P616" t="s">
        <v>42</v>
      </c>
      <c r="Q616">
        <f>IF(Tabela3[[#This Row],[Income]]="&lt;=50K",Tabela3[[#This Row],[Age]],NA())</f>
        <v>21</v>
      </c>
      <c r="R616">
        <f>IF(Tabela3[[#This Row],[Income]]="&lt;=50K",Tabela3[[#This Row],[education-num]],NA())</f>
        <v>9</v>
      </c>
      <c r="S616" t="e">
        <f>IF(Tabela3[[#This Row],[Income]]="&gt;50K",Tabela3[[#This Row],[Age]],NA())</f>
        <v>#N/A</v>
      </c>
      <c r="T616" t="e">
        <f>IF(Tabela3[[#This Row],[Income]]="&gt;50K",Tabela3[[#This Row],[education-num]],NA())</f>
        <v>#N/A</v>
      </c>
    </row>
    <row r="617" spans="1:20">
      <c r="A617">
        <v>616</v>
      </c>
      <c r="B617">
        <v>23</v>
      </c>
      <c r="C617" t="s">
        <v>34</v>
      </c>
      <c r="D617">
        <v>39615</v>
      </c>
      <c r="E617" t="s">
        <v>46</v>
      </c>
      <c r="F617">
        <v>10</v>
      </c>
      <c r="G617" t="s">
        <v>36</v>
      </c>
      <c r="H617" t="s">
        <v>68</v>
      </c>
      <c r="I617" t="s">
        <v>38</v>
      </c>
      <c r="J617" t="s">
        <v>39</v>
      </c>
      <c r="K617" t="s">
        <v>52</v>
      </c>
      <c r="L617">
        <v>0</v>
      </c>
      <c r="M617">
        <v>0</v>
      </c>
      <c r="N617">
        <v>10</v>
      </c>
      <c r="O617" t="s">
        <v>41</v>
      </c>
      <c r="P617" t="s">
        <v>42</v>
      </c>
      <c r="Q617">
        <f>IF(Tabela3[[#This Row],[Income]]="&lt;=50K",Tabela3[[#This Row],[Age]],NA())</f>
        <v>23</v>
      </c>
      <c r="R617">
        <f>IF(Tabela3[[#This Row],[Income]]="&lt;=50K",Tabela3[[#This Row],[education-num]],NA())</f>
        <v>10</v>
      </c>
      <c r="S617" t="e">
        <f>IF(Tabela3[[#This Row],[Income]]="&gt;50K",Tabela3[[#This Row],[Age]],NA())</f>
        <v>#N/A</v>
      </c>
      <c r="T617" t="e">
        <f>IF(Tabela3[[#This Row],[Income]]="&gt;50K",Tabela3[[#This Row],[education-num]],NA())</f>
        <v>#N/A</v>
      </c>
    </row>
    <row r="618" spans="1:20">
      <c r="A618">
        <v>617</v>
      </c>
      <c r="B618">
        <v>41</v>
      </c>
      <c r="C618" t="s">
        <v>83</v>
      </c>
      <c r="D618">
        <v>177905</v>
      </c>
      <c r="E618" t="s">
        <v>60</v>
      </c>
      <c r="F618">
        <v>13</v>
      </c>
      <c r="G618" t="s">
        <v>63</v>
      </c>
      <c r="H618" t="s">
        <v>80</v>
      </c>
      <c r="I618" t="s">
        <v>66</v>
      </c>
      <c r="J618" t="s">
        <v>39</v>
      </c>
      <c r="K618" t="s">
        <v>52</v>
      </c>
      <c r="L618">
        <v>7688</v>
      </c>
      <c r="M618">
        <v>0</v>
      </c>
      <c r="N618">
        <v>70</v>
      </c>
      <c r="O618" t="s">
        <v>41</v>
      </c>
      <c r="P618" t="s">
        <v>53</v>
      </c>
      <c r="Q618" t="e">
        <f>IF(Tabela3[[#This Row],[Income]]="&lt;=50K",Tabela3[[#This Row],[Age]],NA())</f>
        <v>#N/A</v>
      </c>
      <c r="R618" t="e">
        <f>IF(Tabela3[[#This Row],[Income]]="&lt;=50K",Tabela3[[#This Row],[education-num]],NA())</f>
        <v>#N/A</v>
      </c>
      <c r="S618">
        <f>IF(Tabela3[[#This Row],[Income]]="&gt;50K",Tabela3[[#This Row],[Age]],NA())</f>
        <v>41</v>
      </c>
      <c r="T618">
        <f>IF(Tabela3[[#This Row],[Income]]="&gt;50K",Tabela3[[#This Row],[education-num]],NA())</f>
        <v>13</v>
      </c>
    </row>
    <row r="619" spans="1:20">
      <c r="A619">
        <v>618</v>
      </c>
      <c r="B619">
        <v>28</v>
      </c>
      <c r="C619" t="s">
        <v>34</v>
      </c>
      <c r="D619">
        <v>264498</v>
      </c>
      <c r="E619" t="s">
        <v>60</v>
      </c>
      <c r="F619">
        <v>13</v>
      </c>
      <c r="G619" t="s">
        <v>36</v>
      </c>
      <c r="H619" t="s">
        <v>61</v>
      </c>
      <c r="I619" t="s">
        <v>45</v>
      </c>
      <c r="J619" t="s">
        <v>39</v>
      </c>
      <c r="K619" t="s">
        <v>40</v>
      </c>
      <c r="L619">
        <v>0</v>
      </c>
      <c r="M619">
        <v>0</v>
      </c>
      <c r="N619">
        <v>40</v>
      </c>
      <c r="O619" t="s">
        <v>41</v>
      </c>
      <c r="P619" t="s">
        <v>42</v>
      </c>
      <c r="Q619">
        <f>IF(Tabela3[[#This Row],[Income]]="&lt;=50K",Tabela3[[#This Row],[Age]],NA())</f>
        <v>28</v>
      </c>
      <c r="R619">
        <f>IF(Tabela3[[#This Row],[Income]]="&lt;=50K",Tabela3[[#This Row],[education-num]],NA())</f>
        <v>13</v>
      </c>
      <c r="S619" t="e">
        <f>IF(Tabela3[[#This Row],[Income]]="&gt;50K",Tabela3[[#This Row],[Age]],NA())</f>
        <v>#N/A</v>
      </c>
      <c r="T619" t="e">
        <f>IF(Tabela3[[#This Row],[Income]]="&gt;50K",Tabela3[[#This Row],[education-num]],NA())</f>
        <v>#N/A</v>
      </c>
    </row>
    <row r="620" spans="1:20">
      <c r="A620">
        <v>619</v>
      </c>
      <c r="B620">
        <v>39</v>
      </c>
      <c r="C620" t="s">
        <v>34</v>
      </c>
      <c r="D620">
        <v>110426</v>
      </c>
      <c r="E620" t="s">
        <v>43</v>
      </c>
      <c r="F620">
        <v>12</v>
      </c>
      <c r="G620" t="s">
        <v>63</v>
      </c>
      <c r="H620" t="s">
        <v>80</v>
      </c>
      <c r="I620" t="s">
        <v>65</v>
      </c>
      <c r="J620" t="s">
        <v>39</v>
      </c>
      <c r="K620" t="s">
        <v>40</v>
      </c>
      <c r="L620">
        <v>15024</v>
      </c>
      <c r="M620">
        <v>0</v>
      </c>
      <c r="N620">
        <v>45</v>
      </c>
      <c r="O620" t="s">
        <v>41</v>
      </c>
      <c r="P620" t="s">
        <v>53</v>
      </c>
      <c r="Q620" t="e">
        <f>IF(Tabela3[[#This Row],[Income]]="&lt;=50K",Tabela3[[#This Row],[Age]],NA())</f>
        <v>#N/A</v>
      </c>
      <c r="R620" t="e">
        <f>IF(Tabela3[[#This Row],[Income]]="&lt;=50K",Tabela3[[#This Row],[education-num]],NA())</f>
        <v>#N/A</v>
      </c>
      <c r="S620">
        <f>IF(Tabela3[[#This Row],[Income]]="&gt;50K",Tabela3[[#This Row],[Age]],NA())</f>
        <v>39</v>
      </c>
      <c r="T620">
        <f>IF(Tabela3[[#This Row],[Income]]="&gt;50K",Tabela3[[#This Row],[education-num]],NA())</f>
        <v>12</v>
      </c>
    </row>
    <row r="621" spans="1:20">
      <c r="A621">
        <v>620</v>
      </c>
      <c r="B621">
        <v>43</v>
      </c>
      <c r="C621" t="s">
        <v>54</v>
      </c>
      <c r="D621">
        <v>188280</v>
      </c>
      <c r="E621" t="s">
        <v>73</v>
      </c>
      <c r="F621">
        <v>14</v>
      </c>
      <c r="G621" t="s">
        <v>49</v>
      </c>
      <c r="H621" t="s">
        <v>61</v>
      </c>
      <c r="I621" t="s">
        <v>69</v>
      </c>
      <c r="J621" t="s">
        <v>39</v>
      </c>
      <c r="K621" t="s">
        <v>40</v>
      </c>
      <c r="L621">
        <v>914</v>
      </c>
      <c r="M621">
        <v>0</v>
      </c>
      <c r="N621">
        <v>40</v>
      </c>
      <c r="O621" t="s">
        <v>41</v>
      </c>
      <c r="P621" t="s">
        <v>42</v>
      </c>
      <c r="Q621">
        <f>IF(Tabela3[[#This Row],[Income]]="&lt;=50K",Tabela3[[#This Row],[Age]],NA())</f>
        <v>43</v>
      </c>
      <c r="R621">
        <f>IF(Tabela3[[#This Row],[Income]]="&lt;=50K",Tabela3[[#This Row],[education-num]],NA())</f>
        <v>14</v>
      </c>
      <c r="S621" t="e">
        <f>IF(Tabela3[[#This Row],[Income]]="&gt;50K",Tabela3[[#This Row],[Age]],NA())</f>
        <v>#N/A</v>
      </c>
      <c r="T621" t="e">
        <f>IF(Tabela3[[#This Row],[Income]]="&gt;50K",Tabela3[[#This Row],[education-num]],NA())</f>
        <v>#N/A</v>
      </c>
    </row>
    <row r="622" spans="1:20">
      <c r="A622">
        <v>621</v>
      </c>
      <c r="B622">
        <v>37</v>
      </c>
      <c r="C622" t="s">
        <v>34</v>
      </c>
      <c r="D622">
        <v>199753</v>
      </c>
      <c r="E622" t="s">
        <v>46</v>
      </c>
      <c r="F622">
        <v>10</v>
      </c>
      <c r="G622" t="s">
        <v>63</v>
      </c>
      <c r="H622" t="s">
        <v>50</v>
      </c>
      <c r="I622" t="s">
        <v>66</v>
      </c>
      <c r="J622" t="s">
        <v>39</v>
      </c>
      <c r="K622" t="s">
        <v>52</v>
      </c>
      <c r="L622">
        <v>0</v>
      </c>
      <c r="M622">
        <v>0</v>
      </c>
      <c r="N622">
        <v>35</v>
      </c>
      <c r="O622" t="s">
        <v>41</v>
      </c>
      <c r="P622" t="s">
        <v>53</v>
      </c>
      <c r="Q622" t="e">
        <f>IF(Tabela3[[#This Row],[Income]]="&lt;=50K",Tabela3[[#This Row],[Age]],NA())</f>
        <v>#N/A</v>
      </c>
      <c r="R622" t="e">
        <f>IF(Tabela3[[#This Row],[Income]]="&lt;=50K",Tabela3[[#This Row],[education-num]],NA())</f>
        <v>#N/A</v>
      </c>
      <c r="S622">
        <f>IF(Tabela3[[#This Row],[Income]]="&gt;50K",Tabela3[[#This Row],[Age]],NA())</f>
        <v>37</v>
      </c>
      <c r="T622">
        <f>IF(Tabela3[[#This Row],[Income]]="&gt;50K",Tabela3[[#This Row],[education-num]],NA())</f>
        <v>10</v>
      </c>
    </row>
    <row r="623" spans="1:20">
      <c r="A623">
        <v>622</v>
      </c>
      <c r="B623">
        <v>25</v>
      </c>
      <c r="C623" t="s">
        <v>34</v>
      </c>
      <c r="D623">
        <v>222539</v>
      </c>
      <c r="E623" t="s">
        <v>77</v>
      </c>
      <c r="F623">
        <v>6</v>
      </c>
      <c r="G623" t="s">
        <v>36</v>
      </c>
      <c r="H623" t="s">
        <v>72</v>
      </c>
      <c r="I623" t="s">
        <v>45</v>
      </c>
      <c r="J623" t="s">
        <v>39</v>
      </c>
      <c r="K623" t="s">
        <v>52</v>
      </c>
      <c r="L623">
        <v>2597</v>
      </c>
      <c r="M623">
        <v>0</v>
      </c>
      <c r="N623">
        <v>50</v>
      </c>
      <c r="O623" t="s">
        <v>41</v>
      </c>
      <c r="P623" t="s">
        <v>42</v>
      </c>
      <c r="Q623">
        <f>IF(Tabela3[[#This Row],[Income]]="&lt;=50K",Tabela3[[#This Row],[Age]],NA())</f>
        <v>25</v>
      </c>
      <c r="R623">
        <f>IF(Tabela3[[#This Row],[Income]]="&lt;=50K",Tabela3[[#This Row],[education-num]],NA())</f>
        <v>6</v>
      </c>
      <c r="S623" t="e">
        <f>IF(Tabela3[[#This Row],[Income]]="&gt;50K",Tabela3[[#This Row],[Age]],NA())</f>
        <v>#N/A</v>
      </c>
      <c r="T623" t="e">
        <f>IF(Tabela3[[#This Row],[Income]]="&gt;50K",Tabela3[[#This Row],[education-num]],NA())</f>
        <v>#N/A</v>
      </c>
    </row>
    <row r="624" spans="1:20">
      <c r="A624">
        <v>623</v>
      </c>
      <c r="B624">
        <v>41</v>
      </c>
      <c r="C624" t="s">
        <v>71</v>
      </c>
      <c r="D624">
        <v>252127</v>
      </c>
      <c r="E624" t="s">
        <v>46</v>
      </c>
      <c r="F624">
        <v>10</v>
      </c>
      <c r="G624" t="s">
        <v>81</v>
      </c>
      <c r="H624" t="s">
        <v>71</v>
      </c>
      <c r="I624" t="s">
        <v>69</v>
      </c>
      <c r="J624" t="s">
        <v>57</v>
      </c>
      <c r="K624" t="s">
        <v>40</v>
      </c>
      <c r="L624">
        <v>0</v>
      </c>
      <c r="M624">
        <v>0</v>
      </c>
      <c r="N624">
        <v>20</v>
      </c>
      <c r="O624" t="s">
        <v>41</v>
      </c>
      <c r="P624" t="s">
        <v>42</v>
      </c>
      <c r="Q624">
        <f>IF(Tabela3[[#This Row],[Income]]="&lt;=50K",Tabela3[[#This Row],[Age]],NA())</f>
        <v>41</v>
      </c>
      <c r="R624">
        <f>IF(Tabela3[[#This Row],[Income]]="&lt;=50K",Tabela3[[#This Row],[education-num]],NA())</f>
        <v>10</v>
      </c>
      <c r="S624" t="e">
        <f>IF(Tabela3[[#This Row],[Income]]="&gt;50K",Tabela3[[#This Row],[Age]],NA())</f>
        <v>#N/A</v>
      </c>
      <c r="T624" t="e">
        <f>IF(Tabela3[[#This Row],[Income]]="&gt;50K",Tabela3[[#This Row],[education-num]],NA())</f>
        <v>#N/A</v>
      </c>
    </row>
    <row r="625" spans="1:20">
      <c r="A625">
        <v>624</v>
      </c>
      <c r="B625">
        <v>48</v>
      </c>
      <c r="C625" t="s">
        <v>74</v>
      </c>
      <c r="D625">
        <v>28791</v>
      </c>
      <c r="E625" t="s">
        <v>62</v>
      </c>
      <c r="F625">
        <v>9</v>
      </c>
      <c r="G625" t="s">
        <v>63</v>
      </c>
      <c r="H625" t="s">
        <v>44</v>
      </c>
      <c r="I625" t="s">
        <v>65</v>
      </c>
      <c r="J625" t="s">
        <v>39</v>
      </c>
      <c r="K625" t="s">
        <v>40</v>
      </c>
      <c r="L625">
        <v>0</v>
      </c>
      <c r="M625">
        <v>0</v>
      </c>
      <c r="N625">
        <v>50</v>
      </c>
      <c r="O625" t="s">
        <v>41</v>
      </c>
      <c r="P625" t="s">
        <v>42</v>
      </c>
      <c r="Q625">
        <f>IF(Tabela3[[#This Row],[Income]]="&lt;=50K",Tabela3[[#This Row],[Age]],NA())</f>
        <v>48</v>
      </c>
      <c r="R625">
        <f>IF(Tabela3[[#This Row],[Income]]="&lt;=50K",Tabela3[[#This Row],[education-num]],NA())</f>
        <v>9</v>
      </c>
      <c r="S625" t="e">
        <f>IF(Tabela3[[#This Row],[Income]]="&gt;50K",Tabela3[[#This Row],[Age]],NA())</f>
        <v>#N/A</v>
      </c>
      <c r="T625" t="e">
        <f>IF(Tabela3[[#This Row],[Income]]="&gt;50K",Tabela3[[#This Row],[education-num]],NA())</f>
        <v>#N/A</v>
      </c>
    </row>
    <row r="626" spans="1:20">
      <c r="A626">
        <v>625</v>
      </c>
      <c r="B626">
        <v>28</v>
      </c>
      <c r="C626" t="s">
        <v>54</v>
      </c>
      <c r="D626">
        <v>401886</v>
      </c>
      <c r="E626" t="s">
        <v>62</v>
      </c>
      <c r="F626">
        <v>9</v>
      </c>
      <c r="G626" t="s">
        <v>36</v>
      </c>
      <c r="H626" t="s">
        <v>67</v>
      </c>
      <c r="I626" t="s">
        <v>79</v>
      </c>
      <c r="J626" t="s">
        <v>39</v>
      </c>
      <c r="K626" t="s">
        <v>52</v>
      </c>
      <c r="L626">
        <v>0</v>
      </c>
      <c r="M626">
        <v>0</v>
      </c>
      <c r="N626">
        <v>20</v>
      </c>
      <c r="O626" t="s">
        <v>41</v>
      </c>
      <c r="P626" t="s">
        <v>42</v>
      </c>
      <c r="Q626">
        <f>IF(Tabela3[[#This Row],[Income]]="&lt;=50K",Tabela3[[#This Row],[Age]],NA())</f>
        <v>28</v>
      </c>
      <c r="R626">
        <f>IF(Tabela3[[#This Row],[Income]]="&lt;=50K",Tabela3[[#This Row],[education-num]],NA())</f>
        <v>9</v>
      </c>
      <c r="S626" t="e">
        <f>IF(Tabela3[[#This Row],[Income]]="&gt;50K",Tabela3[[#This Row],[Age]],NA())</f>
        <v>#N/A</v>
      </c>
      <c r="T626" t="e">
        <f>IF(Tabela3[[#This Row],[Income]]="&gt;50K",Tabela3[[#This Row],[education-num]],NA())</f>
        <v>#N/A</v>
      </c>
    </row>
    <row r="627" spans="1:20">
      <c r="A627">
        <v>626</v>
      </c>
      <c r="B627">
        <v>42</v>
      </c>
      <c r="C627" t="s">
        <v>71</v>
      </c>
      <c r="D627">
        <v>175935</v>
      </c>
      <c r="E627" t="s">
        <v>62</v>
      </c>
      <c r="F627">
        <v>9</v>
      </c>
      <c r="G627" t="s">
        <v>55</v>
      </c>
      <c r="H627" t="s">
        <v>71</v>
      </c>
      <c r="I627" t="s">
        <v>69</v>
      </c>
      <c r="J627" t="s">
        <v>39</v>
      </c>
      <c r="K627" t="s">
        <v>52</v>
      </c>
      <c r="L627">
        <v>0</v>
      </c>
      <c r="M627">
        <v>0</v>
      </c>
      <c r="N627">
        <v>40</v>
      </c>
      <c r="O627" t="s">
        <v>41</v>
      </c>
      <c r="P627" t="s">
        <v>42</v>
      </c>
      <c r="Q627">
        <f>IF(Tabela3[[#This Row],[Income]]="&lt;=50K",Tabela3[[#This Row],[Age]],NA())</f>
        <v>42</v>
      </c>
      <c r="R627">
        <f>IF(Tabela3[[#This Row],[Income]]="&lt;=50K",Tabela3[[#This Row],[education-num]],NA())</f>
        <v>9</v>
      </c>
      <c r="S627" t="e">
        <f>IF(Tabela3[[#This Row],[Income]]="&gt;50K",Tabela3[[#This Row],[Age]],NA())</f>
        <v>#N/A</v>
      </c>
      <c r="T627" t="e">
        <f>IF(Tabela3[[#This Row],[Income]]="&gt;50K",Tabela3[[#This Row],[education-num]],NA())</f>
        <v>#N/A</v>
      </c>
    </row>
    <row r="628" spans="1:20">
      <c r="A628">
        <v>627</v>
      </c>
      <c r="B628">
        <v>42</v>
      </c>
      <c r="C628" t="s">
        <v>54</v>
      </c>
      <c r="D628">
        <v>194417</v>
      </c>
      <c r="E628" t="s">
        <v>46</v>
      </c>
      <c r="F628">
        <v>10</v>
      </c>
      <c r="G628" t="s">
        <v>63</v>
      </c>
      <c r="H628" t="s">
        <v>89</v>
      </c>
      <c r="I628" t="s">
        <v>66</v>
      </c>
      <c r="J628" t="s">
        <v>39</v>
      </c>
      <c r="K628" t="s">
        <v>52</v>
      </c>
      <c r="L628">
        <v>0</v>
      </c>
      <c r="M628">
        <v>0</v>
      </c>
      <c r="N628">
        <v>40</v>
      </c>
      <c r="O628" t="s">
        <v>41</v>
      </c>
      <c r="P628" t="s">
        <v>53</v>
      </c>
      <c r="Q628" t="e">
        <f>IF(Tabela3[[#This Row],[Income]]="&lt;=50K",Tabela3[[#This Row],[Age]],NA())</f>
        <v>#N/A</v>
      </c>
      <c r="R628" t="e">
        <f>IF(Tabela3[[#This Row],[Income]]="&lt;=50K",Tabela3[[#This Row],[education-num]],NA())</f>
        <v>#N/A</v>
      </c>
      <c r="S628">
        <f>IF(Tabela3[[#This Row],[Income]]="&gt;50K",Tabela3[[#This Row],[Age]],NA())</f>
        <v>42</v>
      </c>
      <c r="T628">
        <f>IF(Tabela3[[#This Row],[Income]]="&gt;50K",Tabela3[[#This Row],[education-num]],NA())</f>
        <v>10</v>
      </c>
    </row>
    <row r="629" spans="1:20">
      <c r="A629">
        <v>628</v>
      </c>
      <c r="B629">
        <v>57</v>
      </c>
      <c r="C629" t="s">
        <v>74</v>
      </c>
      <c r="D629">
        <v>413373</v>
      </c>
      <c r="E629" t="s">
        <v>97</v>
      </c>
      <c r="F629">
        <v>16</v>
      </c>
      <c r="G629" t="s">
        <v>63</v>
      </c>
      <c r="H629" t="s">
        <v>44</v>
      </c>
      <c r="I629" t="s">
        <v>66</v>
      </c>
      <c r="J629" t="s">
        <v>39</v>
      </c>
      <c r="K629" t="s">
        <v>52</v>
      </c>
      <c r="L629">
        <v>0</v>
      </c>
      <c r="M629">
        <v>1902</v>
      </c>
      <c r="N629">
        <v>40</v>
      </c>
      <c r="O629" t="s">
        <v>41</v>
      </c>
      <c r="P629" t="s">
        <v>53</v>
      </c>
      <c r="Q629" t="e">
        <f>IF(Tabela3[[#This Row],[Income]]="&lt;=50K",Tabela3[[#This Row],[Age]],NA())</f>
        <v>#N/A</v>
      </c>
      <c r="R629" t="e">
        <f>IF(Tabela3[[#This Row],[Income]]="&lt;=50K",Tabela3[[#This Row],[education-num]],NA())</f>
        <v>#N/A</v>
      </c>
      <c r="S629">
        <f>IF(Tabela3[[#This Row],[Income]]="&gt;50K",Tabela3[[#This Row],[Age]],NA())</f>
        <v>57</v>
      </c>
      <c r="T629">
        <f>IF(Tabela3[[#This Row],[Income]]="&gt;50K",Tabela3[[#This Row],[education-num]],NA())</f>
        <v>16</v>
      </c>
    </row>
    <row r="630" spans="1:20">
      <c r="A630">
        <v>629</v>
      </c>
      <c r="B630">
        <v>36</v>
      </c>
      <c r="C630" t="s">
        <v>34</v>
      </c>
      <c r="D630">
        <v>418702</v>
      </c>
      <c r="E630" t="s">
        <v>78</v>
      </c>
      <c r="F630">
        <v>11</v>
      </c>
      <c r="G630" t="s">
        <v>49</v>
      </c>
      <c r="H630" t="s">
        <v>67</v>
      </c>
      <c r="I630" t="s">
        <v>69</v>
      </c>
      <c r="J630" t="s">
        <v>39</v>
      </c>
      <c r="K630" t="s">
        <v>40</v>
      </c>
      <c r="L630">
        <v>0</v>
      </c>
      <c r="M630">
        <v>0</v>
      </c>
      <c r="N630">
        <v>40</v>
      </c>
      <c r="O630" t="s">
        <v>41</v>
      </c>
      <c r="P630" t="s">
        <v>42</v>
      </c>
      <c r="Q630">
        <f>IF(Tabela3[[#This Row],[Income]]="&lt;=50K",Tabela3[[#This Row],[Age]],NA())</f>
        <v>36</v>
      </c>
      <c r="R630">
        <f>IF(Tabela3[[#This Row],[Income]]="&lt;=50K",Tabela3[[#This Row],[education-num]],NA())</f>
        <v>11</v>
      </c>
      <c r="S630" t="e">
        <f>IF(Tabela3[[#This Row],[Income]]="&gt;50K",Tabela3[[#This Row],[Age]],NA())</f>
        <v>#N/A</v>
      </c>
      <c r="T630" t="e">
        <f>IF(Tabela3[[#This Row],[Income]]="&gt;50K",Tabela3[[#This Row],[education-num]],NA())</f>
        <v>#N/A</v>
      </c>
    </row>
    <row r="631" spans="1:20">
      <c r="A631">
        <v>630</v>
      </c>
      <c r="B631">
        <v>34</v>
      </c>
      <c r="C631" t="s">
        <v>54</v>
      </c>
      <c r="D631">
        <v>136331</v>
      </c>
      <c r="E631" t="s">
        <v>60</v>
      </c>
      <c r="F631">
        <v>13</v>
      </c>
      <c r="G631" t="s">
        <v>63</v>
      </c>
      <c r="H631" t="s">
        <v>61</v>
      </c>
      <c r="I631" t="s">
        <v>66</v>
      </c>
      <c r="J631" t="s">
        <v>39</v>
      </c>
      <c r="K631" t="s">
        <v>52</v>
      </c>
      <c r="L631">
        <v>0</v>
      </c>
      <c r="M631">
        <v>0</v>
      </c>
      <c r="N631">
        <v>60</v>
      </c>
      <c r="O631" t="s">
        <v>41</v>
      </c>
      <c r="P631" t="s">
        <v>42</v>
      </c>
      <c r="Q631">
        <f>IF(Tabela3[[#This Row],[Income]]="&lt;=50K",Tabela3[[#This Row],[Age]],NA())</f>
        <v>34</v>
      </c>
      <c r="R631">
        <f>IF(Tabela3[[#This Row],[Income]]="&lt;=50K",Tabela3[[#This Row],[education-num]],NA())</f>
        <v>13</v>
      </c>
      <c r="S631" t="e">
        <f>IF(Tabela3[[#This Row],[Income]]="&gt;50K",Tabela3[[#This Row],[Age]],NA())</f>
        <v>#N/A</v>
      </c>
      <c r="T631" t="e">
        <f>IF(Tabela3[[#This Row],[Income]]="&gt;50K",Tabela3[[#This Row],[education-num]],NA())</f>
        <v>#N/A</v>
      </c>
    </row>
    <row r="632" spans="1:20">
      <c r="A632">
        <v>631</v>
      </c>
      <c r="B632">
        <v>18</v>
      </c>
      <c r="C632" t="s">
        <v>83</v>
      </c>
      <c r="D632">
        <v>174202</v>
      </c>
      <c r="E632" t="s">
        <v>62</v>
      </c>
      <c r="F632">
        <v>9</v>
      </c>
      <c r="G632" t="s">
        <v>36</v>
      </c>
      <c r="H632" t="s">
        <v>72</v>
      </c>
      <c r="I632" t="s">
        <v>38</v>
      </c>
      <c r="J632" t="s">
        <v>39</v>
      </c>
      <c r="K632" t="s">
        <v>52</v>
      </c>
      <c r="L632">
        <v>0</v>
      </c>
      <c r="M632">
        <v>0</v>
      </c>
      <c r="N632">
        <v>60</v>
      </c>
      <c r="O632" t="s">
        <v>41</v>
      </c>
      <c r="P632" t="s">
        <v>42</v>
      </c>
      <c r="Q632">
        <f>IF(Tabela3[[#This Row],[Income]]="&lt;=50K",Tabela3[[#This Row],[Age]],NA())</f>
        <v>18</v>
      </c>
      <c r="R632">
        <f>IF(Tabela3[[#This Row],[Income]]="&lt;=50K",Tabela3[[#This Row],[education-num]],NA())</f>
        <v>9</v>
      </c>
      <c r="S632" t="e">
        <f>IF(Tabela3[[#This Row],[Income]]="&gt;50K",Tabela3[[#This Row],[Age]],NA())</f>
        <v>#N/A</v>
      </c>
      <c r="T632" t="e">
        <f>IF(Tabela3[[#This Row],[Income]]="&gt;50K",Tabela3[[#This Row],[education-num]],NA())</f>
        <v>#N/A</v>
      </c>
    </row>
    <row r="633" spans="1:20">
      <c r="A633">
        <v>632</v>
      </c>
      <c r="B633">
        <v>17</v>
      </c>
      <c r="C633" t="s">
        <v>34</v>
      </c>
      <c r="D633">
        <v>309504</v>
      </c>
      <c r="E633" t="s">
        <v>77</v>
      </c>
      <c r="F633">
        <v>6</v>
      </c>
      <c r="G633" t="s">
        <v>36</v>
      </c>
      <c r="H633" t="s">
        <v>44</v>
      </c>
      <c r="I633" t="s">
        <v>69</v>
      </c>
      <c r="J633" t="s">
        <v>39</v>
      </c>
      <c r="K633" t="s">
        <v>40</v>
      </c>
      <c r="L633">
        <v>0</v>
      </c>
      <c r="M633">
        <v>0</v>
      </c>
      <c r="N633">
        <v>24</v>
      </c>
      <c r="O633" t="s">
        <v>41</v>
      </c>
      <c r="P633" t="s">
        <v>42</v>
      </c>
      <c r="Q633">
        <f>IF(Tabela3[[#This Row],[Income]]="&lt;=50K",Tabela3[[#This Row],[Age]],NA())</f>
        <v>17</v>
      </c>
      <c r="R633">
        <f>IF(Tabela3[[#This Row],[Income]]="&lt;=50K",Tabela3[[#This Row],[education-num]],NA())</f>
        <v>6</v>
      </c>
      <c r="S633" t="e">
        <f>IF(Tabela3[[#This Row],[Income]]="&gt;50K",Tabela3[[#This Row],[Age]],NA())</f>
        <v>#N/A</v>
      </c>
      <c r="T633" t="e">
        <f>IF(Tabela3[[#This Row],[Income]]="&gt;50K",Tabela3[[#This Row],[education-num]],NA())</f>
        <v>#N/A</v>
      </c>
    </row>
    <row r="634" spans="1:20">
      <c r="A634">
        <v>633</v>
      </c>
      <c r="B634">
        <v>34</v>
      </c>
      <c r="C634" t="s">
        <v>83</v>
      </c>
      <c r="D634">
        <v>154120</v>
      </c>
      <c r="E634" t="s">
        <v>62</v>
      </c>
      <c r="F634">
        <v>9</v>
      </c>
      <c r="G634" t="s">
        <v>36</v>
      </c>
      <c r="H634" t="s">
        <v>58</v>
      </c>
      <c r="I634" t="s">
        <v>38</v>
      </c>
      <c r="J634" t="s">
        <v>39</v>
      </c>
      <c r="K634" t="s">
        <v>52</v>
      </c>
      <c r="L634">
        <v>0</v>
      </c>
      <c r="M634">
        <v>0</v>
      </c>
      <c r="N634">
        <v>55</v>
      </c>
      <c r="O634" t="s">
        <v>41</v>
      </c>
      <c r="P634" t="s">
        <v>42</v>
      </c>
      <c r="Q634">
        <f>IF(Tabela3[[#This Row],[Income]]="&lt;=50K",Tabela3[[#This Row],[Age]],NA())</f>
        <v>34</v>
      </c>
      <c r="R634">
        <f>IF(Tabela3[[#This Row],[Income]]="&lt;=50K",Tabela3[[#This Row],[education-num]],NA())</f>
        <v>9</v>
      </c>
      <c r="S634" t="e">
        <f>IF(Tabela3[[#This Row],[Income]]="&gt;50K",Tabela3[[#This Row],[Age]],NA())</f>
        <v>#N/A</v>
      </c>
      <c r="T634" t="e">
        <f>IF(Tabela3[[#This Row],[Income]]="&gt;50K",Tabela3[[#This Row],[education-num]],NA())</f>
        <v>#N/A</v>
      </c>
    </row>
    <row r="635" spans="1:20">
      <c r="A635">
        <v>634</v>
      </c>
      <c r="B635">
        <v>40</v>
      </c>
      <c r="C635" t="s">
        <v>34</v>
      </c>
      <c r="D635">
        <v>259307</v>
      </c>
      <c r="E635" t="s">
        <v>46</v>
      </c>
      <c r="F635">
        <v>10</v>
      </c>
      <c r="G635" t="s">
        <v>36</v>
      </c>
      <c r="H635" t="s">
        <v>80</v>
      </c>
      <c r="I635" t="s">
        <v>45</v>
      </c>
      <c r="J635" t="s">
        <v>39</v>
      </c>
      <c r="K635" t="s">
        <v>52</v>
      </c>
      <c r="L635">
        <v>0</v>
      </c>
      <c r="M635">
        <v>0</v>
      </c>
      <c r="N635">
        <v>50</v>
      </c>
      <c r="O635" t="s">
        <v>41</v>
      </c>
      <c r="P635" t="s">
        <v>42</v>
      </c>
      <c r="Q635">
        <f>IF(Tabela3[[#This Row],[Income]]="&lt;=50K",Tabela3[[#This Row],[Age]],NA())</f>
        <v>40</v>
      </c>
      <c r="R635">
        <f>IF(Tabela3[[#This Row],[Income]]="&lt;=50K",Tabela3[[#This Row],[education-num]],NA())</f>
        <v>10</v>
      </c>
      <c r="S635" t="e">
        <f>IF(Tabela3[[#This Row],[Income]]="&gt;50K",Tabela3[[#This Row],[Age]],NA())</f>
        <v>#N/A</v>
      </c>
      <c r="T635" t="e">
        <f>IF(Tabela3[[#This Row],[Income]]="&gt;50K",Tabela3[[#This Row],[education-num]],NA())</f>
        <v>#N/A</v>
      </c>
    </row>
    <row r="636" spans="1:20">
      <c r="A636">
        <v>635</v>
      </c>
      <c r="B636">
        <v>26</v>
      </c>
      <c r="C636" t="s">
        <v>34</v>
      </c>
      <c r="D636">
        <v>107827</v>
      </c>
      <c r="E636" t="s">
        <v>62</v>
      </c>
      <c r="F636">
        <v>9</v>
      </c>
      <c r="G636" t="s">
        <v>36</v>
      </c>
      <c r="H636" t="s">
        <v>37</v>
      </c>
      <c r="I636" t="s">
        <v>69</v>
      </c>
      <c r="J636" t="s">
        <v>39</v>
      </c>
      <c r="K636" t="s">
        <v>52</v>
      </c>
      <c r="L636">
        <v>0</v>
      </c>
      <c r="M636">
        <v>0</v>
      </c>
      <c r="N636">
        <v>25</v>
      </c>
      <c r="O636" t="s">
        <v>41</v>
      </c>
      <c r="P636" t="s">
        <v>42</v>
      </c>
      <c r="Q636">
        <f>IF(Tabela3[[#This Row],[Income]]="&lt;=50K",Tabela3[[#This Row],[Age]],NA())</f>
        <v>26</v>
      </c>
      <c r="R636">
        <f>IF(Tabela3[[#This Row],[Income]]="&lt;=50K",Tabela3[[#This Row],[education-num]],NA())</f>
        <v>9</v>
      </c>
      <c r="S636" t="e">
        <f>IF(Tabela3[[#This Row],[Income]]="&gt;50K",Tabela3[[#This Row],[Age]],NA())</f>
        <v>#N/A</v>
      </c>
      <c r="T636" t="e">
        <f>IF(Tabela3[[#This Row],[Income]]="&gt;50K",Tabela3[[#This Row],[education-num]],NA())</f>
        <v>#N/A</v>
      </c>
    </row>
    <row r="637" spans="1:20">
      <c r="A637">
        <v>636</v>
      </c>
      <c r="B637">
        <v>66</v>
      </c>
      <c r="C637" t="s">
        <v>34</v>
      </c>
      <c r="D637">
        <v>115498</v>
      </c>
      <c r="E637" t="s">
        <v>60</v>
      </c>
      <c r="F637">
        <v>13</v>
      </c>
      <c r="G637" t="s">
        <v>63</v>
      </c>
      <c r="H637" t="s">
        <v>80</v>
      </c>
      <c r="I637" t="s">
        <v>66</v>
      </c>
      <c r="J637" t="s">
        <v>39</v>
      </c>
      <c r="K637" t="s">
        <v>52</v>
      </c>
      <c r="L637">
        <v>99999</v>
      </c>
      <c r="M637">
        <v>0</v>
      </c>
      <c r="N637">
        <v>55</v>
      </c>
      <c r="O637" t="s">
        <v>71</v>
      </c>
      <c r="P637" t="s">
        <v>53</v>
      </c>
      <c r="Q637" t="e">
        <f>IF(Tabela3[[#This Row],[Income]]="&lt;=50K",Tabela3[[#This Row],[Age]],NA())</f>
        <v>#N/A</v>
      </c>
      <c r="R637" t="e">
        <f>IF(Tabela3[[#This Row],[Income]]="&lt;=50K",Tabela3[[#This Row],[education-num]],NA())</f>
        <v>#N/A</v>
      </c>
      <c r="S637">
        <f>IF(Tabela3[[#This Row],[Income]]="&gt;50K",Tabela3[[#This Row],[Age]],NA())</f>
        <v>66</v>
      </c>
      <c r="T637">
        <f>IF(Tabela3[[#This Row],[Income]]="&gt;50K",Tabela3[[#This Row],[education-num]],NA())</f>
        <v>13</v>
      </c>
    </row>
    <row r="638" spans="1:20">
      <c r="A638">
        <v>637</v>
      </c>
      <c r="B638">
        <v>37</v>
      </c>
      <c r="C638" t="s">
        <v>34</v>
      </c>
      <c r="D638">
        <v>272950</v>
      </c>
      <c r="E638" t="s">
        <v>62</v>
      </c>
      <c r="F638">
        <v>9</v>
      </c>
      <c r="G638" t="s">
        <v>49</v>
      </c>
      <c r="H638" t="s">
        <v>50</v>
      </c>
      <c r="I638" t="s">
        <v>45</v>
      </c>
      <c r="J638" t="s">
        <v>39</v>
      </c>
      <c r="K638" t="s">
        <v>52</v>
      </c>
      <c r="L638">
        <v>0</v>
      </c>
      <c r="M638">
        <v>0</v>
      </c>
      <c r="N638">
        <v>40</v>
      </c>
      <c r="O638" t="s">
        <v>41</v>
      </c>
      <c r="P638" t="s">
        <v>42</v>
      </c>
      <c r="Q638">
        <f>IF(Tabela3[[#This Row],[Income]]="&lt;=50K",Tabela3[[#This Row],[Age]],NA())</f>
        <v>37</v>
      </c>
      <c r="R638">
        <f>IF(Tabela3[[#This Row],[Income]]="&lt;=50K",Tabela3[[#This Row],[education-num]],NA())</f>
        <v>9</v>
      </c>
      <c r="S638" t="e">
        <f>IF(Tabela3[[#This Row],[Income]]="&gt;50K",Tabela3[[#This Row],[Age]],NA())</f>
        <v>#N/A</v>
      </c>
      <c r="T638" t="e">
        <f>IF(Tabela3[[#This Row],[Income]]="&gt;50K",Tabela3[[#This Row],[education-num]],NA())</f>
        <v>#N/A</v>
      </c>
    </row>
    <row r="639" spans="1:20">
      <c r="A639">
        <v>638</v>
      </c>
      <c r="B639">
        <v>41</v>
      </c>
      <c r="C639" t="s">
        <v>34</v>
      </c>
      <c r="D639">
        <v>318046</v>
      </c>
      <c r="E639" t="s">
        <v>46</v>
      </c>
      <c r="F639">
        <v>10</v>
      </c>
      <c r="G639" t="s">
        <v>63</v>
      </c>
      <c r="H639" t="s">
        <v>72</v>
      </c>
      <c r="I639" t="s">
        <v>66</v>
      </c>
      <c r="J639" t="s">
        <v>39</v>
      </c>
      <c r="K639" t="s">
        <v>52</v>
      </c>
      <c r="L639">
        <v>0</v>
      </c>
      <c r="M639">
        <v>0</v>
      </c>
      <c r="N639">
        <v>48</v>
      </c>
      <c r="O639" t="s">
        <v>41</v>
      </c>
      <c r="P639" t="s">
        <v>53</v>
      </c>
      <c r="Q639" t="e">
        <f>IF(Tabela3[[#This Row],[Income]]="&lt;=50K",Tabela3[[#This Row],[Age]],NA())</f>
        <v>#N/A</v>
      </c>
      <c r="R639" t="e">
        <f>IF(Tabela3[[#This Row],[Income]]="&lt;=50K",Tabela3[[#This Row],[education-num]],NA())</f>
        <v>#N/A</v>
      </c>
      <c r="S639">
        <f>IF(Tabela3[[#This Row],[Income]]="&gt;50K",Tabela3[[#This Row],[Age]],NA())</f>
        <v>41</v>
      </c>
      <c r="T639">
        <f>IF(Tabela3[[#This Row],[Income]]="&gt;50K",Tabela3[[#This Row],[education-num]],NA())</f>
        <v>10</v>
      </c>
    </row>
    <row r="640" spans="1:20">
      <c r="A640">
        <v>639</v>
      </c>
      <c r="B640">
        <v>65</v>
      </c>
      <c r="C640" t="s">
        <v>54</v>
      </c>
      <c r="D640">
        <v>103153</v>
      </c>
      <c r="E640" t="s">
        <v>91</v>
      </c>
      <c r="F640">
        <v>4</v>
      </c>
      <c r="G640" t="s">
        <v>63</v>
      </c>
      <c r="H640" t="s">
        <v>80</v>
      </c>
      <c r="I640" t="s">
        <v>66</v>
      </c>
      <c r="J640" t="s">
        <v>39</v>
      </c>
      <c r="K640" t="s">
        <v>52</v>
      </c>
      <c r="L640">
        <v>0</v>
      </c>
      <c r="M640">
        <v>1411</v>
      </c>
      <c r="N640">
        <v>40</v>
      </c>
      <c r="O640" t="s">
        <v>41</v>
      </c>
      <c r="P640" t="s">
        <v>42</v>
      </c>
      <c r="Q640">
        <f>IF(Tabela3[[#This Row],[Income]]="&lt;=50K",Tabela3[[#This Row],[Age]],NA())</f>
        <v>65</v>
      </c>
      <c r="R640">
        <f>IF(Tabela3[[#This Row],[Income]]="&lt;=50K",Tabela3[[#This Row],[education-num]],NA())</f>
        <v>4</v>
      </c>
      <c r="S640" t="e">
        <f>IF(Tabela3[[#This Row],[Income]]="&gt;50K",Tabela3[[#This Row],[Age]],NA())</f>
        <v>#N/A</v>
      </c>
      <c r="T640" t="e">
        <f>IF(Tabela3[[#This Row],[Income]]="&gt;50K",Tabela3[[#This Row],[education-num]],NA())</f>
        <v>#N/A</v>
      </c>
    </row>
    <row r="641" spans="1:20">
      <c r="A641">
        <v>640</v>
      </c>
      <c r="B641">
        <v>54</v>
      </c>
      <c r="C641" t="s">
        <v>34</v>
      </c>
      <c r="D641">
        <v>161691</v>
      </c>
      <c r="E641" t="s">
        <v>73</v>
      </c>
      <c r="F641">
        <v>14</v>
      </c>
      <c r="G641" t="s">
        <v>49</v>
      </c>
      <c r="H641" t="s">
        <v>61</v>
      </c>
      <c r="I641" t="s">
        <v>45</v>
      </c>
      <c r="J641" t="s">
        <v>39</v>
      </c>
      <c r="K641" t="s">
        <v>40</v>
      </c>
      <c r="L641">
        <v>0</v>
      </c>
      <c r="M641">
        <v>2559</v>
      </c>
      <c r="N641">
        <v>40</v>
      </c>
      <c r="O641" t="s">
        <v>41</v>
      </c>
      <c r="P641" t="s">
        <v>53</v>
      </c>
      <c r="Q641" t="e">
        <f>IF(Tabela3[[#This Row],[Income]]="&lt;=50K",Tabela3[[#This Row],[Age]],NA())</f>
        <v>#N/A</v>
      </c>
      <c r="R641" t="e">
        <f>IF(Tabela3[[#This Row],[Income]]="&lt;=50K",Tabela3[[#This Row],[education-num]],NA())</f>
        <v>#N/A</v>
      </c>
      <c r="S641">
        <f>IF(Tabela3[[#This Row],[Income]]="&gt;50K",Tabela3[[#This Row],[Age]],NA())</f>
        <v>54</v>
      </c>
      <c r="T641">
        <f>IF(Tabela3[[#This Row],[Income]]="&gt;50K",Tabela3[[#This Row],[education-num]],NA())</f>
        <v>14</v>
      </c>
    </row>
    <row r="642" spans="1:20">
      <c r="A642">
        <v>641</v>
      </c>
      <c r="B642">
        <v>42</v>
      </c>
      <c r="C642" t="s">
        <v>34</v>
      </c>
      <c r="D642">
        <v>248356</v>
      </c>
      <c r="E642" t="s">
        <v>62</v>
      </c>
      <c r="F642">
        <v>9</v>
      </c>
      <c r="G642" t="s">
        <v>36</v>
      </c>
      <c r="H642" t="s">
        <v>44</v>
      </c>
      <c r="I642" t="s">
        <v>69</v>
      </c>
      <c r="J642" t="s">
        <v>39</v>
      </c>
      <c r="K642" t="s">
        <v>40</v>
      </c>
      <c r="L642">
        <v>0</v>
      </c>
      <c r="M642">
        <v>0</v>
      </c>
      <c r="N642">
        <v>40</v>
      </c>
      <c r="O642" t="s">
        <v>41</v>
      </c>
      <c r="P642" t="s">
        <v>42</v>
      </c>
      <c r="Q642">
        <f>IF(Tabela3[[#This Row],[Income]]="&lt;=50K",Tabela3[[#This Row],[Age]],NA())</f>
        <v>42</v>
      </c>
      <c r="R642">
        <f>IF(Tabela3[[#This Row],[Income]]="&lt;=50K",Tabela3[[#This Row],[education-num]],NA())</f>
        <v>9</v>
      </c>
      <c r="S642" t="e">
        <f>IF(Tabela3[[#This Row],[Income]]="&gt;50K",Tabela3[[#This Row],[Age]],NA())</f>
        <v>#N/A</v>
      </c>
      <c r="T642" t="e">
        <f>IF(Tabela3[[#This Row],[Income]]="&gt;50K",Tabela3[[#This Row],[education-num]],NA())</f>
        <v>#N/A</v>
      </c>
    </row>
    <row r="643" spans="1:20">
      <c r="A643">
        <v>642</v>
      </c>
      <c r="B643">
        <v>30</v>
      </c>
      <c r="C643" t="s">
        <v>74</v>
      </c>
      <c r="D643">
        <v>176185</v>
      </c>
      <c r="E643" t="s">
        <v>46</v>
      </c>
      <c r="F643">
        <v>10</v>
      </c>
      <c r="G643" t="s">
        <v>90</v>
      </c>
      <c r="H643" t="s">
        <v>50</v>
      </c>
      <c r="I643" t="s">
        <v>38</v>
      </c>
      <c r="J643" t="s">
        <v>39</v>
      </c>
      <c r="K643" t="s">
        <v>52</v>
      </c>
      <c r="L643">
        <v>0</v>
      </c>
      <c r="M643">
        <v>0</v>
      </c>
      <c r="N643">
        <v>60</v>
      </c>
      <c r="O643" t="s">
        <v>41</v>
      </c>
      <c r="P643" t="s">
        <v>53</v>
      </c>
      <c r="Q643" t="e">
        <f>IF(Tabela3[[#This Row],[Income]]="&lt;=50K",Tabela3[[#This Row],[Age]],NA())</f>
        <v>#N/A</v>
      </c>
      <c r="R643" t="e">
        <f>IF(Tabela3[[#This Row],[Income]]="&lt;=50K",Tabela3[[#This Row],[education-num]],NA())</f>
        <v>#N/A</v>
      </c>
      <c r="S643">
        <f>IF(Tabela3[[#This Row],[Income]]="&gt;50K",Tabela3[[#This Row],[Age]],NA())</f>
        <v>30</v>
      </c>
      <c r="T643">
        <f>IF(Tabela3[[#This Row],[Income]]="&gt;50K",Tabela3[[#This Row],[education-num]],NA())</f>
        <v>10</v>
      </c>
    </row>
    <row r="644" spans="1:20">
      <c r="A644">
        <v>643</v>
      </c>
      <c r="B644">
        <v>30</v>
      </c>
      <c r="C644" t="s">
        <v>71</v>
      </c>
      <c r="D644">
        <v>33811</v>
      </c>
      <c r="E644" t="s">
        <v>60</v>
      </c>
      <c r="F644">
        <v>13</v>
      </c>
      <c r="G644" t="s">
        <v>36</v>
      </c>
      <c r="H644" t="s">
        <v>71</v>
      </c>
      <c r="I644" t="s">
        <v>45</v>
      </c>
      <c r="J644" t="s">
        <v>70</v>
      </c>
      <c r="K644" t="s">
        <v>40</v>
      </c>
      <c r="L644">
        <v>0</v>
      </c>
      <c r="M644">
        <v>0</v>
      </c>
      <c r="N644">
        <v>99</v>
      </c>
      <c r="O644" t="s">
        <v>41</v>
      </c>
      <c r="P644" t="s">
        <v>42</v>
      </c>
      <c r="Q644">
        <f>IF(Tabela3[[#This Row],[Income]]="&lt;=50K",Tabela3[[#This Row],[Age]],NA())</f>
        <v>30</v>
      </c>
      <c r="R644">
        <f>IF(Tabela3[[#This Row],[Income]]="&lt;=50K",Tabela3[[#This Row],[education-num]],NA())</f>
        <v>13</v>
      </c>
      <c r="S644" t="e">
        <f>IF(Tabela3[[#This Row],[Income]]="&gt;50K",Tabela3[[#This Row],[Age]],NA())</f>
        <v>#N/A</v>
      </c>
      <c r="T644" t="e">
        <f>IF(Tabela3[[#This Row],[Income]]="&gt;50K",Tabela3[[#This Row],[education-num]],NA())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6"/>
  <sheetViews>
    <sheetView workbookViewId="0">
      <selection activeCell="B33" sqref="B33"/>
    </sheetView>
  </sheetViews>
  <sheetFormatPr defaultRowHeight="15"/>
  <cols>
    <col min="1" max="1" width="16.85546875" bestFit="1" customWidth="1"/>
    <col min="2" max="2" width="176.42578125" bestFit="1" customWidth="1"/>
  </cols>
  <sheetData>
    <row r="3" spans="1:2">
      <c r="A3" t="s">
        <v>0</v>
      </c>
      <c r="B3" t="s">
        <v>1</v>
      </c>
    </row>
    <row r="4" spans="1:2">
      <c r="A4" t="s">
        <v>23</v>
      </c>
      <c r="B4" t="s">
        <v>2</v>
      </c>
    </row>
    <row r="6" spans="1:2">
      <c r="A6" t="s">
        <v>3</v>
      </c>
      <c r="B6" t="s"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F9BD-B452-4875-9120-B19022B6453E}">
  <dimension ref="A1:F21"/>
  <sheetViews>
    <sheetView tabSelected="1" zoomScale="85" zoomScaleNormal="85" workbookViewId="0">
      <selection activeCell="D3" sqref="D3"/>
    </sheetView>
  </sheetViews>
  <sheetFormatPr defaultRowHeight="15"/>
  <cols>
    <col min="1" max="1" width="10.28515625" bestFit="1" customWidth="1"/>
    <col min="2" max="2" width="18.140625" bestFit="1" customWidth="1"/>
    <col min="3" max="3" width="25.28515625" bestFit="1" customWidth="1"/>
    <col min="4" max="4" width="92.5703125" bestFit="1" customWidth="1"/>
    <col min="5" max="5" width="98.42578125" customWidth="1"/>
    <col min="6" max="6" width="97.28515625" customWidth="1"/>
  </cols>
  <sheetData>
    <row r="1" spans="1:6">
      <c r="A1" t="s">
        <v>22</v>
      </c>
      <c r="B1" t="s">
        <v>6</v>
      </c>
      <c r="C1" t="s">
        <v>7</v>
      </c>
      <c r="D1" t="s">
        <v>8</v>
      </c>
      <c r="E1" t="s">
        <v>126</v>
      </c>
      <c r="F1" t="s">
        <v>134</v>
      </c>
    </row>
    <row r="2" spans="1:6" ht="60">
      <c r="A2" t="s">
        <v>5</v>
      </c>
      <c r="B2" t="s">
        <v>11</v>
      </c>
      <c r="C2" t="s">
        <v>16</v>
      </c>
      <c r="D2" t="s">
        <v>15</v>
      </c>
      <c r="E2" s="5" t="s">
        <v>127</v>
      </c>
      <c r="F2" s="5" t="s">
        <v>135</v>
      </c>
    </row>
    <row r="3" spans="1:6" ht="60">
      <c r="A3" t="s">
        <v>9</v>
      </c>
      <c r="B3" t="s">
        <v>14</v>
      </c>
      <c r="C3" s="1" t="s">
        <v>18</v>
      </c>
      <c r="D3" t="s">
        <v>20</v>
      </c>
      <c r="E3" s="5" t="s">
        <v>128</v>
      </c>
      <c r="F3" s="5" t="s">
        <v>136</v>
      </c>
    </row>
    <row r="4" spans="1:6" ht="60">
      <c r="A4" t="s">
        <v>10</v>
      </c>
      <c r="B4" t="s">
        <v>17</v>
      </c>
      <c r="C4" s="1" t="s">
        <v>19</v>
      </c>
      <c r="D4" t="s">
        <v>21</v>
      </c>
      <c r="E4" s="5" t="s">
        <v>133</v>
      </c>
      <c r="F4" s="5" t="s">
        <v>137</v>
      </c>
    </row>
    <row r="21" spans="2:2">
      <c r="B21">
        <f>CORREL(Tabela3[Age],Tabela3[education-num])</f>
        <v>1.5007393681016633E-2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63397-DDAA-4796-89CB-734A8FB47251}">
  <dimension ref="A3:I20"/>
  <sheetViews>
    <sheetView workbookViewId="0">
      <selection activeCell="I22" sqref="I22"/>
    </sheetView>
  </sheetViews>
  <sheetFormatPr defaultRowHeight="15"/>
  <cols>
    <col min="1" max="1" width="25.85546875" bestFit="1" customWidth="1"/>
    <col min="2" max="2" width="24.140625" bestFit="1" customWidth="1"/>
    <col min="3" max="3" width="22.7109375" bestFit="1" customWidth="1"/>
    <col min="4" max="4" width="24.140625" bestFit="1" customWidth="1"/>
    <col min="5" max="5" width="22.7109375" bestFit="1" customWidth="1"/>
    <col min="6" max="6" width="31.28515625" bestFit="1" customWidth="1"/>
    <col min="7" max="7" width="29.85546875" bestFit="1" customWidth="1"/>
    <col min="9" max="9" width="77.42578125" customWidth="1"/>
  </cols>
  <sheetData>
    <row r="3" spans="1:9" ht="60">
      <c r="B3" s="2" t="s">
        <v>115</v>
      </c>
      <c r="I3" s="5" t="s">
        <v>120</v>
      </c>
    </row>
    <row r="4" spans="1:9">
      <c r="B4" t="s">
        <v>42</v>
      </c>
      <c r="D4" t="s">
        <v>53</v>
      </c>
      <c r="F4" t="s">
        <v>117</v>
      </c>
      <c r="G4" t="s">
        <v>118</v>
      </c>
    </row>
    <row r="5" spans="1:9">
      <c r="A5" s="2" t="s">
        <v>113</v>
      </c>
      <c r="B5" t="s">
        <v>116</v>
      </c>
      <c r="C5" t="s">
        <v>119</v>
      </c>
      <c r="D5" t="s">
        <v>116</v>
      </c>
      <c r="E5" t="s">
        <v>119</v>
      </c>
    </row>
    <row r="6" spans="1:9">
      <c r="A6" s="3" t="s">
        <v>40</v>
      </c>
      <c r="B6" s="6">
        <v>35.566326530612244</v>
      </c>
      <c r="C6" s="6">
        <v>196</v>
      </c>
      <c r="D6" s="6">
        <v>38.391304347826086</v>
      </c>
      <c r="E6" s="6">
        <v>23</v>
      </c>
      <c r="F6" s="6">
        <v>35.863013698630134</v>
      </c>
      <c r="G6" s="6">
        <v>219</v>
      </c>
    </row>
    <row r="7" spans="1:9">
      <c r="A7" s="4" t="s">
        <v>49</v>
      </c>
      <c r="B7" s="6">
        <v>41.341463414634148</v>
      </c>
      <c r="C7" s="6">
        <v>41</v>
      </c>
      <c r="D7" s="6">
        <v>46</v>
      </c>
      <c r="E7" s="6">
        <v>5</v>
      </c>
      <c r="F7" s="6">
        <v>41.847826086956523</v>
      </c>
      <c r="G7" s="6">
        <v>46</v>
      </c>
    </row>
    <row r="8" spans="1:9">
      <c r="A8" s="4" t="s">
        <v>63</v>
      </c>
      <c r="B8" s="6">
        <v>34.541666666666664</v>
      </c>
      <c r="C8" s="6">
        <v>24</v>
      </c>
      <c r="D8" s="6">
        <v>35.533333333333331</v>
      </c>
      <c r="E8" s="6">
        <v>15</v>
      </c>
      <c r="F8" s="6">
        <v>34.92307692307692</v>
      </c>
      <c r="G8" s="6">
        <v>39</v>
      </c>
    </row>
    <row r="9" spans="1:9">
      <c r="A9" s="4" t="s">
        <v>90</v>
      </c>
      <c r="B9" s="6">
        <v>30</v>
      </c>
      <c r="C9" s="6">
        <v>3</v>
      </c>
      <c r="D9" s="6">
        <v>20</v>
      </c>
      <c r="E9" s="6">
        <v>1</v>
      </c>
      <c r="F9" s="6">
        <v>27.5</v>
      </c>
      <c r="G9" s="6">
        <v>4</v>
      </c>
    </row>
    <row r="10" spans="1:9">
      <c r="A10" s="4" t="s">
        <v>36</v>
      </c>
      <c r="B10" s="6">
        <v>34.03092783505155</v>
      </c>
      <c r="C10" s="6">
        <v>97</v>
      </c>
      <c r="D10" s="6">
        <v>50</v>
      </c>
      <c r="E10" s="6">
        <v>1</v>
      </c>
      <c r="F10" s="6">
        <v>34.193877551020407</v>
      </c>
      <c r="G10" s="6">
        <v>98</v>
      </c>
    </row>
    <row r="11" spans="1:9">
      <c r="A11" s="4" t="s">
        <v>55</v>
      </c>
      <c r="B11" s="6">
        <v>37.5</v>
      </c>
      <c r="C11" s="6">
        <v>12</v>
      </c>
      <c r="D11" s="6">
        <v>50</v>
      </c>
      <c r="E11" s="6">
        <v>1</v>
      </c>
      <c r="F11" s="6">
        <v>38.46153846153846</v>
      </c>
      <c r="G11" s="6">
        <v>13</v>
      </c>
    </row>
    <row r="12" spans="1:9">
      <c r="A12" s="4" t="s">
        <v>81</v>
      </c>
      <c r="B12" s="6">
        <v>31.894736842105264</v>
      </c>
      <c r="C12" s="6">
        <v>19</v>
      </c>
      <c r="D12" s="6"/>
      <c r="E12" s="6"/>
      <c r="F12" s="6">
        <v>31.894736842105264</v>
      </c>
      <c r="G12" s="6">
        <v>19</v>
      </c>
    </row>
    <row r="13" spans="1:9">
      <c r="A13" s="3" t="s">
        <v>52</v>
      </c>
      <c r="B13" s="6">
        <v>42.206081081081081</v>
      </c>
      <c r="C13" s="6">
        <v>296</v>
      </c>
      <c r="D13" s="6">
        <v>46.2265625</v>
      </c>
      <c r="E13" s="6">
        <v>128</v>
      </c>
      <c r="F13" s="6">
        <v>43.419811320754718</v>
      </c>
      <c r="G13" s="6">
        <v>424</v>
      </c>
    </row>
    <row r="14" spans="1:9">
      <c r="A14" s="4" t="s">
        <v>49</v>
      </c>
      <c r="B14" s="6">
        <v>42.090909090909093</v>
      </c>
      <c r="C14" s="6">
        <v>33</v>
      </c>
      <c r="D14" s="6">
        <v>48.909090909090907</v>
      </c>
      <c r="E14" s="6">
        <v>11</v>
      </c>
      <c r="F14" s="6">
        <v>43.795454545454547</v>
      </c>
      <c r="G14" s="6">
        <v>44</v>
      </c>
    </row>
    <row r="15" spans="1:9">
      <c r="A15" s="4" t="s">
        <v>63</v>
      </c>
      <c r="B15" s="6">
        <v>44.308823529411768</v>
      </c>
      <c r="C15" s="6">
        <v>136</v>
      </c>
      <c r="D15" s="6">
        <v>45.876190476190473</v>
      </c>
      <c r="E15" s="6">
        <v>105</v>
      </c>
      <c r="F15" s="6">
        <v>44.991701244813278</v>
      </c>
      <c r="G15" s="6">
        <v>241</v>
      </c>
    </row>
    <row r="16" spans="1:9">
      <c r="A16" s="4" t="s">
        <v>90</v>
      </c>
      <c r="B16" s="6">
        <v>40</v>
      </c>
      <c r="C16" s="6">
        <v>4</v>
      </c>
      <c r="D16" s="6">
        <v>49</v>
      </c>
      <c r="E16" s="6">
        <v>3</v>
      </c>
      <c r="F16" s="6">
        <v>43.857142857142854</v>
      </c>
      <c r="G16" s="6">
        <v>7</v>
      </c>
    </row>
    <row r="17" spans="1:7">
      <c r="A17" s="4" t="s">
        <v>36</v>
      </c>
      <c r="B17" s="6">
        <v>39.919642857142854</v>
      </c>
      <c r="C17" s="6">
        <v>112</v>
      </c>
      <c r="D17" s="6">
        <v>47.142857142857146</v>
      </c>
      <c r="E17" s="6">
        <v>7</v>
      </c>
      <c r="F17" s="6">
        <v>40.344537815126053</v>
      </c>
      <c r="G17" s="6">
        <v>119</v>
      </c>
    </row>
    <row r="18" spans="1:7">
      <c r="A18" s="4" t="s">
        <v>55</v>
      </c>
      <c r="B18" s="6">
        <v>36.5</v>
      </c>
      <c r="C18" s="6">
        <v>6</v>
      </c>
      <c r="D18" s="6">
        <v>42.5</v>
      </c>
      <c r="E18" s="6">
        <v>2</v>
      </c>
      <c r="F18" s="6">
        <v>38</v>
      </c>
      <c r="G18" s="6">
        <v>8</v>
      </c>
    </row>
    <row r="19" spans="1:7">
      <c r="A19" s="4" t="s">
        <v>81</v>
      </c>
      <c r="B19" s="6">
        <v>45.6</v>
      </c>
      <c r="C19" s="6">
        <v>5</v>
      </c>
      <c r="D19" s="6"/>
      <c r="E19" s="6"/>
      <c r="F19" s="6">
        <v>45.6</v>
      </c>
      <c r="G19" s="6">
        <v>5</v>
      </c>
    </row>
    <row r="20" spans="1:7">
      <c r="A20" s="3" t="s">
        <v>114</v>
      </c>
      <c r="B20" s="6">
        <v>39.560975609756099</v>
      </c>
      <c r="C20" s="6">
        <v>492</v>
      </c>
      <c r="D20" s="6">
        <v>45.033112582781456</v>
      </c>
      <c r="E20" s="6">
        <v>151</v>
      </c>
      <c r="F20" s="6">
        <v>40.846034214618975</v>
      </c>
      <c r="G20" s="6">
        <v>643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07B94-C2D6-419A-8D98-07E2C942408A}">
  <dimension ref="A1:F55"/>
  <sheetViews>
    <sheetView topLeftCell="A3" zoomScaleNormal="100" workbookViewId="0">
      <selection activeCell="B9" sqref="B9"/>
    </sheetView>
  </sheetViews>
  <sheetFormatPr defaultRowHeight="15"/>
  <cols>
    <col min="1" max="1" width="23.140625" bestFit="1" customWidth="1"/>
    <col min="2" max="2" width="17.7109375" bestFit="1" customWidth="1"/>
    <col min="3" max="3" width="5.140625" bestFit="1" customWidth="1"/>
    <col min="4" max="4" width="14.28515625" bestFit="1" customWidth="1"/>
    <col min="6" max="6" width="84.7109375" customWidth="1"/>
  </cols>
  <sheetData>
    <row r="1" spans="1:6">
      <c r="A1" s="2" t="s">
        <v>12</v>
      </c>
      <c r="B1" t="s">
        <v>121</v>
      </c>
    </row>
    <row r="2" spans="1:6" ht="45">
      <c r="F2" s="5" t="s">
        <v>123</v>
      </c>
    </row>
    <row r="3" spans="1:6">
      <c r="A3" s="2" t="s">
        <v>122</v>
      </c>
      <c r="B3" s="2" t="s">
        <v>115</v>
      </c>
    </row>
    <row r="4" spans="1:6">
      <c r="A4" s="2" t="s">
        <v>113</v>
      </c>
      <c r="B4" t="s">
        <v>42</v>
      </c>
      <c r="C4" t="s">
        <v>53</v>
      </c>
      <c r="D4" t="s">
        <v>114</v>
      </c>
    </row>
    <row r="5" spans="1:6">
      <c r="A5" s="3" t="s">
        <v>77</v>
      </c>
      <c r="B5" s="6">
        <v>23</v>
      </c>
      <c r="C5" s="6">
        <v>2</v>
      </c>
      <c r="D5" s="6">
        <v>25</v>
      </c>
    </row>
    <row r="6" spans="1:6">
      <c r="A6" s="4" t="s">
        <v>47</v>
      </c>
      <c r="B6" s="6">
        <v>1</v>
      </c>
      <c r="C6" s="6"/>
      <c r="D6" s="6">
        <v>1</v>
      </c>
    </row>
    <row r="7" spans="1:6">
      <c r="A7" s="4" t="s">
        <v>57</v>
      </c>
      <c r="B7" s="6">
        <v>2</v>
      </c>
      <c r="C7" s="6">
        <v>1</v>
      </c>
      <c r="D7" s="6">
        <v>3</v>
      </c>
    </row>
    <row r="8" spans="1:6">
      <c r="A8" s="4" t="s">
        <v>39</v>
      </c>
      <c r="B8" s="6">
        <v>20</v>
      </c>
      <c r="C8" s="6">
        <v>1</v>
      </c>
      <c r="D8" s="6">
        <v>21</v>
      </c>
    </row>
    <row r="9" spans="1:6">
      <c r="A9" s="3" t="s">
        <v>35</v>
      </c>
      <c r="B9" s="6">
        <v>21</v>
      </c>
      <c r="C9" s="6">
        <v>2</v>
      </c>
      <c r="D9" s="6">
        <v>23</v>
      </c>
    </row>
    <row r="10" spans="1:6">
      <c r="A10" s="4" t="s">
        <v>70</v>
      </c>
      <c r="B10" s="6">
        <v>1</v>
      </c>
      <c r="C10" s="6"/>
      <c r="D10" s="6">
        <v>1</v>
      </c>
    </row>
    <row r="11" spans="1:6">
      <c r="A11" s="4" t="s">
        <v>57</v>
      </c>
      <c r="B11" s="6">
        <v>5</v>
      </c>
      <c r="C11" s="6">
        <v>1</v>
      </c>
      <c r="D11" s="6">
        <v>6</v>
      </c>
    </row>
    <row r="12" spans="1:6">
      <c r="A12" s="4" t="s">
        <v>39</v>
      </c>
      <c r="B12" s="6">
        <v>15</v>
      </c>
      <c r="C12" s="6">
        <v>1</v>
      </c>
      <c r="D12" s="6">
        <v>16</v>
      </c>
    </row>
    <row r="13" spans="1:6">
      <c r="A13" s="3" t="s">
        <v>51</v>
      </c>
      <c r="B13" s="6">
        <v>6</v>
      </c>
      <c r="C13" s="6">
        <v>1</v>
      </c>
      <c r="D13" s="6">
        <v>7</v>
      </c>
    </row>
    <row r="14" spans="1:6">
      <c r="A14" s="4" t="s">
        <v>39</v>
      </c>
      <c r="B14" s="6">
        <v>6</v>
      </c>
      <c r="C14" s="6">
        <v>1</v>
      </c>
      <c r="D14" s="6">
        <v>7</v>
      </c>
    </row>
    <row r="15" spans="1:6">
      <c r="A15" s="3" t="s">
        <v>99</v>
      </c>
      <c r="B15" s="6">
        <v>2</v>
      </c>
      <c r="C15" s="6"/>
      <c r="D15" s="6">
        <v>2</v>
      </c>
    </row>
    <row r="16" spans="1:6">
      <c r="A16" s="4" t="s">
        <v>39</v>
      </c>
      <c r="B16" s="6">
        <v>2</v>
      </c>
      <c r="C16" s="6"/>
      <c r="D16" s="6">
        <v>2</v>
      </c>
    </row>
    <row r="17" spans="1:4">
      <c r="A17" s="3" t="s">
        <v>48</v>
      </c>
      <c r="B17" s="6">
        <v>4</v>
      </c>
      <c r="C17" s="6">
        <v>1</v>
      </c>
      <c r="D17" s="6">
        <v>5</v>
      </c>
    </row>
    <row r="18" spans="1:4">
      <c r="A18" s="4" t="s">
        <v>39</v>
      </c>
      <c r="B18" s="6">
        <v>4</v>
      </c>
      <c r="C18" s="6">
        <v>1</v>
      </c>
      <c r="D18" s="6">
        <v>5</v>
      </c>
    </row>
    <row r="19" spans="1:4">
      <c r="A19" s="3" t="s">
        <v>91</v>
      </c>
      <c r="B19" s="6">
        <v>11</v>
      </c>
      <c r="C19" s="6"/>
      <c r="D19" s="6">
        <v>11</v>
      </c>
    </row>
    <row r="20" spans="1:4">
      <c r="A20" s="4" t="s">
        <v>70</v>
      </c>
      <c r="B20" s="6">
        <v>1</v>
      </c>
      <c r="C20" s="6"/>
      <c r="D20" s="6">
        <v>1</v>
      </c>
    </row>
    <row r="21" spans="1:4">
      <c r="A21" s="4" t="s">
        <v>39</v>
      </c>
      <c r="B21" s="6">
        <v>10</v>
      </c>
      <c r="C21" s="6"/>
      <c r="D21" s="6">
        <v>10</v>
      </c>
    </row>
    <row r="22" spans="1:4">
      <c r="A22" s="3" t="s">
        <v>98</v>
      </c>
      <c r="B22" s="6">
        <v>10</v>
      </c>
      <c r="C22" s="6"/>
      <c r="D22" s="6">
        <v>10</v>
      </c>
    </row>
    <row r="23" spans="1:4">
      <c r="A23" s="4" t="s">
        <v>57</v>
      </c>
      <c r="B23" s="6">
        <v>3</v>
      </c>
      <c r="C23" s="6"/>
      <c r="D23" s="6">
        <v>3</v>
      </c>
    </row>
    <row r="24" spans="1:4">
      <c r="A24" s="4" t="s">
        <v>39</v>
      </c>
      <c r="B24" s="6">
        <v>7</v>
      </c>
      <c r="C24" s="6"/>
      <c r="D24" s="6">
        <v>7</v>
      </c>
    </row>
    <row r="25" spans="1:4">
      <c r="A25" s="3" t="s">
        <v>43</v>
      </c>
      <c r="B25" s="6">
        <v>18</v>
      </c>
      <c r="C25" s="6">
        <v>8</v>
      </c>
      <c r="D25" s="6">
        <v>26</v>
      </c>
    </row>
    <row r="26" spans="1:4">
      <c r="A26" s="4" t="s">
        <v>70</v>
      </c>
      <c r="B26" s="6">
        <v>1</v>
      </c>
      <c r="C26" s="6"/>
      <c r="D26" s="6">
        <v>1</v>
      </c>
    </row>
    <row r="27" spans="1:4">
      <c r="A27" s="4" t="s">
        <v>57</v>
      </c>
      <c r="B27" s="6">
        <v>6</v>
      </c>
      <c r="C27" s="6">
        <v>1</v>
      </c>
      <c r="D27" s="6">
        <v>7</v>
      </c>
    </row>
    <row r="28" spans="1:4">
      <c r="A28" s="4" t="s">
        <v>39</v>
      </c>
      <c r="B28" s="6">
        <v>11</v>
      </c>
      <c r="C28" s="6">
        <v>7</v>
      </c>
      <c r="D28" s="6">
        <v>18</v>
      </c>
    </row>
    <row r="29" spans="1:4">
      <c r="A29" s="3" t="s">
        <v>78</v>
      </c>
      <c r="B29" s="6">
        <v>22</v>
      </c>
      <c r="C29" s="6">
        <v>10</v>
      </c>
      <c r="D29" s="6">
        <v>32</v>
      </c>
    </row>
    <row r="30" spans="1:4">
      <c r="A30" s="4" t="s">
        <v>57</v>
      </c>
      <c r="B30" s="6">
        <v>5</v>
      </c>
      <c r="C30" s="6"/>
      <c r="D30" s="6">
        <v>5</v>
      </c>
    </row>
    <row r="31" spans="1:4">
      <c r="A31" s="4" t="s">
        <v>39</v>
      </c>
      <c r="B31" s="6">
        <v>17</v>
      </c>
      <c r="C31" s="6">
        <v>10</v>
      </c>
      <c r="D31" s="6">
        <v>27</v>
      </c>
    </row>
    <row r="32" spans="1:4">
      <c r="A32" s="3" t="s">
        <v>60</v>
      </c>
      <c r="B32" s="6">
        <v>69</v>
      </c>
      <c r="C32" s="6">
        <v>43</v>
      </c>
      <c r="D32" s="6">
        <v>112</v>
      </c>
    </row>
    <row r="33" spans="1:4">
      <c r="A33" s="4" t="s">
        <v>70</v>
      </c>
      <c r="B33" s="6">
        <v>5</v>
      </c>
      <c r="C33" s="6">
        <v>1</v>
      </c>
      <c r="D33" s="6">
        <v>6</v>
      </c>
    </row>
    <row r="34" spans="1:4">
      <c r="A34" s="4" t="s">
        <v>57</v>
      </c>
      <c r="B34" s="6">
        <v>5</v>
      </c>
      <c r="C34" s="6">
        <v>6</v>
      </c>
      <c r="D34" s="6">
        <v>11</v>
      </c>
    </row>
    <row r="35" spans="1:4">
      <c r="A35" s="4" t="s">
        <v>39</v>
      </c>
      <c r="B35" s="6">
        <v>59</v>
      </c>
      <c r="C35" s="6">
        <v>36</v>
      </c>
      <c r="D35" s="6">
        <v>95</v>
      </c>
    </row>
    <row r="36" spans="1:4">
      <c r="A36" s="3" t="s">
        <v>97</v>
      </c>
      <c r="B36" s="6"/>
      <c r="C36" s="6">
        <v>6</v>
      </c>
      <c r="D36" s="6">
        <v>6</v>
      </c>
    </row>
    <row r="37" spans="1:4">
      <c r="A37" s="4" t="s">
        <v>39</v>
      </c>
      <c r="B37" s="6"/>
      <c r="C37" s="6">
        <v>6</v>
      </c>
      <c r="D37" s="6">
        <v>6</v>
      </c>
    </row>
    <row r="38" spans="1:4">
      <c r="A38" s="3" t="s">
        <v>62</v>
      </c>
      <c r="B38" s="6">
        <v>195</v>
      </c>
      <c r="C38" s="6">
        <v>30</v>
      </c>
      <c r="D38" s="6">
        <v>225</v>
      </c>
    </row>
    <row r="39" spans="1:4">
      <c r="A39" s="4" t="s">
        <v>70</v>
      </c>
      <c r="B39" s="6">
        <v>2</v>
      </c>
      <c r="C39" s="6">
        <v>1</v>
      </c>
      <c r="D39" s="6">
        <v>3</v>
      </c>
    </row>
    <row r="40" spans="1:4">
      <c r="A40" s="4" t="s">
        <v>57</v>
      </c>
      <c r="B40" s="6">
        <v>20</v>
      </c>
      <c r="C40" s="6">
        <v>3</v>
      </c>
      <c r="D40" s="6">
        <v>23</v>
      </c>
    </row>
    <row r="41" spans="1:4">
      <c r="A41" s="4" t="s">
        <v>39</v>
      </c>
      <c r="B41" s="6">
        <v>173</v>
      </c>
      <c r="C41" s="6">
        <v>26</v>
      </c>
      <c r="D41" s="6">
        <v>199</v>
      </c>
    </row>
    <row r="42" spans="1:4">
      <c r="A42" s="3" t="s">
        <v>73</v>
      </c>
      <c r="B42" s="6">
        <v>12</v>
      </c>
      <c r="C42" s="6">
        <v>10</v>
      </c>
      <c r="D42" s="6">
        <v>22</v>
      </c>
    </row>
    <row r="43" spans="1:4">
      <c r="A43" s="4" t="s">
        <v>70</v>
      </c>
      <c r="B43" s="6">
        <v>1</v>
      </c>
      <c r="C43" s="6"/>
      <c r="D43" s="6">
        <v>1</v>
      </c>
    </row>
    <row r="44" spans="1:4">
      <c r="A44" s="4" t="s">
        <v>57</v>
      </c>
      <c r="B44" s="6">
        <v>1</v>
      </c>
      <c r="C44" s="6"/>
      <c r="D44" s="6">
        <v>1</v>
      </c>
    </row>
    <row r="45" spans="1:4">
      <c r="A45" s="4" t="s">
        <v>39</v>
      </c>
      <c r="B45" s="6">
        <v>10</v>
      </c>
      <c r="C45" s="6">
        <v>10</v>
      </c>
      <c r="D45" s="6">
        <v>20</v>
      </c>
    </row>
    <row r="46" spans="1:4">
      <c r="A46" s="3" t="s">
        <v>86</v>
      </c>
      <c r="B46" s="6">
        <v>1</v>
      </c>
      <c r="C46" s="6"/>
      <c r="D46" s="6">
        <v>1</v>
      </c>
    </row>
    <row r="47" spans="1:4">
      <c r="A47" s="4" t="s">
        <v>39</v>
      </c>
      <c r="B47" s="6">
        <v>1</v>
      </c>
      <c r="C47" s="6"/>
      <c r="D47" s="6">
        <v>1</v>
      </c>
    </row>
    <row r="48" spans="1:4">
      <c r="A48" s="3" t="s">
        <v>84</v>
      </c>
      <c r="B48" s="6">
        <v>1</v>
      </c>
      <c r="C48" s="6">
        <v>11</v>
      </c>
      <c r="D48" s="6">
        <v>12</v>
      </c>
    </row>
    <row r="49" spans="1:4">
      <c r="A49" s="4" t="s">
        <v>39</v>
      </c>
      <c r="B49" s="6">
        <v>1</v>
      </c>
      <c r="C49" s="6">
        <v>11</v>
      </c>
      <c r="D49" s="6">
        <v>12</v>
      </c>
    </row>
    <row r="50" spans="1:4">
      <c r="A50" s="3" t="s">
        <v>46</v>
      </c>
      <c r="B50" s="6">
        <v>97</v>
      </c>
      <c r="C50" s="6">
        <v>27</v>
      </c>
      <c r="D50" s="6">
        <v>124</v>
      </c>
    </row>
    <row r="51" spans="1:4">
      <c r="A51" s="4" t="s">
        <v>47</v>
      </c>
      <c r="B51" s="6">
        <v>2</v>
      </c>
      <c r="C51" s="6">
        <v>1</v>
      </c>
      <c r="D51" s="6">
        <v>3</v>
      </c>
    </row>
    <row r="52" spans="1:4">
      <c r="A52" s="4" t="s">
        <v>70</v>
      </c>
      <c r="B52" s="6">
        <v>3</v>
      </c>
      <c r="C52" s="6"/>
      <c r="D52" s="6">
        <v>3</v>
      </c>
    </row>
    <row r="53" spans="1:4">
      <c r="A53" s="4" t="s">
        <v>57</v>
      </c>
      <c r="B53" s="6">
        <v>13</v>
      </c>
      <c r="C53" s="6">
        <v>1</v>
      </c>
      <c r="D53" s="6">
        <v>14</v>
      </c>
    </row>
    <row r="54" spans="1:4">
      <c r="A54" s="4" t="s">
        <v>39</v>
      </c>
      <c r="B54" s="6">
        <v>79</v>
      </c>
      <c r="C54" s="6">
        <v>25</v>
      </c>
      <c r="D54" s="6">
        <v>104</v>
      </c>
    </row>
    <row r="55" spans="1:4">
      <c r="A55" s="3" t="s">
        <v>114</v>
      </c>
      <c r="B55" s="6">
        <v>492</v>
      </c>
      <c r="C55" s="6">
        <v>151</v>
      </c>
      <c r="D55" s="6">
        <v>643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AAA9-8EF9-4645-B472-616B510AB2BC}">
  <dimension ref="A1:F9"/>
  <sheetViews>
    <sheetView workbookViewId="0">
      <selection activeCell="A34" sqref="A34"/>
    </sheetView>
  </sheetViews>
  <sheetFormatPr defaultRowHeight="15"/>
  <cols>
    <col min="1" max="1" width="23.42578125" bestFit="1" customWidth="1"/>
    <col min="2" max="2" width="17.7109375" bestFit="1" customWidth="1"/>
    <col min="3" max="4" width="14.28515625" bestFit="1" customWidth="1"/>
    <col min="6" max="6" width="69.140625" customWidth="1"/>
  </cols>
  <sheetData>
    <row r="1" spans="1:6">
      <c r="A1" s="2" t="s">
        <v>24</v>
      </c>
      <c r="B1" t="s">
        <v>121</v>
      </c>
    </row>
    <row r="2" spans="1:6" ht="60">
      <c r="F2" s="5" t="s">
        <v>125</v>
      </c>
    </row>
    <row r="3" spans="1:6">
      <c r="A3" s="2" t="s">
        <v>124</v>
      </c>
      <c r="B3" s="2" t="s">
        <v>115</v>
      </c>
    </row>
    <row r="4" spans="1:6">
      <c r="A4" s="2" t="s">
        <v>113</v>
      </c>
      <c r="B4" t="s">
        <v>42</v>
      </c>
      <c r="C4" t="s">
        <v>114</v>
      </c>
    </row>
    <row r="5" spans="1:6">
      <c r="A5" s="3" t="s">
        <v>47</v>
      </c>
      <c r="B5" s="6">
        <v>8.6666666666666661</v>
      </c>
      <c r="C5" s="6">
        <v>8.6666666666666661</v>
      </c>
    </row>
    <row r="6" spans="1:6">
      <c r="A6" s="3" t="s">
        <v>70</v>
      </c>
      <c r="B6" s="6">
        <v>10.714285714285714</v>
      </c>
      <c r="C6" s="6">
        <v>10.714285714285714</v>
      </c>
    </row>
    <row r="7" spans="1:6">
      <c r="A7" s="3" t="s">
        <v>57</v>
      </c>
      <c r="B7" s="6">
        <v>9.6333333333333329</v>
      </c>
      <c r="C7" s="6">
        <v>9.6333333333333329</v>
      </c>
    </row>
    <row r="8" spans="1:6">
      <c r="A8" s="3" t="s">
        <v>39</v>
      </c>
      <c r="B8" s="6">
        <v>9.5253012048192769</v>
      </c>
      <c r="C8" s="6">
        <v>9.5253012048192769</v>
      </c>
    </row>
    <row r="9" spans="1:6">
      <c r="A9" s="3" t="s">
        <v>114</v>
      </c>
      <c r="B9" s="6">
        <v>9.5670731707317067</v>
      </c>
      <c r="C9" s="6">
        <v>9.5670731707317067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Data</vt:lpstr>
      <vt:lpstr>1-2</vt:lpstr>
      <vt:lpstr>3-7</vt:lpstr>
      <vt:lpstr>Hipoteza 1</vt:lpstr>
      <vt:lpstr>Hipoteza 2</vt:lpstr>
      <vt:lpstr>Hipoteza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Kuba Świerczyński</dc:creator>
  <cp:lastModifiedBy>Jakub Świerczyński</cp:lastModifiedBy>
  <dcterms:created xsi:type="dcterms:W3CDTF">2015-06-05T18:19:34Z</dcterms:created>
  <dcterms:modified xsi:type="dcterms:W3CDTF">2026-03-23T15:58:56Z</dcterms:modified>
</cp:coreProperties>
</file>