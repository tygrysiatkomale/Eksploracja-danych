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pivotTables/pivotTable2.xml" ContentType="application/vnd.openxmlformats-officedocument.spreadsheetml.pivot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Ex2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3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3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4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5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6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charts/chart7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charts/chart8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agh\Eksploracja-danych\lab1\Zad2\"/>
    </mc:Choice>
  </mc:AlternateContent>
  <xr:revisionPtr revIDLastSave="0" documentId="13_ncr:1_{9333C3F7-B2FD-4E97-BDC2-F10ED719B578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1b_histogram" sheetId="5" r:id="rId1"/>
    <sheet name="6_3Sigma" sheetId="7" r:id="rId2"/>
    <sheet name="9_tabela" sheetId="9" r:id="rId3"/>
    <sheet name="10_korelacja" sheetId="10" r:id="rId4"/>
    <sheet name="11_regresja" sheetId="11" r:id="rId5"/>
    <sheet name="Data" sheetId="2" r:id="rId6"/>
    <sheet name="Scatter" sheetId="8" state="hidden" r:id="rId7"/>
    <sheet name="Gestosc" sheetId="6" state="hidden" r:id="rId8"/>
  </sheets>
  <definedNames>
    <definedName name="_xlchart.v1.0" hidden="1">Data!$Q$1</definedName>
    <definedName name="_xlchart.v1.1" hidden="1">Data!$Q$2:$Q$644</definedName>
    <definedName name="_xlchart.v1.2" hidden="1">Data!$R$1</definedName>
    <definedName name="_xlchart.v1.3" hidden="1">Data!$R$2:$R$644</definedName>
    <definedName name="_xlchart.v1.4" hidden="1">Data!$B$1</definedName>
    <definedName name="_xlchart.v1.5" hidden="1">Data!$B$2:$B$644</definedName>
    <definedName name="_xlchart.v1.6" hidden="1">Data!$N$1</definedName>
    <definedName name="_xlchart.v1.7" hidden="1">Data!$N$2:$N$644</definedName>
  </definedNames>
  <calcPr calcId="191029"/>
  <pivotCaches>
    <pivotCache cacheId="0" r:id="rId9"/>
    <pivotCache cacheId="1" r:id="rId1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0" l="1"/>
  <c r="E2" i="10"/>
  <c r="D2" i="10"/>
  <c r="C2" i="10"/>
  <c r="B2" i="10"/>
  <c r="M2" i="8"/>
  <c r="M3" i="8"/>
  <c r="M4" i="8"/>
  <c r="M5" i="8"/>
  <c r="M6" i="8"/>
  <c r="M7" i="8"/>
  <c r="M8" i="8"/>
  <c r="M9" i="8"/>
  <c r="M10" i="8"/>
  <c r="M11" i="8"/>
  <c r="M12" i="8"/>
  <c r="M13" i="8"/>
  <c r="M14" i="8"/>
  <c r="M15" i="8"/>
  <c r="M16" i="8"/>
  <c r="M17" i="8"/>
  <c r="M18" i="8"/>
  <c r="M19" i="8"/>
  <c r="M20" i="8"/>
  <c r="M21" i="8"/>
  <c r="M22" i="8"/>
  <c r="M23" i="8"/>
  <c r="M24" i="8"/>
  <c r="M25" i="8"/>
  <c r="M26" i="8"/>
  <c r="M27" i="8"/>
  <c r="M28" i="8"/>
  <c r="M29" i="8"/>
  <c r="M30" i="8"/>
  <c r="M31" i="8"/>
  <c r="M32" i="8"/>
  <c r="M33" i="8"/>
  <c r="M34" i="8"/>
  <c r="M35" i="8"/>
  <c r="M36" i="8"/>
  <c r="M37" i="8"/>
  <c r="M38" i="8"/>
  <c r="M39" i="8"/>
  <c r="M40" i="8"/>
  <c r="M41" i="8"/>
  <c r="M42" i="8"/>
  <c r="M43" i="8"/>
  <c r="M44" i="8"/>
  <c r="M45" i="8"/>
  <c r="M46" i="8"/>
  <c r="M47" i="8"/>
  <c r="M48" i="8"/>
  <c r="M49" i="8"/>
  <c r="M50" i="8"/>
  <c r="M51" i="8"/>
  <c r="M52" i="8"/>
  <c r="M53" i="8"/>
  <c r="M54" i="8"/>
  <c r="M55" i="8"/>
  <c r="M56" i="8"/>
  <c r="M57" i="8"/>
  <c r="M58" i="8"/>
  <c r="M59" i="8"/>
  <c r="M60" i="8"/>
  <c r="M61" i="8"/>
  <c r="M62" i="8"/>
  <c r="M63" i="8"/>
  <c r="M64" i="8"/>
  <c r="M65" i="8"/>
  <c r="M66" i="8"/>
  <c r="M67" i="8"/>
  <c r="M68" i="8"/>
  <c r="M69" i="8"/>
  <c r="M70" i="8"/>
  <c r="M71" i="8"/>
  <c r="M72" i="8"/>
  <c r="M73" i="8"/>
  <c r="M74" i="8"/>
  <c r="M75" i="8"/>
  <c r="M76" i="8"/>
  <c r="M77" i="8"/>
  <c r="M78" i="8"/>
  <c r="M79" i="8"/>
  <c r="M80" i="8"/>
  <c r="M81" i="8"/>
  <c r="M82" i="8"/>
  <c r="M83" i="8"/>
  <c r="M84" i="8"/>
  <c r="M85" i="8"/>
  <c r="M86" i="8"/>
  <c r="M87" i="8"/>
  <c r="M88" i="8"/>
  <c r="M89" i="8"/>
  <c r="M90" i="8"/>
  <c r="M91" i="8"/>
  <c r="M92" i="8"/>
  <c r="M93" i="8"/>
  <c r="M94" i="8"/>
  <c r="M95" i="8"/>
  <c r="M96" i="8"/>
  <c r="M97" i="8"/>
  <c r="M98" i="8"/>
  <c r="M99" i="8"/>
  <c r="M100" i="8"/>
  <c r="M101" i="8"/>
  <c r="M102" i="8"/>
  <c r="M103" i="8"/>
  <c r="M104" i="8"/>
  <c r="M105" i="8"/>
  <c r="M106" i="8"/>
  <c r="M107" i="8"/>
  <c r="M108" i="8"/>
  <c r="M109" i="8"/>
  <c r="M110" i="8"/>
  <c r="M111" i="8"/>
  <c r="M112" i="8"/>
  <c r="M113" i="8"/>
  <c r="M114" i="8"/>
  <c r="M115" i="8"/>
  <c r="M116" i="8"/>
  <c r="M117" i="8"/>
  <c r="M118" i="8"/>
  <c r="M119" i="8"/>
  <c r="M120" i="8"/>
  <c r="M121" i="8"/>
  <c r="M122" i="8"/>
  <c r="M123" i="8"/>
  <c r="M124" i="8"/>
  <c r="M125" i="8"/>
  <c r="M126" i="8"/>
  <c r="M127" i="8"/>
  <c r="M128" i="8"/>
  <c r="M129" i="8"/>
  <c r="M130" i="8"/>
  <c r="M131" i="8"/>
  <c r="M132" i="8"/>
  <c r="M133" i="8"/>
  <c r="M134" i="8"/>
  <c r="M135" i="8"/>
  <c r="M136" i="8"/>
  <c r="M137" i="8"/>
  <c r="M138" i="8"/>
  <c r="M139" i="8"/>
  <c r="M140" i="8"/>
  <c r="M141" i="8"/>
  <c r="M142" i="8"/>
  <c r="M143" i="8"/>
  <c r="M144" i="8"/>
  <c r="M145" i="8"/>
  <c r="M146" i="8"/>
  <c r="M147" i="8"/>
  <c r="M148" i="8"/>
  <c r="M149" i="8"/>
  <c r="M150" i="8"/>
  <c r="M151" i="8"/>
  <c r="M152" i="8"/>
  <c r="M153" i="8"/>
  <c r="M154" i="8"/>
  <c r="M155" i="8"/>
  <c r="M156" i="8"/>
  <c r="M157" i="8"/>
  <c r="M158" i="8"/>
  <c r="M159" i="8"/>
  <c r="M160" i="8"/>
  <c r="M161" i="8"/>
  <c r="M162" i="8"/>
  <c r="M163" i="8"/>
  <c r="M164" i="8"/>
  <c r="M165" i="8"/>
  <c r="M166" i="8"/>
  <c r="M167" i="8"/>
  <c r="M168" i="8"/>
  <c r="M169" i="8"/>
  <c r="M170" i="8"/>
  <c r="M171" i="8"/>
  <c r="M172" i="8"/>
  <c r="M173" i="8"/>
  <c r="M174" i="8"/>
  <c r="M175" i="8"/>
  <c r="M176" i="8"/>
  <c r="M177" i="8"/>
  <c r="M178" i="8"/>
  <c r="M179" i="8"/>
  <c r="M180" i="8"/>
  <c r="M181" i="8"/>
  <c r="M182" i="8"/>
  <c r="M183" i="8"/>
  <c r="M184" i="8"/>
  <c r="M185" i="8"/>
  <c r="M186" i="8"/>
  <c r="M187" i="8"/>
  <c r="M188" i="8"/>
  <c r="M189" i="8"/>
  <c r="M190" i="8"/>
  <c r="M191" i="8"/>
  <c r="M192" i="8"/>
  <c r="M193" i="8"/>
  <c r="M194" i="8"/>
  <c r="M195" i="8"/>
  <c r="M196" i="8"/>
  <c r="M197" i="8"/>
  <c r="M198" i="8"/>
  <c r="M199" i="8"/>
  <c r="M200" i="8"/>
  <c r="M201" i="8"/>
  <c r="M202" i="8"/>
  <c r="M203" i="8"/>
  <c r="M204" i="8"/>
  <c r="M205" i="8"/>
  <c r="M206" i="8"/>
  <c r="M207" i="8"/>
  <c r="M208" i="8"/>
  <c r="M209" i="8"/>
  <c r="M210" i="8"/>
  <c r="M211" i="8"/>
  <c r="M212" i="8"/>
  <c r="M213" i="8"/>
  <c r="M214" i="8"/>
  <c r="M215" i="8"/>
  <c r="M216" i="8"/>
  <c r="M217" i="8"/>
  <c r="M218" i="8"/>
  <c r="M219" i="8"/>
  <c r="M220" i="8"/>
  <c r="M221" i="8"/>
  <c r="M222" i="8"/>
  <c r="M223" i="8"/>
  <c r="M224" i="8"/>
  <c r="M225" i="8"/>
  <c r="M226" i="8"/>
  <c r="M227" i="8"/>
  <c r="M228" i="8"/>
  <c r="M229" i="8"/>
  <c r="M230" i="8"/>
  <c r="M231" i="8"/>
  <c r="M232" i="8"/>
  <c r="M233" i="8"/>
  <c r="M234" i="8"/>
  <c r="M235" i="8"/>
  <c r="M236" i="8"/>
  <c r="M237" i="8"/>
  <c r="M238" i="8"/>
  <c r="M239" i="8"/>
  <c r="M240" i="8"/>
  <c r="M241" i="8"/>
  <c r="M242" i="8"/>
  <c r="M243" i="8"/>
  <c r="M244" i="8"/>
  <c r="M245" i="8"/>
  <c r="M246" i="8"/>
  <c r="M247" i="8"/>
  <c r="M248" i="8"/>
  <c r="M249" i="8"/>
  <c r="M250" i="8"/>
  <c r="M251" i="8"/>
  <c r="M252" i="8"/>
  <c r="M253" i="8"/>
  <c r="M254" i="8"/>
  <c r="M255" i="8"/>
  <c r="M256" i="8"/>
  <c r="M257" i="8"/>
  <c r="M258" i="8"/>
  <c r="M259" i="8"/>
  <c r="M260" i="8"/>
  <c r="M261" i="8"/>
  <c r="M262" i="8"/>
  <c r="M263" i="8"/>
  <c r="M264" i="8"/>
  <c r="M265" i="8"/>
  <c r="M266" i="8"/>
  <c r="M267" i="8"/>
  <c r="M268" i="8"/>
  <c r="M269" i="8"/>
  <c r="M270" i="8"/>
  <c r="M271" i="8"/>
  <c r="M272" i="8"/>
  <c r="M273" i="8"/>
  <c r="M274" i="8"/>
  <c r="M275" i="8"/>
  <c r="M276" i="8"/>
  <c r="M277" i="8"/>
  <c r="M278" i="8"/>
  <c r="M279" i="8"/>
  <c r="M280" i="8"/>
  <c r="M281" i="8"/>
  <c r="M282" i="8"/>
  <c r="M283" i="8"/>
  <c r="M284" i="8"/>
  <c r="M285" i="8"/>
  <c r="M286" i="8"/>
  <c r="M287" i="8"/>
  <c r="M288" i="8"/>
  <c r="M289" i="8"/>
  <c r="M290" i="8"/>
  <c r="M291" i="8"/>
  <c r="M292" i="8"/>
  <c r="M293" i="8"/>
  <c r="M294" i="8"/>
  <c r="M295" i="8"/>
  <c r="M296" i="8"/>
  <c r="M297" i="8"/>
  <c r="M298" i="8"/>
  <c r="M299" i="8"/>
  <c r="M300" i="8"/>
  <c r="M301" i="8"/>
  <c r="M302" i="8"/>
  <c r="M303" i="8"/>
  <c r="M304" i="8"/>
  <c r="M305" i="8"/>
  <c r="M306" i="8"/>
  <c r="M307" i="8"/>
  <c r="M308" i="8"/>
  <c r="M309" i="8"/>
  <c r="M310" i="8"/>
  <c r="M311" i="8"/>
  <c r="M312" i="8"/>
  <c r="M313" i="8"/>
  <c r="M314" i="8"/>
  <c r="M315" i="8"/>
  <c r="M316" i="8"/>
  <c r="M317" i="8"/>
  <c r="M318" i="8"/>
  <c r="M319" i="8"/>
  <c r="M320" i="8"/>
  <c r="M321" i="8"/>
  <c r="M322" i="8"/>
  <c r="M323" i="8"/>
  <c r="M324" i="8"/>
  <c r="M325" i="8"/>
  <c r="M326" i="8"/>
  <c r="M327" i="8"/>
  <c r="M328" i="8"/>
  <c r="M329" i="8"/>
  <c r="M330" i="8"/>
  <c r="M331" i="8"/>
  <c r="M332" i="8"/>
  <c r="M333" i="8"/>
  <c r="M334" i="8"/>
  <c r="M335" i="8"/>
  <c r="M336" i="8"/>
  <c r="M337" i="8"/>
  <c r="M338" i="8"/>
  <c r="M339" i="8"/>
  <c r="M340" i="8"/>
  <c r="M341" i="8"/>
  <c r="M342" i="8"/>
  <c r="M343" i="8"/>
  <c r="M344" i="8"/>
  <c r="M345" i="8"/>
  <c r="M346" i="8"/>
  <c r="M347" i="8"/>
  <c r="M348" i="8"/>
  <c r="M349" i="8"/>
  <c r="M350" i="8"/>
  <c r="M351" i="8"/>
  <c r="M352" i="8"/>
  <c r="M353" i="8"/>
  <c r="M354" i="8"/>
  <c r="M355" i="8"/>
  <c r="M356" i="8"/>
  <c r="M357" i="8"/>
  <c r="M358" i="8"/>
  <c r="M359" i="8"/>
  <c r="M360" i="8"/>
  <c r="M361" i="8"/>
  <c r="M362" i="8"/>
  <c r="M363" i="8"/>
  <c r="M364" i="8"/>
  <c r="M365" i="8"/>
  <c r="M366" i="8"/>
  <c r="M367" i="8"/>
  <c r="M368" i="8"/>
  <c r="M369" i="8"/>
  <c r="M370" i="8"/>
  <c r="M371" i="8"/>
  <c r="M372" i="8"/>
  <c r="M373" i="8"/>
  <c r="M374" i="8"/>
  <c r="M375" i="8"/>
  <c r="M376" i="8"/>
  <c r="M377" i="8"/>
  <c r="M378" i="8"/>
  <c r="M379" i="8"/>
  <c r="M380" i="8"/>
  <c r="M381" i="8"/>
  <c r="M382" i="8"/>
  <c r="M383" i="8"/>
  <c r="M384" i="8"/>
  <c r="M385" i="8"/>
  <c r="M386" i="8"/>
  <c r="M387" i="8"/>
  <c r="M388" i="8"/>
  <c r="M389" i="8"/>
  <c r="M390" i="8"/>
  <c r="M391" i="8"/>
  <c r="M392" i="8"/>
  <c r="M393" i="8"/>
  <c r="M394" i="8"/>
  <c r="M395" i="8"/>
  <c r="M396" i="8"/>
  <c r="M397" i="8"/>
  <c r="M398" i="8"/>
  <c r="M399" i="8"/>
  <c r="M400" i="8"/>
  <c r="M401" i="8"/>
  <c r="M402" i="8"/>
  <c r="M403" i="8"/>
  <c r="M404" i="8"/>
  <c r="M405" i="8"/>
  <c r="M406" i="8"/>
  <c r="M407" i="8"/>
  <c r="M408" i="8"/>
  <c r="M409" i="8"/>
  <c r="M410" i="8"/>
  <c r="M411" i="8"/>
  <c r="M412" i="8"/>
  <c r="M413" i="8"/>
  <c r="M414" i="8"/>
  <c r="M415" i="8"/>
  <c r="M416" i="8"/>
  <c r="M417" i="8"/>
  <c r="M418" i="8"/>
  <c r="M419" i="8"/>
  <c r="M420" i="8"/>
  <c r="M421" i="8"/>
  <c r="M422" i="8"/>
  <c r="M423" i="8"/>
  <c r="M424" i="8"/>
  <c r="M425" i="8"/>
  <c r="M426" i="8"/>
  <c r="M427" i="8"/>
  <c r="M428" i="8"/>
  <c r="M429" i="8"/>
  <c r="M430" i="8"/>
  <c r="M431" i="8"/>
  <c r="M432" i="8"/>
  <c r="M433" i="8"/>
  <c r="M434" i="8"/>
  <c r="M435" i="8"/>
  <c r="M436" i="8"/>
  <c r="M437" i="8"/>
  <c r="M438" i="8"/>
  <c r="M439" i="8"/>
  <c r="M440" i="8"/>
  <c r="M441" i="8"/>
  <c r="M442" i="8"/>
  <c r="M443" i="8"/>
  <c r="M444" i="8"/>
  <c r="M445" i="8"/>
  <c r="M446" i="8"/>
  <c r="M447" i="8"/>
  <c r="M448" i="8"/>
  <c r="M449" i="8"/>
  <c r="M450" i="8"/>
  <c r="M451" i="8"/>
  <c r="M452" i="8"/>
  <c r="M453" i="8"/>
  <c r="M454" i="8"/>
  <c r="M455" i="8"/>
  <c r="M456" i="8"/>
  <c r="M457" i="8"/>
  <c r="M458" i="8"/>
  <c r="M459" i="8"/>
  <c r="M460" i="8"/>
  <c r="M461" i="8"/>
  <c r="M462" i="8"/>
  <c r="M463" i="8"/>
  <c r="M464" i="8"/>
  <c r="M465" i="8"/>
  <c r="M466" i="8"/>
  <c r="M467" i="8"/>
  <c r="M468" i="8"/>
  <c r="M469" i="8"/>
  <c r="M470" i="8"/>
  <c r="M471" i="8"/>
  <c r="M472" i="8"/>
  <c r="M473" i="8"/>
  <c r="M474" i="8"/>
  <c r="M475" i="8"/>
  <c r="M476" i="8"/>
  <c r="M477" i="8"/>
  <c r="M478" i="8"/>
  <c r="M479" i="8"/>
  <c r="M480" i="8"/>
  <c r="M481" i="8"/>
  <c r="M482" i="8"/>
  <c r="M483" i="8"/>
  <c r="M484" i="8"/>
  <c r="M485" i="8"/>
  <c r="M486" i="8"/>
  <c r="M487" i="8"/>
  <c r="M488" i="8"/>
  <c r="M489" i="8"/>
  <c r="M490" i="8"/>
  <c r="M491" i="8"/>
  <c r="M492" i="8"/>
  <c r="M493" i="8"/>
  <c r="M494" i="8"/>
  <c r="M495" i="8"/>
  <c r="M496" i="8"/>
  <c r="M497" i="8"/>
  <c r="M498" i="8"/>
  <c r="M499" i="8"/>
  <c r="M500" i="8"/>
  <c r="M501" i="8"/>
  <c r="M502" i="8"/>
  <c r="M503" i="8"/>
  <c r="M504" i="8"/>
  <c r="M505" i="8"/>
  <c r="M506" i="8"/>
  <c r="M507" i="8"/>
  <c r="M508" i="8"/>
  <c r="M509" i="8"/>
  <c r="M510" i="8"/>
  <c r="M511" i="8"/>
  <c r="M512" i="8"/>
  <c r="M513" i="8"/>
  <c r="M514" i="8"/>
  <c r="M515" i="8"/>
  <c r="M516" i="8"/>
  <c r="M517" i="8"/>
  <c r="M518" i="8"/>
  <c r="M519" i="8"/>
  <c r="M520" i="8"/>
  <c r="M521" i="8"/>
  <c r="M522" i="8"/>
  <c r="M523" i="8"/>
  <c r="M524" i="8"/>
  <c r="M525" i="8"/>
  <c r="M526" i="8"/>
  <c r="M527" i="8"/>
  <c r="M528" i="8"/>
  <c r="M529" i="8"/>
  <c r="M530" i="8"/>
  <c r="M531" i="8"/>
  <c r="M532" i="8"/>
  <c r="M533" i="8"/>
  <c r="M534" i="8"/>
  <c r="M535" i="8"/>
  <c r="M536" i="8"/>
  <c r="M537" i="8"/>
  <c r="M538" i="8"/>
  <c r="M539" i="8"/>
  <c r="M540" i="8"/>
  <c r="M541" i="8"/>
  <c r="M542" i="8"/>
  <c r="M543" i="8"/>
  <c r="M544" i="8"/>
  <c r="M545" i="8"/>
  <c r="M546" i="8"/>
  <c r="M547" i="8"/>
  <c r="M548" i="8"/>
  <c r="M549" i="8"/>
  <c r="M550" i="8"/>
  <c r="M551" i="8"/>
  <c r="M552" i="8"/>
  <c r="M553" i="8"/>
  <c r="M554" i="8"/>
  <c r="M555" i="8"/>
  <c r="M556" i="8"/>
  <c r="M557" i="8"/>
  <c r="M558" i="8"/>
  <c r="M559" i="8"/>
  <c r="M560" i="8"/>
  <c r="M561" i="8"/>
  <c r="M562" i="8"/>
  <c r="M563" i="8"/>
  <c r="M564" i="8"/>
  <c r="M565" i="8"/>
  <c r="M566" i="8"/>
  <c r="M567" i="8"/>
  <c r="M568" i="8"/>
  <c r="M569" i="8"/>
  <c r="M570" i="8"/>
  <c r="M571" i="8"/>
  <c r="M572" i="8"/>
  <c r="M573" i="8"/>
  <c r="M574" i="8"/>
  <c r="M575" i="8"/>
  <c r="M576" i="8"/>
  <c r="M577" i="8"/>
  <c r="M578" i="8"/>
  <c r="M579" i="8"/>
  <c r="M580" i="8"/>
  <c r="M581" i="8"/>
  <c r="M582" i="8"/>
  <c r="M583" i="8"/>
  <c r="M584" i="8"/>
  <c r="M585" i="8"/>
  <c r="M586" i="8"/>
  <c r="M587" i="8"/>
  <c r="M588" i="8"/>
  <c r="M589" i="8"/>
  <c r="M590" i="8"/>
  <c r="M591" i="8"/>
  <c r="M592" i="8"/>
  <c r="M593" i="8"/>
  <c r="M594" i="8"/>
  <c r="M595" i="8"/>
  <c r="M596" i="8"/>
  <c r="M597" i="8"/>
  <c r="M598" i="8"/>
  <c r="M599" i="8"/>
  <c r="M600" i="8"/>
  <c r="M601" i="8"/>
  <c r="M602" i="8"/>
  <c r="M603" i="8"/>
  <c r="M604" i="8"/>
  <c r="M605" i="8"/>
  <c r="M606" i="8"/>
  <c r="M607" i="8"/>
  <c r="M608" i="8"/>
  <c r="M609" i="8"/>
  <c r="M610" i="8"/>
  <c r="M611" i="8"/>
  <c r="M612" i="8"/>
  <c r="M613" i="8"/>
  <c r="M614" i="8"/>
  <c r="M615" i="8"/>
  <c r="M616" i="8"/>
  <c r="M617" i="8"/>
  <c r="M618" i="8"/>
  <c r="M619" i="8"/>
  <c r="M620" i="8"/>
  <c r="M621" i="8"/>
  <c r="M622" i="8"/>
  <c r="M623" i="8"/>
  <c r="M624" i="8"/>
  <c r="M625" i="8"/>
  <c r="M626" i="8"/>
  <c r="M627" i="8"/>
  <c r="M628" i="8"/>
  <c r="M629" i="8"/>
  <c r="M630" i="8"/>
  <c r="M631" i="8"/>
  <c r="M632" i="8"/>
  <c r="M633" i="8"/>
  <c r="M634" i="8"/>
  <c r="M635" i="8"/>
  <c r="M636" i="8"/>
  <c r="M637" i="8"/>
  <c r="M638" i="8"/>
  <c r="M639" i="8"/>
  <c r="M640" i="8"/>
  <c r="M641" i="8"/>
  <c r="M642" i="8"/>
  <c r="M643" i="8"/>
  <c r="M644" i="8"/>
  <c r="L2" i="8"/>
  <c r="L3" i="8"/>
  <c r="L4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48" i="8"/>
  <c r="L49" i="8"/>
  <c r="L50" i="8"/>
  <c r="L51" i="8"/>
  <c r="L52" i="8"/>
  <c r="L53" i="8"/>
  <c r="L54" i="8"/>
  <c r="L55" i="8"/>
  <c r="L56" i="8"/>
  <c r="L57" i="8"/>
  <c r="L58" i="8"/>
  <c r="L59" i="8"/>
  <c r="L60" i="8"/>
  <c r="L61" i="8"/>
  <c r="L62" i="8"/>
  <c r="L63" i="8"/>
  <c r="L64" i="8"/>
  <c r="L65" i="8"/>
  <c r="L66" i="8"/>
  <c r="L67" i="8"/>
  <c r="L68" i="8"/>
  <c r="L69" i="8"/>
  <c r="L70" i="8"/>
  <c r="L71" i="8"/>
  <c r="L72" i="8"/>
  <c r="L73" i="8"/>
  <c r="L74" i="8"/>
  <c r="L75" i="8"/>
  <c r="L76" i="8"/>
  <c r="L77" i="8"/>
  <c r="L78" i="8"/>
  <c r="L79" i="8"/>
  <c r="L80" i="8"/>
  <c r="L81" i="8"/>
  <c r="L82" i="8"/>
  <c r="L83" i="8"/>
  <c r="L84" i="8"/>
  <c r="L85" i="8"/>
  <c r="L86" i="8"/>
  <c r="L87" i="8"/>
  <c r="L88" i="8"/>
  <c r="L89" i="8"/>
  <c r="L90" i="8"/>
  <c r="L91" i="8"/>
  <c r="L92" i="8"/>
  <c r="L93" i="8"/>
  <c r="L94" i="8"/>
  <c r="L95" i="8"/>
  <c r="L96" i="8"/>
  <c r="L97" i="8"/>
  <c r="L98" i="8"/>
  <c r="L99" i="8"/>
  <c r="L100" i="8"/>
  <c r="L101" i="8"/>
  <c r="L102" i="8"/>
  <c r="L103" i="8"/>
  <c r="L104" i="8"/>
  <c r="L105" i="8"/>
  <c r="L106" i="8"/>
  <c r="L107" i="8"/>
  <c r="L108" i="8"/>
  <c r="L109" i="8"/>
  <c r="L110" i="8"/>
  <c r="L111" i="8"/>
  <c r="L112" i="8"/>
  <c r="L113" i="8"/>
  <c r="L114" i="8"/>
  <c r="L115" i="8"/>
  <c r="L116" i="8"/>
  <c r="L117" i="8"/>
  <c r="L118" i="8"/>
  <c r="L119" i="8"/>
  <c r="L120" i="8"/>
  <c r="L121" i="8"/>
  <c r="L122" i="8"/>
  <c r="L123" i="8"/>
  <c r="L124" i="8"/>
  <c r="L125" i="8"/>
  <c r="L126" i="8"/>
  <c r="L127" i="8"/>
  <c r="L128" i="8"/>
  <c r="L129" i="8"/>
  <c r="L130" i="8"/>
  <c r="L131" i="8"/>
  <c r="L132" i="8"/>
  <c r="L133" i="8"/>
  <c r="L134" i="8"/>
  <c r="L135" i="8"/>
  <c r="L136" i="8"/>
  <c r="L137" i="8"/>
  <c r="L138" i="8"/>
  <c r="L139" i="8"/>
  <c r="L140" i="8"/>
  <c r="L141" i="8"/>
  <c r="L142" i="8"/>
  <c r="L143" i="8"/>
  <c r="L144" i="8"/>
  <c r="L145" i="8"/>
  <c r="L146" i="8"/>
  <c r="L147" i="8"/>
  <c r="L148" i="8"/>
  <c r="L149" i="8"/>
  <c r="L150" i="8"/>
  <c r="L151" i="8"/>
  <c r="L152" i="8"/>
  <c r="L153" i="8"/>
  <c r="L154" i="8"/>
  <c r="L155" i="8"/>
  <c r="L156" i="8"/>
  <c r="L157" i="8"/>
  <c r="L158" i="8"/>
  <c r="L159" i="8"/>
  <c r="L160" i="8"/>
  <c r="L161" i="8"/>
  <c r="L162" i="8"/>
  <c r="L163" i="8"/>
  <c r="L164" i="8"/>
  <c r="L165" i="8"/>
  <c r="L166" i="8"/>
  <c r="L167" i="8"/>
  <c r="L168" i="8"/>
  <c r="L169" i="8"/>
  <c r="L170" i="8"/>
  <c r="L171" i="8"/>
  <c r="L172" i="8"/>
  <c r="L173" i="8"/>
  <c r="L174" i="8"/>
  <c r="L175" i="8"/>
  <c r="L176" i="8"/>
  <c r="L177" i="8"/>
  <c r="L178" i="8"/>
  <c r="L179" i="8"/>
  <c r="L180" i="8"/>
  <c r="L181" i="8"/>
  <c r="L182" i="8"/>
  <c r="L183" i="8"/>
  <c r="L184" i="8"/>
  <c r="L185" i="8"/>
  <c r="L186" i="8"/>
  <c r="L187" i="8"/>
  <c r="L188" i="8"/>
  <c r="L189" i="8"/>
  <c r="L190" i="8"/>
  <c r="L191" i="8"/>
  <c r="L192" i="8"/>
  <c r="L193" i="8"/>
  <c r="L194" i="8"/>
  <c r="L195" i="8"/>
  <c r="L196" i="8"/>
  <c r="L197" i="8"/>
  <c r="L198" i="8"/>
  <c r="L199" i="8"/>
  <c r="L200" i="8"/>
  <c r="L201" i="8"/>
  <c r="L202" i="8"/>
  <c r="L203" i="8"/>
  <c r="L204" i="8"/>
  <c r="L205" i="8"/>
  <c r="L206" i="8"/>
  <c r="L207" i="8"/>
  <c r="L208" i="8"/>
  <c r="L209" i="8"/>
  <c r="L210" i="8"/>
  <c r="L211" i="8"/>
  <c r="L212" i="8"/>
  <c r="L213" i="8"/>
  <c r="L214" i="8"/>
  <c r="L215" i="8"/>
  <c r="L216" i="8"/>
  <c r="L217" i="8"/>
  <c r="L218" i="8"/>
  <c r="L219" i="8"/>
  <c r="L220" i="8"/>
  <c r="L221" i="8"/>
  <c r="L222" i="8"/>
  <c r="L223" i="8"/>
  <c r="L224" i="8"/>
  <c r="L225" i="8"/>
  <c r="L226" i="8"/>
  <c r="L227" i="8"/>
  <c r="L228" i="8"/>
  <c r="L229" i="8"/>
  <c r="L230" i="8"/>
  <c r="L231" i="8"/>
  <c r="L232" i="8"/>
  <c r="L233" i="8"/>
  <c r="L234" i="8"/>
  <c r="L235" i="8"/>
  <c r="L236" i="8"/>
  <c r="L237" i="8"/>
  <c r="L238" i="8"/>
  <c r="L239" i="8"/>
  <c r="L240" i="8"/>
  <c r="L241" i="8"/>
  <c r="L242" i="8"/>
  <c r="L243" i="8"/>
  <c r="L244" i="8"/>
  <c r="L245" i="8"/>
  <c r="L246" i="8"/>
  <c r="L247" i="8"/>
  <c r="L248" i="8"/>
  <c r="L249" i="8"/>
  <c r="L250" i="8"/>
  <c r="L251" i="8"/>
  <c r="L252" i="8"/>
  <c r="L253" i="8"/>
  <c r="L254" i="8"/>
  <c r="L255" i="8"/>
  <c r="L256" i="8"/>
  <c r="L257" i="8"/>
  <c r="L258" i="8"/>
  <c r="L259" i="8"/>
  <c r="L260" i="8"/>
  <c r="L261" i="8"/>
  <c r="L262" i="8"/>
  <c r="L263" i="8"/>
  <c r="L264" i="8"/>
  <c r="L265" i="8"/>
  <c r="L266" i="8"/>
  <c r="L267" i="8"/>
  <c r="L268" i="8"/>
  <c r="L269" i="8"/>
  <c r="L270" i="8"/>
  <c r="L271" i="8"/>
  <c r="L272" i="8"/>
  <c r="L273" i="8"/>
  <c r="L274" i="8"/>
  <c r="L275" i="8"/>
  <c r="L276" i="8"/>
  <c r="L277" i="8"/>
  <c r="L278" i="8"/>
  <c r="L279" i="8"/>
  <c r="L280" i="8"/>
  <c r="L281" i="8"/>
  <c r="L282" i="8"/>
  <c r="L283" i="8"/>
  <c r="L284" i="8"/>
  <c r="L285" i="8"/>
  <c r="L286" i="8"/>
  <c r="L287" i="8"/>
  <c r="L288" i="8"/>
  <c r="L289" i="8"/>
  <c r="L290" i="8"/>
  <c r="L291" i="8"/>
  <c r="L292" i="8"/>
  <c r="L293" i="8"/>
  <c r="L294" i="8"/>
  <c r="L295" i="8"/>
  <c r="L296" i="8"/>
  <c r="L297" i="8"/>
  <c r="L298" i="8"/>
  <c r="L299" i="8"/>
  <c r="L300" i="8"/>
  <c r="L301" i="8"/>
  <c r="L302" i="8"/>
  <c r="L303" i="8"/>
  <c r="L304" i="8"/>
  <c r="L305" i="8"/>
  <c r="L306" i="8"/>
  <c r="L307" i="8"/>
  <c r="L308" i="8"/>
  <c r="L309" i="8"/>
  <c r="L310" i="8"/>
  <c r="L311" i="8"/>
  <c r="L312" i="8"/>
  <c r="L313" i="8"/>
  <c r="L314" i="8"/>
  <c r="L315" i="8"/>
  <c r="L316" i="8"/>
  <c r="L317" i="8"/>
  <c r="L318" i="8"/>
  <c r="L319" i="8"/>
  <c r="L320" i="8"/>
  <c r="L321" i="8"/>
  <c r="L322" i="8"/>
  <c r="L323" i="8"/>
  <c r="L324" i="8"/>
  <c r="L325" i="8"/>
  <c r="L326" i="8"/>
  <c r="L327" i="8"/>
  <c r="L328" i="8"/>
  <c r="L329" i="8"/>
  <c r="L330" i="8"/>
  <c r="L331" i="8"/>
  <c r="L332" i="8"/>
  <c r="L333" i="8"/>
  <c r="L334" i="8"/>
  <c r="L335" i="8"/>
  <c r="L336" i="8"/>
  <c r="L337" i="8"/>
  <c r="L338" i="8"/>
  <c r="L339" i="8"/>
  <c r="L340" i="8"/>
  <c r="L341" i="8"/>
  <c r="L342" i="8"/>
  <c r="L343" i="8"/>
  <c r="L344" i="8"/>
  <c r="L345" i="8"/>
  <c r="L346" i="8"/>
  <c r="L347" i="8"/>
  <c r="L348" i="8"/>
  <c r="L349" i="8"/>
  <c r="L350" i="8"/>
  <c r="L351" i="8"/>
  <c r="L352" i="8"/>
  <c r="L353" i="8"/>
  <c r="L354" i="8"/>
  <c r="L355" i="8"/>
  <c r="L356" i="8"/>
  <c r="L357" i="8"/>
  <c r="L358" i="8"/>
  <c r="L359" i="8"/>
  <c r="L360" i="8"/>
  <c r="L361" i="8"/>
  <c r="L362" i="8"/>
  <c r="L363" i="8"/>
  <c r="L364" i="8"/>
  <c r="L365" i="8"/>
  <c r="L366" i="8"/>
  <c r="L367" i="8"/>
  <c r="L368" i="8"/>
  <c r="L369" i="8"/>
  <c r="L370" i="8"/>
  <c r="L371" i="8"/>
  <c r="L372" i="8"/>
  <c r="L373" i="8"/>
  <c r="L374" i="8"/>
  <c r="L375" i="8"/>
  <c r="L376" i="8"/>
  <c r="L377" i="8"/>
  <c r="L378" i="8"/>
  <c r="L379" i="8"/>
  <c r="L380" i="8"/>
  <c r="L381" i="8"/>
  <c r="L382" i="8"/>
  <c r="L383" i="8"/>
  <c r="L384" i="8"/>
  <c r="L385" i="8"/>
  <c r="L386" i="8"/>
  <c r="L387" i="8"/>
  <c r="L388" i="8"/>
  <c r="L389" i="8"/>
  <c r="L390" i="8"/>
  <c r="L391" i="8"/>
  <c r="L392" i="8"/>
  <c r="L393" i="8"/>
  <c r="L394" i="8"/>
  <c r="L395" i="8"/>
  <c r="L396" i="8"/>
  <c r="L397" i="8"/>
  <c r="L398" i="8"/>
  <c r="L399" i="8"/>
  <c r="L400" i="8"/>
  <c r="L401" i="8"/>
  <c r="L402" i="8"/>
  <c r="L403" i="8"/>
  <c r="L404" i="8"/>
  <c r="L405" i="8"/>
  <c r="L406" i="8"/>
  <c r="L407" i="8"/>
  <c r="L408" i="8"/>
  <c r="L409" i="8"/>
  <c r="L410" i="8"/>
  <c r="L411" i="8"/>
  <c r="L412" i="8"/>
  <c r="L413" i="8"/>
  <c r="L414" i="8"/>
  <c r="L415" i="8"/>
  <c r="L416" i="8"/>
  <c r="L417" i="8"/>
  <c r="L418" i="8"/>
  <c r="L419" i="8"/>
  <c r="L420" i="8"/>
  <c r="L421" i="8"/>
  <c r="L422" i="8"/>
  <c r="L423" i="8"/>
  <c r="L424" i="8"/>
  <c r="L425" i="8"/>
  <c r="L426" i="8"/>
  <c r="L427" i="8"/>
  <c r="L428" i="8"/>
  <c r="L429" i="8"/>
  <c r="L430" i="8"/>
  <c r="L431" i="8"/>
  <c r="L432" i="8"/>
  <c r="L433" i="8"/>
  <c r="L434" i="8"/>
  <c r="L435" i="8"/>
  <c r="L436" i="8"/>
  <c r="L437" i="8"/>
  <c r="L438" i="8"/>
  <c r="L439" i="8"/>
  <c r="L440" i="8"/>
  <c r="L441" i="8"/>
  <c r="L442" i="8"/>
  <c r="L443" i="8"/>
  <c r="L444" i="8"/>
  <c r="L445" i="8"/>
  <c r="L446" i="8"/>
  <c r="L447" i="8"/>
  <c r="L448" i="8"/>
  <c r="L449" i="8"/>
  <c r="L450" i="8"/>
  <c r="L451" i="8"/>
  <c r="L452" i="8"/>
  <c r="L453" i="8"/>
  <c r="L454" i="8"/>
  <c r="L455" i="8"/>
  <c r="L456" i="8"/>
  <c r="L457" i="8"/>
  <c r="L458" i="8"/>
  <c r="L459" i="8"/>
  <c r="L460" i="8"/>
  <c r="L461" i="8"/>
  <c r="L462" i="8"/>
  <c r="L463" i="8"/>
  <c r="L464" i="8"/>
  <c r="L465" i="8"/>
  <c r="L466" i="8"/>
  <c r="L467" i="8"/>
  <c r="L468" i="8"/>
  <c r="L469" i="8"/>
  <c r="L470" i="8"/>
  <c r="L471" i="8"/>
  <c r="L472" i="8"/>
  <c r="L473" i="8"/>
  <c r="L474" i="8"/>
  <c r="L475" i="8"/>
  <c r="L476" i="8"/>
  <c r="L477" i="8"/>
  <c r="L478" i="8"/>
  <c r="L479" i="8"/>
  <c r="L480" i="8"/>
  <c r="L481" i="8"/>
  <c r="L482" i="8"/>
  <c r="L483" i="8"/>
  <c r="L484" i="8"/>
  <c r="L485" i="8"/>
  <c r="L486" i="8"/>
  <c r="L487" i="8"/>
  <c r="L488" i="8"/>
  <c r="L489" i="8"/>
  <c r="L490" i="8"/>
  <c r="L491" i="8"/>
  <c r="L492" i="8"/>
  <c r="L493" i="8"/>
  <c r="L494" i="8"/>
  <c r="L495" i="8"/>
  <c r="L496" i="8"/>
  <c r="L497" i="8"/>
  <c r="L498" i="8"/>
  <c r="L499" i="8"/>
  <c r="L500" i="8"/>
  <c r="L501" i="8"/>
  <c r="L502" i="8"/>
  <c r="L503" i="8"/>
  <c r="L504" i="8"/>
  <c r="L505" i="8"/>
  <c r="L506" i="8"/>
  <c r="L507" i="8"/>
  <c r="L508" i="8"/>
  <c r="L509" i="8"/>
  <c r="L510" i="8"/>
  <c r="L511" i="8"/>
  <c r="L512" i="8"/>
  <c r="L513" i="8"/>
  <c r="L514" i="8"/>
  <c r="L515" i="8"/>
  <c r="L516" i="8"/>
  <c r="L517" i="8"/>
  <c r="L518" i="8"/>
  <c r="L519" i="8"/>
  <c r="L520" i="8"/>
  <c r="L521" i="8"/>
  <c r="L522" i="8"/>
  <c r="L523" i="8"/>
  <c r="L524" i="8"/>
  <c r="L525" i="8"/>
  <c r="L526" i="8"/>
  <c r="L527" i="8"/>
  <c r="L528" i="8"/>
  <c r="L529" i="8"/>
  <c r="L530" i="8"/>
  <c r="L531" i="8"/>
  <c r="L532" i="8"/>
  <c r="L533" i="8"/>
  <c r="L534" i="8"/>
  <c r="L535" i="8"/>
  <c r="L536" i="8"/>
  <c r="L537" i="8"/>
  <c r="L538" i="8"/>
  <c r="L539" i="8"/>
  <c r="L540" i="8"/>
  <c r="L541" i="8"/>
  <c r="L542" i="8"/>
  <c r="L543" i="8"/>
  <c r="L544" i="8"/>
  <c r="L545" i="8"/>
  <c r="L546" i="8"/>
  <c r="L547" i="8"/>
  <c r="L548" i="8"/>
  <c r="L549" i="8"/>
  <c r="L550" i="8"/>
  <c r="L551" i="8"/>
  <c r="L552" i="8"/>
  <c r="L553" i="8"/>
  <c r="L554" i="8"/>
  <c r="L555" i="8"/>
  <c r="L556" i="8"/>
  <c r="L557" i="8"/>
  <c r="L558" i="8"/>
  <c r="L559" i="8"/>
  <c r="L560" i="8"/>
  <c r="L561" i="8"/>
  <c r="L562" i="8"/>
  <c r="L563" i="8"/>
  <c r="L564" i="8"/>
  <c r="L565" i="8"/>
  <c r="L566" i="8"/>
  <c r="L567" i="8"/>
  <c r="L568" i="8"/>
  <c r="L569" i="8"/>
  <c r="L570" i="8"/>
  <c r="L571" i="8"/>
  <c r="L572" i="8"/>
  <c r="L573" i="8"/>
  <c r="L574" i="8"/>
  <c r="L575" i="8"/>
  <c r="L576" i="8"/>
  <c r="L577" i="8"/>
  <c r="L578" i="8"/>
  <c r="L579" i="8"/>
  <c r="L580" i="8"/>
  <c r="L581" i="8"/>
  <c r="L582" i="8"/>
  <c r="L583" i="8"/>
  <c r="L584" i="8"/>
  <c r="L585" i="8"/>
  <c r="L586" i="8"/>
  <c r="L587" i="8"/>
  <c r="L588" i="8"/>
  <c r="L589" i="8"/>
  <c r="L590" i="8"/>
  <c r="L591" i="8"/>
  <c r="L592" i="8"/>
  <c r="L593" i="8"/>
  <c r="L594" i="8"/>
  <c r="L595" i="8"/>
  <c r="L596" i="8"/>
  <c r="L597" i="8"/>
  <c r="L598" i="8"/>
  <c r="L599" i="8"/>
  <c r="L600" i="8"/>
  <c r="L601" i="8"/>
  <c r="L602" i="8"/>
  <c r="L603" i="8"/>
  <c r="L604" i="8"/>
  <c r="L605" i="8"/>
  <c r="L606" i="8"/>
  <c r="L607" i="8"/>
  <c r="L608" i="8"/>
  <c r="L609" i="8"/>
  <c r="L610" i="8"/>
  <c r="L611" i="8"/>
  <c r="L612" i="8"/>
  <c r="L613" i="8"/>
  <c r="L614" i="8"/>
  <c r="L615" i="8"/>
  <c r="L616" i="8"/>
  <c r="L617" i="8"/>
  <c r="L618" i="8"/>
  <c r="L619" i="8"/>
  <c r="L620" i="8"/>
  <c r="L621" i="8"/>
  <c r="L622" i="8"/>
  <c r="L623" i="8"/>
  <c r="L624" i="8"/>
  <c r="L625" i="8"/>
  <c r="L626" i="8"/>
  <c r="L627" i="8"/>
  <c r="L628" i="8"/>
  <c r="L629" i="8"/>
  <c r="L630" i="8"/>
  <c r="L631" i="8"/>
  <c r="L632" i="8"/>
  <c r="L633" i="8"/>
  <c r="L634" i="8"/>
  <c r="L635" i="8"/>
  <c r="L636" i="8"/>
  <c r="L637" i="8"/>
  <c r="L638" i="8"/>
  <c r="L639" i="8"/>
  <c r="L640" i="8"/>
  <c r="L641" i="8"/>
  <c r="L642" i="8"/>
  <c r="L643" i="8"/>
  <c r="L644" i="8"/>
  <c r="J2" i="8"/>
  <c r="K2" i="8"/>
  <c r="K3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205" i="8"/>
  <c r="K206" i="8"/>
  <c r="K207" i="8"/>
  <c r="K208" i="8"/>
  <c r="K209" i="8"/>
  <c r="K210" i="8"/>
  <c r="K211" i="8"/>
  <c r="K212" i="8"/>
  <c r="K213" i="8"/>
  <c r="K214" i="8"/>
  <c r="K215" i="8"/>
  <c r="K216" i="8"/>
  <c r="K217" i="8"/>
  <c r="K218" i="8"/>
  <c r="K219" i="8"/>
  <c r="K220" i="8"/>
  <c r="K221" i="8"/>
  <c r="K222" i="8"/>
  <c r="K223" i="8"/>
  <c r="K224" i="8"/>
  <c r="K225" i="8"/>
  <c r="K226" i="8"/>
  <c r="K227" i="8"/>
  <c r="K228" i="8"/>
  <c r="K229" i="8"/>
  <c r="K230" i="8"/>
  <c r="K231" i="8"/>
  <c r="K232" i="8"/>
  <c r="K233" i="8"/>
  <c r="K234" i="8"/>
  <c r="K235" i="8"/>
  <c r="K236" i="8"/>
  <c r="K237" i="8"/>
  <c r="K238" i="8"/>
  <c r="K239" i="8"/>
  <c r="K240" i="8"/>
  <c r="K241" i="8"/>
  <c r="K242" i="8"/>
  <c r="K243" i="8"/>
  <c r="K244" i="8"/>
  <c r="K245" i="8"/>
  <c r="K246" i="8"/>
  <c r="K247" i="8"/>
  <c r="K248" i="8"/>
  <c r="K249" i="8"/>
  <c r="K250" i="8"/>
  <c r="K251" i="8"/>
  <c r="K252" i="8"/>
  <c r="K253" i="8"/>
  <c r="K254" i="8"/>
  <c r="K255" i="8"/>
  <c r="K256" i="8"/>
  <c r="K257" i="8"/>
  <c r="K258" i="8"/>
  <c r="K259" i="8"/>
  <c r="K260" i="8"/>
  <c r="K261" i="8"/>
  <c r="K262" i="8"/>
  <c r="K263" i="8"/>
  <c r="K264" i="8"/>
  <c r="K265" i="8"/>
  <c r="K266" i="8"/>
  <c r="K267" i="8"/>
  <c r="K268" i="8"/>
  <c r="K269" i="8"/>
  <c r="K270" i="8"/>
  <c r="K271" i="8"/>
  <c r="K272" i="8"/>
  <c r="K273" i="8"/>
  <c r="K274" i="8"/>
  <c r="K275" i="8"/>
  <c r="K276" i="8"/>
  <c r="K277" i="8"/>
  <c r="K278" i="8"/>
  <c r="K279" i="8"/>
  <c r="K280" i="8"/>
  <c r="K281" i="8"/>
  <c r="K282" i="8"/>
  <c r="K283" i="8"/>
  <c r="K284" i="8"/>
  <c r="K285" i="8"/>
  <c r="K286" i="8"/>
  <c r="K287" i="8"/>
  <c r="K288" i="8"/>
  <c r="K289" i="8"/>
  <c r="K290" i="8"/>
  <c r="K291" i="8"/>
  <c r="K292" i="8"/>
  <c r="K293" i="8"/>
  <c r="K294" i="8"/>
  <c r="K295" i="8"/>
  <c r="K296" i="8"/>
  <c r="K297" i="8"/>
  <c r="K298" i="8"/>
  <c r="K299" i="8"/>
  <c r="K300" i="8"/>
  <c r="K301" i="8"/>
  <c r="K302" i="8"/>
  <c r="K303" i="8"/>
  <c r="K304" i="8"/>
  <c r="K305" i="8"/>
  <c r="K306" i="8"/>
  <c r="K307" i="8"/>
  <c r="K308" i="8"/>
  <c r="K309" i="8"/>
  <c r="K310" i="8"/>
  <c r="K311" i="8"/>
  <c r="K312" i="8"/>
  <c r="K313" i="8"/>
  <c r="K314" i="8"/>
  <c r="K315" i="8"/>
  <c r="K316" i="8"/>
  <c r="K317" i="8"/>
  <c r="K318" i="8"/>
  <c r="K319" i="8"/>
  <c r="K320" i="8"/>
  <c r="K321" i="8"/>
  <c r="K322" i="8"/>
  <c r="K323" i="8"/>
  <c r="K324" i="8"/>
  <c r="K325" i="8"/>
  <c r="K326" i="8"/>
  <c r="K327" i="8"/>
  <c r="K328" i="8"/>
  <c r="K329" i="8"/>
  <c r="K330" i="8"/>
  <c r="K331" i="8"/>
  <c r="K332" i="8"/>
  <c r="K333" i="8"/>
  <c r="K334" i="8"/>
  <c r="K335" i="8"/>
  <c r="K336" i="8"/>
  <c r="K337" i="8"/>
  <c r="K338" i="8"/>
  <c r="K339" i="8"/>
  <c r="K340" i="8"/>
  <c r="K341" i="8"/>
  <c r="K342" i="8"/>
  <c r="K343" i="8"/>
  <c r="K344" i="8"/>
  <c r="K345" i="8"/>
  <c r="K346" i="8"/>
  <c r="K347" i="8"/>
  <c r="K348" i="8"/>
  <c r="K349" i="8"/>
  <c r="K350" i="8"/>
  <c r="K351" i="8"/>
  <c r="K352" i="8"/>
  <c r="K353" i="8"/>
  <c r="K354" i="8"/>
  <c r="K355" i="8"/>
  <c r="K356" i="8"/>
  <c r="K357" i="8"/>
  <c r="K358" i="8"/>
  <c r="K359" i="8"/>
  <c r="K360" i="8"/>
  <c r="K361" i="8"/>
  <c r="K362" i="8"/>
  <c r="K363" i="8"/>
  <c r="K364" i="8"/>
  <c r="K365" i="8"/>
  <c r="K366" i="8"/>
  <c r="K367" i="8"/>
  <c r="K368" i="8"/>
  <c r="K369" i="8"/>
  <c r="K370" i="8"/>
  <c r="K371" i="8"/>
  <c r="K372" i="8"/>
  <c r="K373" i="8"/>
  <c r="K374" i="8"/>
  <c r="K375" i="8"/>
  <c r="K376" i="8"/>
  <c r="K377" i="8"/>
  <c r="K378" i="8"/>
  <c r="K379" i="8"/>
  <c r="K380" i="8"/>
  <c r="K381" i="8"/>
  <c r="K382" i="8"/>
  <c r="K383" i="8"/>
  <c r="K384" i="8"/>
  <c r="K385" i="8"/>
  <c r="K386" i="8"/>
  <c r="K387" i="8"/>
  <c r="K388" i="8"/>
  <c r="K389" i="8"/>
  <c r="K390" i="8"/>
  <c r="K391" i="8"/>
  <c r="K392" i="8"/>
  <c r="K393" i="8"/>
  <c r="K394" i="8"/>
  <c r="K395" i="8"/>
  <c r="K396" i="8"/>
  <c r="K397" i="8"/>
  <c r="K398" i="8"/>
  <c r="K399" i="8"/>
  <c r="K400" i="8"/>
  <c r="K401" i="8"/>
  <c r="K402" i="8"/>
  <c r="K403" i="8"/>
  <c r="K404" i="8"/>
  <c r="K405" i="8"/>
  <c r="K406" i="8"/>
  <c r="K407" i="8"/>
  <c r="K408" i="8"/>
  <c r="K409" i="8"/>
  <c r="K410" i="8"/>
  <c r="K411" i="8"/>
  <c r="K412" i="8"/>
  <c r="K413" i="8"/>
  <c r="K414" i="8"/>
  <c r="K415" i="8"/>
  <c r="K416" i="8"/>
  <c r="K417" i="8"/>
  <c r="K418" i="8"/>
  <c r="K419" i="8"/>
  <c r="K420" i="8"/>
  <c r="K421" i="8"/>
  <c r="K422" i="8"/>
  <c r="K423" i="8"/>
  <c r="K424" i="8"/>
  <c r="K425" i="8"/>
  <c r="K426" i="8"/>
  <c r="K427" i="8"/>
  <c r="K428" i="8"/>
  <c r="K429" i="8"/>
  <c r="K430" i="8"/>
  <c r="K431" i="8"/>
  <c r="K432" i="8"/>
  <c r="K433" i="8"/>
  <c r="K434" i="8"/>
  <c r="K435" i="8"/>
  <c r="K436" i="8"/>
  <c r="K437" i="8"/>
  <c r="K438" i="8"/>
  <c r="K439" i="8"/>
  <c r="K440" i="8"/>
  <c r="K441" i="8"/>
  <c r="K442" i="8"/>
  <c r="K443" i="8"/>
  <c r="K444" i="8"/>
  <c r="K445" i="8"/>
  <c r="K446" i="8"/>
  <c r="K447" i="8"/>
  <c r="K448" i="8"/>
  <c r="K449" i="8"/>
  <c r="K450" i="8"/>
  <c r="K451" i="8"/>
  <c r="K452" i="8"/>
  <c r="K453" i="8"/>
  <c r="K454" i="8"/>
  <c r="K455" i="8"/>
  <c r="K456" i="8"/>
  <c r="K457" i="8"/>
  <c r="K458" i="8"/>
  <c r="K459" i="8"/>
  <c r="K460" i="8"/>
  <c r="K461" i="8"/>
  <c r="K462" i="8"/>
  <c r="K463" i="8"/>
  <c r="K464" i="8"/>
  <c r="K465" i="8"/>
  <c r="K466" i="8"/>
  <c r="K467" i="8"/>
  <c r="K468" i="8"/>
  <c r="K469" i="8"/>
  <c r="K470" i="8"/>
  <c r="K471" i="8"/>
  <c r="K472" i="8"/>
  <c r="K473" i="8"/>
  <c r="K474" i="8"/>
  <c r="K475" i="8"/>
  <c r="K476" i="8"/>
  <c r="K477" i="8"/>
  <c r="K478" i="8"/>
  <c r="K479" i="8"/>
  <c r="K480" i="8"/>
  <c r="K481" i="8"/>
  <c r="K482" i="8"/>
  <c r="K483" i="8"/>
  <c r="K484" i="8"/>
  <c r="K485" i="8"/>
  <c r="K486" i="8"/>
  <c r="K487" i="8"/>
  <c r="K488" i="8"/>
  <c r="K489" i="8"/>
  <c r="K490" i="8"/>
  <c r="K491" i="8"/>
  <c r="K492" i="8"/>
  <c r="K493" i="8"/>
  <c r="K494" i="8"/>
  <c r="K495" i="8"/>
  <c r="K496" i="8"/>
  <c r="K497" i="8"/>
  <c r="K498" i="8"/>
  <c r="K499" i="8"/>
  <c r="K500" i="8"/>
  <c r="K501" i="8"/>
  <c r="K502" i="8"/>
  <c r="K503" i="8"/>
  <c r="K504" i="8"/>
  <c r="K505" i="8"/>
  <c r="K506" i="8"/>
  <c r="K507" i="8"/>
  <c r="K508" i="8"/>
  <c r="K509" i="8"/>
  <c r="K510" i="8"/>
  <c r="K511" i="8"/>
  <c r="K512" i="8"/>
  <c r="K513" i="8"/>
  <c r="K514" i="8"/>
  <c r="K515" i="8"/>
  <c r="K516" i="8"/>
  <c r="K517" i="8"/>
  <c r="K518" i="8"/>
  <c r="K519" i="8"/>
  <c r="K520" i="8"/>
  <c r="K521" i="8"/>
  <c r="K522" i="8"/>
  <c r="K523" i="8"/>
  <c r="K524" i="8"/>
  <c r="K525" i="8"/>
  <c r="K526" i="8"/>
  <c r="K527" i="8"/>
  <c r="K528" i="8"/>
  <c r="K529" i="8"/>
  <c r="K530" i="8"/>
  <c r="K531" i="8"/>
  <c r="K532" i="8"/>
  <c r="K533" i="8"/>
  <c r="K534" i="8"/>
  <c r="K535" i="8"/>
  <c r="K536" i="8"/>
  <c r="K537" i="8"/>
  <c r="K538" i="8"/>
  <c r="K539" i="8"/>
  <c r="K540" i="8"/>
  <c r="K541" i="8"/>
  <c r="K542" i="8"/>
  <c r="K543" i="8"/>
  <c r="K544" i="8"/>
  <c r="K545" i="8"/>
  <c r="K546" i="8"/>
  <c r="K547" i="8"/>
  <c r="K548" i="8"/>
  <c r="K549" i="8"/>
  <c r="K550" i="8"/>
  <c r="K551" i="8"/>
  <c r="K552" i="8"/>
  <c r="K553" i="8"/>
  <c r="K554" i="8"/>
  <c r="K555" i="8"/>
  <c r="K556" i="8"/>
  <c r="K557" i="8"/>
  <c r="K558" i="8"/>
  <c r="K559" i="8"/>
  <c r="K560" i="8"/>
  <c r="K561" i="8"/>
  <c r="K562" i="8"/>
  <c r="K563" i="8"/>
  <c r="K564" i="8"/>
  <c r="K565" i="8"/>
  <c r="K566" i="8"/>
  <c r="K567" i="8"/>
  <c r="K568" i="8"/>
  <c r="K569" i="8"/>
  <c r="K570" i="8"/>
  <c r="K571" i="8"/>
  <c r="K572" i="8"/>
  <c r="K573" i="8"/>
  <c r="K574" i="8"/>
  <c r="K575" i="8"/>
  <c r="K576" i="8"/>
  <c r="K577" i="8"/>
  <c r="K578" i="8"/>
  <c r="K579" i="8"/>
  <c r="K580" i="8"/>
  <c r="K581" i="8"/>
  <c r="K582" i="8"/>
  <c r="K583" i="8"/>
  <c r="K584" i="8"/>
  <c r="K585" i="8"/>
  <c r="K586" i="8"/>
  <c r="K587" i="8"/>
  <c r="K588" i="8"/>
  <c r="K589" i="8"/>
  <c r="K590" i="8"/>
  <c r="K591" i="8"/>
  <c r="K592" i="8"/>
  <c r="K593" i="8"/>
  <c r="K594" i="8"/>
  <c r="K595" i="8"/>
  <c r="K596" i="8"/>
  <c r="K597" i="8"/>
  <c r="K598" i="8"/>
  <c r="K599" i="8"/>
  <c r="K600" i="8"/>
  <c r="K601" i="8"/>
  <c r="K602" i="8"/>
  <c r="K603" i="8"/>
  <c r="K604" i="8"/>
  <c r="K605" i="8"/>
  <c r="K606" i="8"/>
  <c r="K607" i="8"/>
  <c r="K608" i="8"/>
  <c r="K609" i="8"/>
  <c r="K610" i="8"/>
  <c r="K611" i="8"/>
  <c r="K612" i="8"/>
  <c r="K613" i="8"/>
  <c r="K614" i="8"/>
  <c r="K615" i="8"/>
  <c r="K616" i="8"/>
  <c r="K617" i="8"/>
  <c r="K618" i="8"/>
  <c r="K619" i="8"/>
  <c r="K620" i="8"/>
  <c r="K621" i="8"/>
  <c r="K622" i="8"/>
  <c r="K623" i="8"/>
  <c r="K624" i="8"/>
  <c r="K625" i="8"/>
  <c r="K626" i="8"/>
  <c r="K627" i="8"/>
  <c r="K628" i="8"/>
  <c r="K629" i="8"/>
  <c r="K630" i="8"/>
  <c r="K631" i="8"/>
  <c r="K632" i="8"/>
  <c r="K633" i="8"/>
  <c r="K634" i="8"/>
  <c r="K635" i="8"/>
  <c r="K636" i="8"/>
  <c r="K637" i="8"/>
  <c r="K638" i="8"/>
  <c r="K639" i="8"/>
  <c r="K640" i="8"/>
  <c r="K641" i="8"/>
  <c r="K642" i="8"/>
  <c r="K643" i="8"/>
  <c r="K644" i="8"/>
  <c r="J3" i="8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17" i="8"/>
  <c r="J18" i="8"/>
  <c r="J19" i="8"/>
  <c r="J20" i="8"/>
  <c r="J21" i="8"/>
  <c r="J22" i="8"/>
  <c r="J23" i="8"/>
  <c r="J24" i="8"/>
  <c r="J25" i="8"/>
  <c r="J26" i="8"/>
  <c r="J27" i="8"/>
  <c r="J28" i="8"/>
  <c r="J29" i="8"/>
  <c r="J30" i="8"/>
  <c r="J31" i="8"/>
  <c r="J32" i="8"/>
  <c r="J33" i="8"/>
  <c r="J34" i="8"/>
  <c r="J35" i="8"/>
  <c r="J36" i="8"/>
  <c r="J37" i="8"/>
  <c r="J38" i="8"/>
  <c r="J39" i="8"/>
  <c r="J40" i="8"/>
  <c r="J41" i="8"/>
  <c r="J42" i="8"/>
  <c r="J43" i="8"/>
  <c r="J44" i="8"/>
  <c r="J45" i="8"/>
  <c r="J46" i="8"/>
  <c r="J47" i="8"/>
  <c r="J48" i="8"/>
  <c r="J49" i="8"/>
  <c r="J50" i="8"/>
  <c r="J51" i="8"/>
  <c r="J52" i="8"/>
  <c r="J53" i="8"/>
  <c r="J54" i="8"/>
  <c r="J55" i="8"/>
  <c r="J56" i="8"/>
  <c r="J57" i="8"/>
  <c r="J58" i="8"/>
  <c r="J59" i="8"/>
  <c r="J60" i="8"/>
  <c r="J61" i="8"/>
  <c r="J62" i="8"/>
  <c r="J63" i="8"/>
  <c r="J64" i="8"/>
  <c r="J65" i="8"/>
  <c r="J66" i="8"/>
  <c r="J67" i="8"/>
  <c r="J68" i="8"/>
  <c r="J69" i="8"/>
  <c r="J70" i="8"/>
  <c r="J71" i="8"/>
  <c r="J72" i="8"/>
  <c r="J73" i="8"/>
  <c r="J74" i="8"/>
  <c r="J75" i="8"/>
  <c r="J76" i="8"/>
  <c r="J77" i="8"/>
  <c r="J78" i="8"/>
  <c r="J79" i="8"/>
  <c r="J80" i="8"/>
  <c r="J81" i="8"/>
  <c r="J82" i="8"/>
  <c r="J83" i="8"/>
  <c r="J84" i="8"/>
  <c r="J85" i="8"/>
  <c r="J86" i="8"/>
  <c r="J87" i="8"/>
  <c r="J88" i="8"/>
  <c r="J89" i="8"/>
  <c r="J90" i="8"/>
  <c r="J91" i="8"/>
  <c r="J92" i="8"/>
  <c r="J93" i="8"/>
  <c r="J94" i="8"/>
  <c r="J95" i="8"/>
  <c r="J96" i="8"/>
  <c r="J97" i="8"/>
  <c r="J98" i="8"/>
  <c r="J99" i="8"/>
  <c r="J100" i="8"/>
  <c r="J101" i="8"/>
  <c r="J102" i="8"/>
  <c r="J103" i="8"/>
  <c r="J104" i="8"/>
  <c r="J105" i="8"/>
  <c r="J106" i="8"/>
  <c r="J107" i="8"/>
  <c r="J108" i="8"/>
  <c r="J109" i="8"/>
  <c r="J110" i="8"/>
  <c r="J111" i="8"/>
  <c r="J112" i="8"/>
  <c r="J113" i="8"/>
  <c r="J114" i="8"/>
  <c r="J115" i="8"/>
  <c r="J116" i="8"/>
  <c r="J117" i="8"/>
  <c r="J118" i="8"/>
  <c r="J119" i="8"/>
  <c r="J120" i="8"/>
  <c r="J121" i="8"/>
  <c r="J122" i="8"/>
  <c r="J123" i="8"/>
  <c r="J124" i="8"/>
  <c r="J125" i="8"/>
  <c r="J126" i="8"/>
  <c r="J127" i="8"/>
  <c r="J128" i="8"/>
  <c r="J129" i="8"/>
  <c r="J130" i="8"/>
  <c r="J131" i="8"/>
  <c r="J132" i="8"/>
  <c r="J133" i="8"/>
  <c r="J134" i="8"/>
  <c r="J135" i="8"/>
  <c r="J136" i="8"/>
  <c r="J137" i="8"/>
  <c r="J138" i="8"/>
  <c r="J139" i="8"/>
  <c r="J140" i="8"/>
  <c r="J141" i="8"/>
  <c r="J142" i="8"/>
  <c r="J143" i="8"/>
  <c r="J144" i="8"/>
  <c r="J145" i="8"/>
  <c r="J146" i="8"/>
  <c r="J147" i="8"/>
  <c r="J148" i="8"/>
  <c r="J149" i="8"/>
  <c r="J150" i="8"/>
  <c r="J151" i="8"/>
  <c r="J152" i="8"/>
  <c r="J153" i="8"/>
  <c r="J154" i="8"/>
  <c r="J155" i="8"/>
  <c r="J156" i="8"/>
  <c r="J157" i="8"/>
  <c r="J158" i="8"/>
  <c r="J159" i="8"/>
  <c r="J160" i="8"/>
  <c r="J161" i="8"/>
  <c r="J162" i="8"/>
  <c r="J163" i="8"/>
  <c r="J164" i="8"/>
  <c r="J165" i="8"/>
  <c r="J166" i="8"/>
  <c r="J167" i="8"/>
  <c r="J168" i="8"/>
  <c r="J169" i="8"/>
  <c r="J170" i="8"/>
  <c r="J171" i="8"/>
  <c r="J172" i="8"/>
  <c r="J173" i="8"/>
  <c r="J174" i="8"/>
  <c r="J175" i="8"/>
  <c r="J176" i="8"/>
  <c r="J177" i="8"/>
  <c r="J178" i="8"/>
  <c r="J179" i="8"/>
  <c r="J180" i="8"/>
  <c r="J181" i="8"/>
  <c r="J182" i="8"/>
  <c r="J183" i="8"/>
  <c r="J184" i="8"/>
  <c r="J185" i="8"/>
  <c r="J186" i="8"/>
  <c r="J187" i="8"/>
  <c r="J188" i="8"/>
  <c r="J189" i="8"/>
  <c r="J190" i="8"/>
  <c r="J191" i="8"/>
  <c r="J192" i="8"/>
  <c r="J193" i="8"/>
  <c r="J194" i="8"/>
  <c r="J195" i="8"/>
  <c r="J196" i="8"/>
  <c r="J197" i="8"/>
  <c r="J198" i="8"/>
  <c r="J199" i="8"/>
  <c r="J200" i="8"/>
  <c r="J201" i="8"/>
  <c r="J202" i="8"/>
  <c r="J203" i="8"/>
  <c r="J204" i="8"/>
  <c r="J205" i="8"/>
  <c r="J206" i="8"/>
  <c r="J207" i="8"/>
  <c r="J208" i="8"/>
  <c r="J209" i="8"/>
  <c r="J210" i="8"/>
  <c r="J211" i="8"/>
  <c r="J212" i="8"/>
  <c r="J213" i="8"/>
  <c r="J214" i="8"/>
  <c r="J215" i="8"/>
  <c r="J216" i="8"/>
  <c r="J217" i="8"/>
  <c r="J218" i="8"/>
  <c r="J219" i="8"/>
  <c r="J220" i="8"/>
  <c r="J221" i="8"/>
  <c r="J222" i="8"/>
  <c r="J223" i="8"/>
  <c r="J224" i="8"/>
  <c r="J225" i="8"/>
  <c r="J226" i="8"/>
  <c r="J227" i="8"/>
  <c r="J228" i="8"/>
  <c r="J229" i="8"/>
  <c r="J230" i="8"/>
  <c r="J231" i="8"/>
  <c r="J232" i="8"/>
  <c r="J233" i="8"/>
  <c r="J234" i="8"/>
  <c r="J235" i="8"/>
  <c r="J236" i="8"/>
  <c r="J237" i="8"/>
  <c r="J238" i="8"/>
  <c r="J239" i="8"/>
  <c r="J240" i="8"/>
  <c r="J241" i="8"/>
  <c r="J242" i="8"/>
  <c r="J243" i="8"/>
  <c r="J244" i="8"/>
  <c r="J245" i="8"/>
  <c r="J246" i="8"/>
  <c r="J247" i="8"/>
  <c r="J248" i="8"/>
  <c r="J249" i="8"/>
  <c r="J250" i="8"/>
  <c r="J251" i="8"/>
  <c r="J252" i="8"/>
  <c r="J253" i="8"/>
  <c r="J254" i="8"/>
  <c r="J255" i="8"/>
  <c r="J256" i="8"/>
  <c r="J257" i="8"/>
  <c r="J258" i="8"/>
  <c r="J259" i="8"/>
  <c r="J260" i="8"/>
  <c r="J261" i="8"/>
  <c r="J262" i="8"/>
  <c r="J263" i="8"/>
  <c r="J264" i="8"/>
  <c r="J265" i="8"/>
  <c r="J266" i="8"/>
  <c r="J267" i="8"/>
  <c r="J268" i="8"/>
  <c r="J269" i="8"/>
  <c r="J270" i="8"/>
  <c r="J271" i="8"/>
  <c r="J272" i="8"/>
  <c r="J273" i="8"/>
  <c r="J274" i="8"/>
  <c r="J275" i="8"/>
  <c r="J276" i="8"/>
  <c r="J277" i="8"/>
  <c r="J278" i="8"/>
  <c r="J279" i="8"/>
  <c r="J280" i="8"/>
  <c r="J281" i="8"/>
  <c r="J282" i="8"/>
  <c r="J283" i="8"/>
  <c r="J284" i="8"/>
  <c r="J285" i="8"/>
  <c r="J286" i="8"/>
  <c r="J287" i="8"/>
  <c r="J288" i="8"/>
  <c r="J289" i="8"/>
  <c r="J290" i="8"/>
  <c r="J291" i="8"/>
  <c r="J292" i="8"/>
  <c r="J293" i="8"/>
  <c r="J294" i="8"/>
  <c r="J295" i="8"/>
  <c r="J296" i="8"/>
  <c r="J297" i="8"/>
  <c r="J298" i="8"/>
  <c r="J299" i="8"/>
  <c r="J300" i="8"/>
  <c r="J301" i="8"/>
  <c r="J302" i="8"/>
  <c r="J303" i="8"/>
  <c r="J304" i="8"/>
  <c r="J305" i="8"/>
  <c r="J306" i="8"/>
  <c r="J307" i="8"/>
  <c r="J308" i="8"/>
  <c r="J309" i="8"/>
  <c r="J310" i="8"/>
  <c r="J311" i="8"/>
  <c r="J312" i="8"/>
  <c r="J313" i="8"/>
  <c r="J314" i="8"/>
  <c r="J315" i="8"/>
  <c r="J316" i="8"/>
  <c r="J317" i="8"/>
  <c r="J318" i="8"/>
  <c r="J319" i="8"/>
  <c r="J320" i="8"/>
  <c r="J321" i="8"/>
  <c r="J322" i="8"/>
  <c r="J323" i="8"/>
  <c r="J324" i="8"/>
  <c r="J325" i="8"/>
  <c r="J326" i="8"/>
  <c r="J327" i="8"/>
  <c r="J328" i="8"/>
  <c r="J329" i="8"/>
  <c r="J330" i="8"/>
  <c r="J331" i="8"/>
  <c r="J332" i="8"/>
  <c r="J333" i="8"/>
  <c r="J334" i="8"/>
  <c r="J335" i="8"/>
  <c r="J336" i="8"/>
  <c r="J337" i="8"/>
  <c r="J338" i="8"/>
  <c r="J339" i="8"/>
  <c r="J340" i="8"/>
  <c r="J341" i="8"/>
  <c r="J342" i="8"/>
  <c r="J343" i="8"/>
  <c r="J344" i="8"/>
  <c r="J345" i="8"/>
  <c r="J346" i="8"/>
  <c r="J347" i="8"/>
  <c r="J348" i="8"/>
  <c r="J349" i="8"/>
  <c r="J350" i="8"/>
  <c r="J351" i="8"/>
  <c r="J352" i="8"/>
  <c r="J353" i="8"/>
  <c r="J354" i="8"/>
  <c r="J355" i="8"/>
  <c r="J356" i="8"/>
  <c r="J357" i="8"/>
  <c r="J358" i="8"/>
  <c r="J359" i="8"/>
  <c r="J360" i="8"/>
  <c r="J361" i="8"/>
  <c r="J362" i="8"/>
  <c r="J363" i="8"/>
  <c r="J364" i="8"/>
  <c r="J365" i="8"/>
  <c r="J366" i="8"/>
  <c r="J367" i="8"/>
  <c r="J368" i="8"/>
  <c r="J369" i="8"/>
  <c r="J370" i="8"/>
  <c r="J371" i="8"/>
  <c r="J372" i="8"/>
  <c r="J373" i="8"/>
  <c r="J374" i="8"/>
  <c r="J375" i="8"/>
  <c r="J376" i="8"/>
  <c r="J377" i="8"/>
  <c r="J378" i="8"/>
  <c r="J379" i="8"/>
  <c r="J380" i="8"/>
  <c r="J381" i="8"/>
  <c r="J382" i="8"/>
  <c r="J383" i="8"/>
  <c r="J384" i="8"/>
  <c r="J385" i="8"/>
  <c r="J386" i="8"/>
  <c r="J387" i="8"/>
  <c r="J388" i="8"/>
  <c r="J389" i="8"/>
  <c r="J390" i="8"/>
  <c r="J391" i="8"/>
  <c r="J392" i="8"/>
  <c r="J393" i="8"/>
  <c r="J394" i="8"/>
  <c r="J395" i="8"/>
  <c r="J396" i="8"/>
  <c r="J397" i="8"/>
  <c r="J398" i="8"/>
  <c r="J399" i="8"/>
  <c r="J400" i="8"/>
  <c r="J401" i="8"/>
  <c r="J402" i="8"/>
  <c r="J403" i="8"/>
  <c r="J404" i="8"/>
  <c r="J405" i="8"/>
  <c r="J406" i="8"/>
  <c r="J407" i="8"/>
  <c r="J408" i="8"/>
  <c r="J409" i="8"/>
  <c r="J410" i="8"/>
  <c r="J411" i="8"/>
  <c r="J412" i="8"/>
  <c r="J413" i="8"/>
  <c r="J414" i="8"/>
  <c r="J415" i="8"/>
  <c r="J416" i="8"/>
  <c r="J417" i="8"/>
  <c r="J418" i="8"/>
  <c r="J419" i="8"/>
  <c r="J420" i="8"/>
  <c r="J421" i="8"/>
  <c r="J422" i="8"/>
  <c r="J423" i="8"/>
  <c r="J424" i="8"/>
  <c r="J425" i="8"/>
  <c r="J426" i="8"/>
  <c r="J427" i="8"/>
  <c r="J428" i="8"/>
  <c r="J429" i="8"/>
  <c r="J430" i="8"/>
  <c r="J431" i="8"/>
  <c r="J432" i="8"/>
  <c r="J433" i="8"/>
  <c r="J434" i="8"/>
  <c r="J435" i="8"/>
  <c r="J436" i="8"/>
  <c r="J437" i="8"/>
  <c r="J438" i="8"/>
  <c r="J439" i="8"/>
  <c r="J440" i="8"/>
  <c r="J441" i="8"/>
  <c r="J442" i="8"/>
  <c r="J443" i="8"/>
  <c r="J444" i="8"/>
  <c r="J445" i="8"/>
  <c r="J446" i="8"/>
  <c r="J447" i="8"/>
  <c r="J448" i="8"/>
  <c r="J449" i="8"/>
  <c r="J450" i="8"/>
  <c r="J451" i="8"/>
  <c r="J452" i="8"/>
  <c r="J453" i="8"/>
  <c r="J454" i="8"/>
  <c r="J455" i="8"/>
  <c r="J456" i="8"/>
  <c r="J457" i="8"/>
  <c r="J458" i="8"/>
  <c r="J459" i="8"/>
  <c r="J460" i="8"/>
  <c r="J461" i="8"/>
  <c r="J462" i="8"/>
  <c r="J463" i="8"/>
  <c r="J464" i="8"/>
  <c r="J465" i="8"/>
  <c r="J466" i="8"/>
  <c r="J467" i="8"/>
  <c r="J468" i="8"/>
  <c r="J469" i="8"/>
  <c r="J470" i="8"/>
  <c r="J471" i="8"/>
  <c r="J472" i="8"/>
  <c r="J473" i="8"/>
  <c r="J474" i="8"/>
  <c r="J475" i="8"/>
  <c r="J476" i="8"/>
  <c r="J477" i="8"/>
  <c r="J478" i="8"/>
  <c r="J479" i="8"/>
  <c r="J480" i="8"/>
  <c r="J481" i="8"/>
  <c r="J482" i="8"/>
  <c r="J483" i="8"/>
  <c r="J484" i="8"/>
  <c r="J485" i="8"/>
  <c r="J486" i="8"/>
  <c r="J487" i="8"/>
  <c r="J488" i="8"/>
  <c r="J489" i="8"/>
  <c r="J490" i="8"/>
  <c r="J491" i="8"/>
  <c r="J492" i="8"/>
  <c r="J493" i="8"/>
  <c r="J494" i="8"/>
  <c r="J495" i="8"/>
  <c r="J496" i="8"/>
  <c r="J497" i="8"/>
  <c r="J498" i="8"/>
  <c r="J499" i="8"/>
  <c r="J500" i="8"/>
  <c r="J501" i="8"/>
  <c r="J502" i="8"/>
  <c r="J503" i="8"/>
  <c r="J504" i="8"/>
  <c r="J505" i="8"/>
  <c r="J506" i="8"/>
  <c r="J507" i="8"/>
  <c r="J508" i="8"/>
  <c r="J509" i="8"/>
  <c r="J510" i="8"/>
  <c r="J511" i="8"/>
  <c r="J512" i="8"/>
  <c r="J513" i="8"/>
  <c r="J514" i="8"/>
  <c r="J515" i="8"/>
  <c r="J516" i="8"/>
  <c r="J517" i="8"/>
  <c r="J518" i="8"/>
  <c r="J519" i="8"/>
  <c r="J520" i="8"/>
  <c r="J521" i="8"/>
  <c r="J522" i="8"/>
  <c r="J523" i="8"/>
  <c r="J524" i="8"/>
  <c r="J525" i="8"/>
  <c r="J526" i="8"/>
  <c r="J527" i="8"/>
  <c r="J528" i="8"/>
  <c r="J529" i="8"/>
  <c r="J530" i="8"/>
  <c r="J531" i="8"/>
  <c r="J532" i="8"/>
  <c r="J533" i="8"/>
  <c r="J534" i="8"/>
  <c r="J535" i="8"/>
  <c r="J536" i="8"/>
  <c r="J537" i="8"/>
  <c r="J538" i="8"/>
  <c r="J539" i="8"/>
  <c r="J540" i="8"/>
  <c r="J541" i="8"/>
  <c r="J542" i="8"/>
  <c r="J543" i="8"/>
  <c r="J544" i="8"/>
  <c r="J545" i="8"/>
  <c r="J546" i="8"/>
  <c r="J547" i="8"/>
  <c r="J548" i="8"/>
  <c r="J549" i="8"/>
  <c r="J550" i="8"/>
  <c r="J551" i="8"/>
  <c r="J552" i="8"/>
  <c r="J553" i="8"/>
  <c r="J554" i="8"/>
  <c r="J555" i="8"/>
  <c r="J556" i="8"/>
  <c r="J557" i="8"/>
  <c r="J558" i="8"/>
  <c r="J559" i="8"/>
  <c r="J560" i="8"/>
  <c r="J561" i="8"/>
  <c r="J562" i="8"/>
  <c r="J563" i="8"/>
  <c r="J564" i="8"/>
  <c r="J565" i="8"/>
  <c r="J566" i="8"/>
  <c r="J567" i="8"/>
  <c r="J568" i="8"/>
  <c r="J569" i="8"/>
  <c r="J570" i="8"/>
  <c r="J571" i="8"/>
  <c r="J572" i="8"/>
  <c r="J573" i="8"/>
  <c r="J574" i="8"/>
  <c r="J575" i="8"/>
  <c r="J576" i="8"/>
  <c r="J577" i="8"/>
  <c r="J578" i="8"/>
  <c r="J579" i="8"/>
  <c r="J580" i="8"/>
  <c r="J581" i="8"/>
  <c r="J582" i="8"/>
  <c r="J583" i="8"/>
  <c r="J584" i="8"/>
  <c r="J585" i="8"/>
  <c r="J586" i="8"/>
  <c r="J587" i="8"/>
  <c r="J588" i="8"/>
  <c r="J589" i="8"/>
  <c r="J590" i="8"/>
  <c r="J591" i="8"/>
  <c r="J592" i="8"/>
  <c r="J593" i="8"/>
  <c r="J594" i="8"/>
  <c r="J595" i="8"/>
  <c r="J596" i="8"/>
  <c r="J597" i="8"/>
  <c r="J598" i="8"/>
  <c r="J599" i="8"/>
  <c r="J600" i="8"/>
  <c r="J601" i="8"/>
  <c r="J602" i="8"/>
  <c r="J603" i="8"/>
  <c r="J604" i="8"/>
  <c r="J605" i="8"/>
  <c r="J606" i="8"/>
  <c r="J607" i="8"/>
  <c r="J608" i="8"/>
  <c r="J609" i="8"/>
  <c r="J610" i="8"/>
  <c r="J611" i="8"/>
  <c r="J612" i="8"/>
  <c r="J613" i="8"/>
  <c r="J614" i="8"/>
  <c r="J615" i="8"/>
  <c r="J616" i="8"/>
  <c r="J617" i="8"/>
  <c r="J618" i="8"/>
  <c r="J619" i="8"/>
  <c r="J620" i="8"/>
  <c r="J621" i="8"/>
  <c r="J622" i="8"/>
  <c r="J623" i="8"/>
  <c r="J624" i="8"/>
  <c r="J625" i="8"/>
  <c r="J626" i="8"/>
  <c r="J627" i="8"/>
  <c r="J628" i="8"/>
  <c r="J629" i="8"/>
  <c r="J630" i="8"/>
  <c r="J631" i="8"/>
  <c r="J632" i="8"/>
  <c r="J633" i="8"/>
  <c r="J634" i="8"/>
  <c r="J635" i="8"/>
  <c r="J636" i="8"/>
  <c r="J637" i="8"/>
  <c r="J638" i="8"/>
  <c r="J639" i="8"/>
  <c r="J640" i="8"/>
  <c r="J641" i="8"/>
  <c r="J642" i="8"/>
  <c r="J643" i="8"/>
  <c r="J644" i="8"/>
  <c r="R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3" i="2"/>
  <c r="Q114" i="2"/>
  <c r="Q115" i="2"/>
  <c r="Q116" i="2"/>
  <c r="Q117" i="2"/>
  <c r="Q118" i="2"/>
  <c r="Q119" i="2"/>
  <c r="Q120" i="2"/>
  <c r="Q121" i="2"/>
  <c r="Q122" i="2"/>
  <c r="Q123" i="2"/>
  <c r="Q124" i="2"/>
  <c r="Q125" i="2"/>
  <c r="Q126" i="2"/>
  <c r="Q127" i="2"/>
  <c r="Q128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154" i="2"/>
  <c r="Q155" i="2"/>
  <c r="Q156" i="2"/>
  <c r="Q157" i="2"/>
  <c r="Q158" i="2"/>
  <c r="Q159" i="2"/>
  <c r="Q160" i="2"/>
  <c r="Q161" i="2"/>
  <c r="Q162" i="2"/>
  <c r="Q163" i="2"/>
  <c r="Q164" i="2"/>
  <c r="Q165" i="2"/>
  <c r="Q166" i="2"/>
  <c r="Q167" i="2"/>
  <c r="Q168" i="2"/>
  <c r="Q169" i="2"/>
  <c r="Q170" i="2"/>
  <c r="Q171" i="2"/>
  <c r="Q172" i="2"/>
  <c r="Q173" i="2"/>
  <c r="Q174" i="2"/>
  <c r="Q175" i="2"/>
  <c r="Q176" i="2"/>
  <c r="Q177" i="2"/>
  <c r="Q178" i="2"/>
  <c r="Q179" i="2"/>
  <c r="Q180" i="2"/>
  <c r="Q181" i="2"/>
  <c r="Q182" i="2"/>
  <c r="Q183" i="2"/>
  <c r="Q184" i="2"/>
  <c r="Q185" i="2"/>
  <c r="Q186" i="2"/>
  <c r="Q187" i="2"/>
  <c r="Q188" i="2"/>
  <c r="Q189" i="2"/>
  <c r="Q190" i="2"/>
  <c r="Q191" i="2"/>
  <c r="Q192" i="2"/>
  <c r="Q193" i="2"/>
  <c r="Q194" i="2"/>
  <c r="Q195" i="2"/>
  <c r="Q196" i="2"/>
  <c r="Q197" i="2"/>
  <c r="Q198" i="2"/>
  <c r="Q199" i="2"/>
  <c r="Q200" i="2"/>
  <c r="Q201" i="2"/>
  <c r="Q202" i="2"/>
  <c r="Q203" i="2"/>
  <c r="Q204" i="2"/>
  <c r="Q205" i="2"/>
  <c r="Q206" i="2"/>
  <c r="Q207" i="2"/>
  <c r="Q208" i="2"/>
  <c r="Q209" i="2"/>
  <c r="Q210" i="2"/>
  <c r="Q211" i="2"/>
  <c r="Q212" i="2"/>
  <c r="Q213" i="2"/>
  <c r="Q214" i="2"/>
  <c r="Q215" i="2"/>
  <c r="Q216" i="2"/>
  <c r="Q217" i="2"/>
  <c r="Q218" i="2"/>
  <c r="Q219" i="2"/>
  <c r="Q220" i="2"/>
  <c r="Q221" i="2"/>
  <c r="Q222" i="2"/>
  <c r="Q223" i="2"/>
  <c r="Q224" i="2"/>
  <c r="Q225" i="2"/>
  <c r="Q226" i="2"/>
  <c r="Q227" i="2"/>
  <c r="Q228" i="2"/>
  <c r="Q229" i="2"/>
  <c r="Q230" i="2"/>
  <c r="Q231" i="2"/>
  <c r="Q232" i="2"/>
  <c r="Q233" i="2"/>
  <c r="Q234" i="2"/>
  <c r="Q235" i="2"/>
  <c r="Q236" i="2"/>
  <c r="Q237" i="2"/>
  <c r="Q238" i="2"/>
  <c r="Q239" i="2"/>
  <c r="Q240" i="2"/>
  <c r="Q241" i="2"/>
  <c r="Q242" i="2"/>
  <c r="Q243" i="2"/>
  <c r="Q244" i="2"/>
  <c r="Q245" i="2"/>
  <c r="Q246" i="2"/>
  <c r="Q247" i="2"/>
  <c r="Q248" i="2"/>
  <c r="Q249" i="2"/>
  <c r="Q250" i="2"/>
  <c r="Q251" i="2"/>
  <c r="Q252" i="2"/>
  <c r="Q253" i="2"/>
  <c r="Q254" i="2"/>
  <c r="Q255" i="2"/>
  <c r="Q256" i="2"/>
  <c r="Q257" i="2"/>
  <c r="Q258" i="2"/>
  <c r="Q259" i="2"/>
  <c r="Q260" i="2"/>
  <c r="Q261" i="2"/>
  <c r="Q262" i="2"/>
  <c r="Q263" i="2"/>
  <c r="Q264" i="2"/>
  <c r="Q265" i="2"/>
  <c r="Q266" i="2"/>
  <c r="Q267" i="2"/>
  <c r="Q268" i="2"/>
  <c r="Q269" i="2"/>
  <c r="Q270" i="2"/>
  <c r="Q271" i="2"/>
  <c r="Q272" i="2"/>
  <c r="Q273" i="2"/>
  <c r="Q274" i="2"/>
  <c r="Q275" i="2"/>
  <c r="Q276" i="2"/>
  <c r="Q277" i="2"/>
  <c r="Q278" i="2"/>
  <c r="Q279" i="2"/>
  <c r="Q280" i="2"/>
  <c r="Q281" i="2"/>
  <c r="Q282" i="2"/>
  <c r="Q283" i="2"/>
  <c r="Q284" i="2"/>
  <c r="Q285" i="2"/>
  <c r="Q286" i="2"/>
  <c r="Q287" i="2"/>
  <c r="Q288" i="2"/>
  <c r="Q289" i="2"/>
  <c r="Q290" i="2"/>
  <c r="Q291" i="2"/>
  <c r="Q292" i="2"/>
  <c r="Q293" i="2"/>
  <c r="Q294" i="2"/>
  <c r="Q295" i="2"/>
  <c r="Q296" i="2"/>
  <c r="Q297" i="2"/>
  <c r="Q298" i="2"/>
  <c r="Q299" i="2"/>
  <c r="Q300" i="2"/>
  <c r="Q301" i="2"/>
  <c r="Q302" i="2"/>
  <c r="Q303" i="2"/>
  <c r="Q304" i="2"/>
  <c r="Q305" i="2"/>
  <c r="Q306" i="2"/>
  <c r="Q307" i="2"/>
  <c r="Q308" i="2"/>
  <c r="Q309" i="2"/>
  <c r="Q310" i="2"/>
  <c r="Q311" i="2"/>
  <c r="Q312" i="2"/>
  <c r="Q313" i="2"/>
  <c r="Q314" i="2"/>
  <c r="Q315" i="2"/>
  <c r="Q316" i="2"/>
  <c r="Q317" i="2"/>
  <c r="Q318" i="2"/>
  <c r="Q319" i="2"/>
  <c r="Q320" i="2"/>
  <c r="Q321" i="2"/>
  <c r="Q322" i="2"/>
  <c r="Q323" i="2"/>
  <c r="Q324" i="2"/>
  <c r="Q325" i="2"/>
  <c r="Q326" i="2"/>
  <c r="Q327" i="2"/>
  <c r="Q328" i="2"/>
  <c r="Q329" i="2"/>
  <c r="Q330" i="2"/>
  <c r="Q331" i="2"/>
  <c r="Q332" i="2"/>
  <c r="Q333" i="2"/>
  <c r="Q334" i="2"/>
  <c r="Q335" i="2"/>
  <c r="Q336" i="2"/>
  <c r="Q337" i="2"/>
  <c r="Q338" i="2"/>
  <c r="Q339" i="2"/>
  <c r="Q340" i="2"/>
  <c r="Q341" i="2"/>
  <c r="Q342" i="2"/>
  <c r="Q343" i="2"/>
  <c r="Q344" i="2"/>
  <c r="Q345" i="2"/>
  <c r="Q346" i="2"/>
  <c r="Q347" i="2"/>
  <c r="Q348" i="2"/>
  <c r="Q349" i="2"/>
  <c r="Q350" i="2"/>
  <c r="Q351" i="2"/>
  <c r="Q352" i="2"/>
  <c r="Q353" i="2"/>
  <c r="Q354" i="2"/>
  <c r="Q355" i="2"/>
  <c r="Q356" i="2"/>
  <c r="Q357" i="2"/>
  <c r="Q358" i="2"/>
  <c r="Q359" i="2"/>
  <c r="Q360" i="2"/>
  <c r="Q361" i="2"/>
  <c r="Q362" i="2"/>
  <c r="Q363" i="2"/>
  <c r="Q364" i="2"/>
  <c r="Q365" i="2"/>
  <c r="Q366" i="2"/>
  <c r="Q367" i="2"/>
  <c r="Q368" i="2"/>
  <c r="Q369" i="2"/>
  <c r="Q370" i="2"/>
  <c r="Q371" i="2"/>
  <c r="Q372" i="2"/>
  <c r="Q373" i="2"/>
  <c r="Q374" i="2"/>
  <c r="Q375" i="2"/>
  <c r="Q376" i="2"/>
  <c r="Q377" i="2"/>
  <c r="Q378" i="2"/>
  <c r="Q379" i="2"/>
  <c r="Q380" i="2"/>
  <c r="Q381" i="2"/>
  <c r="Q382" i="2"/>
  <c r="Q383" i="2"/>
  <c r="Q384" i="2"/>
  <c r="Q385" i="2"/>
  <c r="Q386" i="2"/>
  <c r="Q387" i="2"/>
  <c r="Q388" i="2"/>
  <c r="Q389" i="2"/>
  <c r="Q390" i="2"/>
  <c r="Q391" i="2"/>
  <c r="Q392" i="2"/>
  <c r="Q393" i="2"/>
  <c r="Q394" i="2"/>
  <c r="Q395" i="2"/>
  <c r="Q396" i="2"/>
  <c r="Q397" i="2"/>
  <c r="Q398" i="2"/>
  <c r="Q399" i="2"/>
  <c r="Q400" i="2"/>
  <c r="Q401" i="2"/>
  <c r="Q402" i="2"/>
  <c r="Q403" i="2"/>
  <c r="Q404" i="2"/>
  <c r="Q405" i="2"/>
  <c r="Q406" i="2"/>
  <c r="Q407" i="2"/>
  <c r="Q408" i="2"/>
  <c r="Q409" i="2"/>
  <c r="Q410" i="2"/>
  <c r="Q411" i="2"/>
  <c r="Q412" i="2"/>
  <c r="Q413" i="2"/>
  <c r="Q414" i="2"/>
  <c r="Q415" i="2"/>
  <c r="Q416" i="2"/>
  <c r="Q417" i="2"/>
  <c r="Q418" i="2"/>
  <c r="Q419" i="2"/>
  <c r="Q420" i="2"/>
  <c r="Q421" i="2"/>
  <c r="Q422" i="2"/>
  <c r="Q423" i="2"/>
  <c r="Q424" i="2"/>
  <c r="Q425" i="2"/>
  <c r="Q426" i="2"/>
  <c r="Q427" i="2"/>
  <c r="Q428" i="2"/>
  <c r="Q429" i="2"/>
  <c r="Q430" i="2"/>
  <c r="Q431" i="2"/>
  <c r="Q432" i="2"/>
  <c r="Q433" i="2"/>
  <c r="Q434" i="2"/>
  <c r="Q435" i="2"/>
  <c r="Q436" i="2"/>
  <c r="Q437" i="2"/>
  <c r="Q438" i="2"/>
  <c r="Q439" i="2"/>
  <c r="Q440" i="2"/>
  <c r="Q441" i="2"/>
  <c r="Q442" i="2"/>
  <c r="Q443" i="2"/>
  <c r="Q444" i="2"/>
  <c r="Q445" i="2"/>
  <c r="Q446" i="2"/>
  <c r="Q447" i="2"/>
  <c r="Q448" i="2"/>
  <c r="Q449" i="2"/>
  <c r="Q450" i="2"/>
  <c r="Q451" i="2"/>
  <c r="Q452" i="2"/>
  <c r="Q453" i="2"/>
  <c r="Q454" i="2"/>
  <c r="Q455" i="2"/>
  <c r="Q456" i="2"/>
  <c r="Q457" i="2"/>
  <c r="Q458" i="2"/>
  <c r="Q459" i="2"/>
  <c r="Q460" i="2"/>
  <c r="Q461" i="2"/>
  <c r="Q462" i="2"/>
  <c r="Q463" i="2"/>
  <c r="Q464" i="2"/>
  <c r="Q465" i="2"/>
  <c r="Q466" i="2"/>
  <c r="Q467" i="2"/>
  <c r="Q468" i="2"/>
  <c r="Q469" i="2"/>
  <c r="Q470" i="2"/>
  <c r="Q471" i="2"/>
  <c r="Q472" i="2"/>
  <c r="Q473" i="2"/>
  <c r="Q474" i="2"/>
  <c r="Q475" i="2"/>
  <c r="Q476" i="2"/>
  <c r="Q477" i="2"/>
  <c r="Q478" i="2"/>
  <c r="Q479" i="2"/>
  <c r="Q480" i="2"/>
  <c r="Q481" i="2"/>
  <c r="Q482" i="2"/>
  <c r="Q483" i="2"/>
  <c r="Q484" i="2"/>
  <c r="Q485" i="2"/>
  <c r="Q486" i="2"/>
  <c r="Q487" i="2"/>
  <c r="Q488" i="2"/>
  <c r="Q489" i="2"/>
  <c r="Q490" i="2"/>
  <c r="Q491" i="2"/>
  <c r="Q492" i="2"/>
  <c r="Q493" i="2"/>
  <c r="Q494" i="2"/>
  <c r="Q495" i="2"/>
  <c r="Q496" i="2"/>
  <c r="Q497" i="2"/>
  <c r="Q498" i="2"/>
  <c r="Q499" i="2"/>
  <c r="Q500" i="2"/>
  <c r="Q501" i="2"/>
  <c r="Q502" i="2"/>
  <c r="Q503" i="2"/>
  <c r="Q504" i="2"/>
  <c r="Q505" i="2"/>
  <c r="Q506" i="2"/>
  <c r="Q507" i="2"/>
  <c r="Q508" i="2"/>
  <c r="Q509" i="2"/>
  <c r="Q510" i="2"/>
  <c r="Q511" i="2"/>
  <c r="Q512" i="2"/>
  <c r="Q513" i="2"/>
  <c r="Q514" i="2"/>
  <c r="Q515" i="2"/>
  <c r="Q516" i="2"/>
  <c r="Q517" i="2"/>
  <c r="Q518" i="2"/>
  <c r="Q519" i="2"/>
  <c r="Q520" i="2"/>
  <c r="Q521" i="2"/>
  <c r="Q522" i="2"/>
  <c r="Q523" i="2"/>
  <c r="Q524" i="2"/>
  <c r="Q525" i="2"/>
  <c r="Q526" i="2"/>
  <c r="Q527" i="2"/>
  <c r="Q528" i="2"/>
  <c r="Q529" i="2"/>
  <c r="Q530" i="2"/>
  <c r="Q531" i="2"/>
  <c r="Q532" i="2"/>
  <c r="Q533" i="2"/>
  <c r="Q534" i="2"/>
  <c r="Q535" i="2"/>
  <c r="Q536" i="2"/>
  <c r="Q537" i="2"/>
  <c r="Q538" i="2"/>
  <c r="Q539" i="2"/>
  <c r="Q540" i="2"/>
  <c r="Q541" i="2"/>
  <c r="Q542" i="2"/>
  <c r="Q543" i="2"/>
  <c r="Q544" i="2"/>
  <c r="Q545" i="2"/>
  <c r="Q546" i="2"/>
  <c r="Q547" i="2"/>
  <c r="Q548" i="2"/>
  <c r="Q549" i="2"/>
  <c r="Q550" i="2"/>
  <c r="Q551" i="2"/>
  <c r="Q552" i="2"/>
  <c r="Q553" i="2"/>
  <c r="Q554" i="2"/>
  <c r="Q555" i="2"/>
  <c r="Q556" i="2"/>
  <c r="Q557" i="2"/>
  <c r="Q558" i="2"/>
  <c r="Q559" i="2"/>
  <c r="Q560" i="2"/>
  <c r="Q561" i="2"/>
  <c r="Q562" i="2"/>
  <c r="Q563" i="2"/>
  <c r="Q564" i="2"/>
  <c r="Q565" i="2"/>
  <c r="Q566" i="2"/>
  <c r="Q567" i="2"/>
  <c r="Q568" i="2"/>
  <c r="Q569" i="2"/>
  <c r="Q570" i="2"/>
  <c r="Q571" i="2"/>
  <c r="Q572" i="2"/>
  <c r="Q573" i="2"/>
  <c r="Q574" i="2"/>
  <c r="Q575" i="2"/>
  <c r="Q576" i="2"/>
  <c r="Q577" i="2"/>
  <c r="Q578" i="2"/>
  <c r="Q579" i="2"/>
  <c r="Q580" i="2"/>
  <c r="Q581" i="2"/>
  <c r="Q582" i="2"/>
  <c r="Q583" i="2"/>
  <c r="Q584" i="2"/>
  <c r="Q585" i="2"/>
  <c r="Q586" i="2"/>
  <c r="Q587" i="2"/>
  <c r="Q588" i="2"/>
  <c r="Q589" i="2"/>
  <c r="Q590" i="2"/>
  <c r="Q591" i="2"/>
  <c r="Q592" i="2"/>
  <c r="Q593" i="2"/>
  <c r="Q594" i="2"/>
  <c r="Q595" i="2"/>
  <c r="Q596" i="2"/>
  <c r="Q597" i="2"/>
  <c r="Q598" i="2"/>
  <c r="Q599" i="2"/>
  <c r="Q600" i="2"/>
  <c r="Q601" i="2"/>
  <c r="Q602" i="2"/>
  <c r="Q603" i="2"/>
  <c r="Q604" i="2"/>
  <c r="Q605" i="2"/>
  <c r="Q606" i="2"/>
  <c r="Q607" i="2"/>
  <c r="Q608" i="2"/>
  <c r="Q609" i="2"/>
  <c r="Q610" i="2"/>
  <c r="Q611" i="2"/>
  <c r="Q612" i="2"/>
  <c r="Q613" i="2"/>
  <c r="Q614" i="2"/>
  <c r="Q615" i="2"/>
  <c r="Q616" i="2"/>
  <c r="Q617" i="2"/>
  <c r="Q618" i="2"/>
  <c r="Q619" i="2"/>
  <c r="Q620" i="2"/>
  <c r="Q621" i="2"/>
  <c r="Q622" i="2"/>
  <c r="Q623" i="2"/>
  <c r="Q624" i="2"/>
  <c r="Q625" i="2"/>
  <c r="Q626" i="2"/>
  <c r="Q627" i="2"/>
  <c r="Q628" i="2"/>
  <c r="Q629" i="2"/>
  <c r="Q630" i="2"/>
  <c r="Q631" i="2"/>
  <c r="Q632" i="2"/>
  <c r="Q633" i="2"/>
  <c r="Q634" i="2"/>
  <c r="Q635" i="2"/>
  <c r="Q636" i="2"/>
  <c r="Q637" i="2"/>
  <c r="Q638" i="2"/>
  <c r="Q639" i="2"/>
  <c r="Q640" i="2"/>
  <c r="Q641" i="2"/>
  <c r="Q642" i="2"/>
  <c r="Q643" i="2"/>
  <c r="Q644" i="2"/>
  <c r="C7" i="7"/>
  <c r="C6" i="7"/>
  <c r="C5" i="7"/>
  <c r="C4" i="7"/>
  <c r="C3" i="7"/>
  <c r="C2" i="7"/>
  <c r="B7" i="7"/>
  <c r="B6" i="7"/>
  <c r="B5" i="7"/>
  <c r="E5" i="7" s="1"/>
  <c r="B4" i="7"/>
  <c r="E4" i="7" s="1"/>
  <c r="B3" i="7"/>
  <c r="E3" i="7" s="1"/>
  <c r="B2" i="7"/>
  <c r="U19" i="2"/>
  <c r="U18" i="2"/>
  <c r="D2" i="7" l="1"/>
  <c r="E7" i="7"/>
  <c r="U21" i="2"/>
  <c r="E6" i="7"/>
  <c r="D3" i="7"/>
  <c r="F3" i="7" s="1"/>
  <c r="D7" i="7"/>
  <c r="F7" i="7" s="1"/>
  <c r="D6" i="7"/>
  <c r="F6" i="7" s="1"/>
  <c r="D5" i="7"/>
  <c r="F5" i="7" s="1"/>
  <c r="D4" i="7"/>
  <c r="F4" i="7" s="1"/>
  <c r="E2" i="7"/>
  <c r="F2" i="7" l="1"/>
</calcChain>
</file>

<file path=xl/sharedStrings.xml><?xml version="1.0" encoding="utf-8"?>
<sst xmlns="http://schemas.openxmlformats.org/spreadsheetml/2006/main" count="7206" uniqueCount="813">
  <si>
    <t>Private</t>
  </si>
  <si>
    <t>11th</t>
  </si>
  <si>
    <t>Never-married</t>
  </si>
  <si>
    <t>Other-service</t>
  </si>
  <si>
    <t>Own-child</t>
  </si>
  <si>
    <t>White</t>
  </si>
  <si>
    <t>Female</t>
  </si>
  <si>
    <t>United-States</t>
  </si>
  <si>
    <t>&lt;=50K</t>
  </si>
  <si>
    <t>Assoc-acdm</t>
  </si>
  <si>
    <t>Sales</t>
  </si>
  <si>
    <t>Not-in-family</t>
  </si>
  <si>
    <t>Some-college</t>
  </si>
  <si>
    <t>Amer-Indian-Eskimo</t>
  </si>
  <si>
    <t>5th-6th</t>
  </si>
  <si>
    <t>Divorced</t>
  </si>
  <si>
    <t>Craft-repair</t>
  </si>
  <si>
    <t>12th</t>
  </si>
  <si>
    <t>Male</t>
  </si>
  <si>
    <t>&gt;50K</t>
  </si>
  <si>
    <t>Local-gov</t>
  </si>
  <si>
    <t>Separated</t>
  </si>
  <si>
    <t>Machine-op-inspct</t>
  </si>
  <si>
    <t>Black</t>
  </si>
  <si>
    <t>Farming-fishing</t>
  </si>
  <si>
    <t>State-gov</t>
  </si>
  <si>
    <t>Bachelors</t>
  </si>
  <si>
    <t>Prof-specialty</t>
  </si>
  <si>
    <t>HS-grad</t>
  </si>
  <si>
    <t>Married-civ-spouse</t>
  </si>
  <si>
    <t>Tech-support</t>
  </si>
  <si>
    <t>Wife</t>
  </si>
  <si>
    <t>Husband</t>
  </si>
  <si>
    <t>Adm-clerical</t>
  </si>
  <si>
    <t>Handlers-cleaners</t>
  </si>
  <si>
    <t>Unmarried</t>
  </si>
  <si>
    <t>Asian-Pac-Islander</t>
  </si>
  <si>
    <t>?</t>
  </si>
  <si>
    <t>Transport-moving</t>
  </si>
  <si>
    <t>Masters</t>
  </si>
  <si>
    <t>Self-emp-not-inc</t>
  </si>
  <si>
    <t>Federal-gov</t>
  </si>
  <si>
    <t>Armed-Forces</t>
  </si>
  <si>
    <t>10th</t>
  </si>
  <si>
    <t>Assoc-voc</t>
  </si>
  <si>
    <t>Other-relative</t>
  </si>
  <si>
    <t>Exec-managerial</t>
  </si>
  <si>
    <t>Widowed</t>
  </si>
  <si>
    <t>Honduras</t>
  </si>
  <si>
    <t>Self-emp-inc</t>
  </si>
  <si>
    <t>Prof-school</t>
  </si>
  <si>
    <t>Greece</t>
  </si>
  <si>
    <t>Preschool</t>
  </si>
  <si>
    <t>El-Salvador</t>
  </si>
  <si>
    <t>Mexico</t>
  </si>
  <si>
    <t>Protective-serv</t>
  </si>
  <si>
    <t>Married-spouse-absent</t>
  </si>
  <si>
    <t>7th-8th</t>
  </si>
  <si>
    <t>Puerto-Rico</t>
  </si>
  <si>
    <t>China</t>
  </si>
  <si>
    <t>Taiwan</t>
  </si>
  <si>
    <t>Columbia</t>
  </si>
  <si>
    <t>Cambodia</t>
  </si>
  <si>
    <t>Doctorate</t>
  </si>
  <si>
    <t>9th</t>
  </si>
  <si>
    <t>1st-4th</t>
  </si>
  <si>
    <t>Trinadad&amp;Tobago</t>
  </si>
  <si>
    <t>Italy</t>
  </si>
  <si>
    <t>Cuba</t>
  </si>
  <si>
    <t>Hungary</t>
  </si>
  <si>
    <t>Jamaica</t>
  </si>
  <si>
    <t>England</t>
  </si>
  <si>
    <t>Philippines</t>
  </si>
  <si>
    <t>Priv-house-serv</t>
  </si>
  <si>
    <t>Guatemala</t>
  </si>
  <si>
    <t>Nicaragua</t>
  </si>
  <si>
    <t>Portugal</t>
  </si>
  <si>
    <t>Canada</t>
  </si>
  <si>
    <t>Age</t>
  </si>
  <si>
    <t>Work_class</t>
  </si>
  <si>
    <t>fnlwgt</t>
  </si>
  <si>
    <t>education</t>
  </si>
  <si>
    <t>education-num</t>
  </si>
  <si>
    <t>marital-status</t>
  </si>
  <si>
    <t>occupation</t>
  </si>
  <si>
    <t>relationship</t>
  </si>
  <si>
    <t>race</t>
  </si>
  <si>
    <t>sex</t>
  </si>
  <si>
    <t>capital-gain</t>
  </si>
  <si>
    <t>capital-loss</t>
  </si>
  <si>
    <t>hours-per-week</t>
  </si>
  <si>
    <t>native-country</t>
  </si>
  <si>
    <t>Income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</si>
  <si>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</si>
  <si>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</si>
  <si>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</si>
  <si>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</si>
  <si>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</si>
  <si>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</si>
  <si>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</si>
  <si>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</si>
  <si>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</si>
  <si>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</si>
  <si>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</si>
  <si>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</si>
  <si>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</si>
  <si>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</si>
  <si>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</si>
  <si>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</si>
  <si>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</si>
  <si>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</si>
  <si>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</si>
  <si>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</si>
  <si>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</si>
  <si>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</si>
  <si>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</si>
  <si>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</si>
  <si>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</si>
  <si>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</si>
  <si>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</si>
  <si>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</si>
  <si>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</si>
  <si>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</si>
  <si>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</si>
  <si>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</si>
  <si>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</si>
  <si>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</si>
  <si>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</si>
  <si>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</si>
  <si>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</si>
  <si>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</si>
  <si>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</si>
  <si>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</si>
  <si>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</si>
  <si>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</si>
  <si>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</si>
  <si>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</si>
  <si>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</si>
  <si>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</si>
  <si>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</si>
  <si>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</si>
  <si>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</si>
  <si>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</si>
  <si>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</si>
  <si>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</si>
  <si>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</si>
  <si>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</si>
  <si>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</si>
  <si>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</si>
  <si>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</si>
  <si>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</si>
  <si>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</si>
  <si>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</si>
  <si>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</si>
  <si>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</si>
  <si>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</si>
  <si>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</si>
  <si>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</si>
  <si>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</si>
  <si>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</si>
  <si>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</si>
  <si>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</si>
  <si>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</si>
  <si>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</si>
  <si>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</si>
  <si>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</si>
  <si>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</si>
  <si>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</si>
  <si>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</si>
  <si>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</si>
  <si>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</si>
  <si>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</si>
  <si>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</si>
  <si>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</si>
  <si>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</si>
  <si>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</si>
  <si>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</si>
  <si>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</si>
  <si>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</si>
  <si>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</si>
  <si>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</si>
  <si>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</si>
  <si>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</si>
  <si>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</si>
  <si>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</si>
  <si>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</si>
  <si>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</si>
  <si>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</si>
  <si>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</si>
  <si>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</si>
  <si>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</si>
  <si>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</si>
  <si>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</si>
  <si>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</si>
  <si>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</si>
  <si>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</si>
  <si>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</si>
  <si>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</si>
  <si>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</si>
  <si>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</si>
  <si>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</si>
  <si>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</si>
  <si>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</si>
  <si>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</si>
  <si>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</si>
  <si>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</si>
  <si>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</si>
  <si>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</si>
  <si>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</si>
  <si>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</si>
  <si>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</si>
  <si>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</si>
  <si>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</si>
  <si>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</si>
  <si>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</si>
  <si>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</si>
  <si>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</si>
  <si>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</si>
  <si>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</si>
  <si>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</si>
  <si>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</si>
  <si>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</si>
  <si>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</si>
  <si>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</si>
  <si>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</si>
  <si>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</si>
  <si>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</si>
  <si>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</si>
  <si>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</si>
  <si>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</si>
  <si>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</si>
  <si>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</si>
  <si>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</si>
  <si>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</si>
  <si>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</si>
  <si>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</si>
  <si>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</si>
  <si>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</si>
  <si>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</si>
  <si>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</si>
  <si>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</si>
  <si>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</si>
  <si>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</si>
  <si>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</si>
  <si>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</si>
  <si>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</si>
  <si>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</si>
  <si>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</si>
  <si>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</si>
  <si>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</si>
  <si>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</si>
  <si>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</si>
  <si>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</si>
  <si>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</si>
  <si>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</si>
  <si>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</si>
  <si>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</si>
  <si>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</si>
  <si>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</si>
  <si>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</si>
  <si>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</si>
  <si>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</si>
  <si>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</si>
  <si>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</si>
  <si>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</si>
  <si>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</si>
  <si>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</si>
  <si>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</si>
  <si>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</si>
  <si>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</si>
  <si>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</si>
  <si>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</si>
  <si>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</si>
  <si>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</si>
  <si>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</si>
  <si>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</si>
  <si>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</si>
  <si>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</si>
  <si>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</si>
  <si>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</si>
  <si>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</si>
  <si>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</si>
  <si>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</si>
  <si>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</si>
  <si>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</si>
  <si>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</si>
  <si>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</si>
  <si>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</si>
  <si>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</si>
  <si>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</si>
  <si>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</si>
  <si>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</si>
  <si>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</si>
  <si>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</si>
  <si>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</si>
  <si>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</si>
  <si>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</si>
  <si>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</si>
  <si>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</si>
  <si>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</si>
  <si>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</si>
  <si>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</si>
  <si>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</si>
  <si>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</si>
  <si>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</si>
  <si>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</si>
  <si>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</si>
  <si>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</si>
  <si>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</si>
  <si>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</si>
  <si>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</si>
  <si>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</si>
  <si>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</si>
  <si>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</si>
  <si>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</si>
  <si>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</si>
  <si>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</si>
  <si>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</si>
  <si>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</si>
  <si>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</si>
  <si>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</si>
  <si>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</si>
  <si>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</si>
  <si>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</si>
  <si>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</si>
  <si>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</si>
  <si>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</si>
  <si>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</si>
  <si>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</si>
  <si>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</si>
  <si>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</si>
  <si>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</si>
  <si>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</si>
  <si>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</si>
  <si>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</si>
  <si>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</si>
  <si>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</si>
  <si>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</si>
  <si>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</si>
  <si>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</si>
  <si>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</si>
  <si>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</si>
  <si>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</si>
  <si>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</si>
  <si>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</si>
  <si>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</si>
  <si>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</si>
  <si>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</si>
  <si>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</si>
  <si>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</si>
  <si>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</si>
  <si>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</si>
  <si>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</si>
  <si>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</si>
  <si>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</si>
  <si>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</si>
  <si>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</si>
  <si>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</si>
  <si>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</si>
  <si>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</si>
  <si>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</si>
  <si>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</si>
  <si>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</si>
  <si>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</si>
  <si>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</si>
  <si>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</si>
  <si>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</si>
  <si>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</si>
  <si>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</si>
  <si>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</si>
  <si>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</si>
  <si>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</si>
  <si>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</si>
  <si>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</si>
  <si>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</si>
  <si>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</si>
  <si>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</si>
  <si>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</si>
  <si>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</si>
  <si>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</si>
  <si>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</si>
  <si>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</si>
  <si>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</si>
  <si>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</si>
  <si>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</si>
  <si>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</si>
  <si>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</si>
  <si>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</si>
  <si>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</si>
  <si>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</si>
  <si>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</si>
  <si>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</si>
  <si>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</si>
  <si>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</si>
  <si>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</si>
  <si>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</si>
  <si>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</si>
  <si>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</si>
  <si>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</si>
  <si>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</si>
  <si>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</si>
  <si>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</si>
  <si>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</si>
  <si>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</si>
  <si>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</si>
  <si>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</si>
  <si>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</si>
  <si>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</si>
  <si>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</si>
  <si>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</si>
  <si>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</si>
  <si>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</si>
  <si>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</si>
  <si>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</si>
  <si>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</si>
  <si>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</si>
  <si>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</si>
  <si>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</si>
  <si>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</si>
  <si>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</si>
  <si>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</si>
  <si>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</si>
  <si>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</si>
  <si>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</si>
  <si>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</si>
  <si>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</si>
  <si>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</si>
  <si>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</si>
  <si>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</si>
  <si>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</si>
  <si>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</si>
  <si>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</si>
  <si>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</si>
  <si>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</si>
  <si>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</si>
  <si>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</si>
  <si>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</si>
  <si>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</si>
  <si>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</si>
  <si>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</si>
  <si>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</si>
  <si>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</si>
  <si>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</si>
  <si>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</si>
  <si>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</si>
  <si>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</si>
  <si>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</si>
  <si>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</si>
  <si>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</si>
  <si>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</si>
  <si>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</si>
  <si>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</si>
  <si>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</si>
  <si>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</si>
  <si>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</si>
  <si>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</si>
  <si>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</si>
  <si>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</si>
  <si>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</si>
  <si>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</si>
  <si>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</si>
  <si>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</si>
  <si>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</si>
  <si>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</si>
  <si>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</si>
  <si>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</si>
  <si>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</si>
  <si>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</si>
  <si>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</si>
  <si>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</si>
  <si>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</si>
  <si>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</si>
  <si>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</si>
  <si>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</si>
  <si>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</si>
  <si>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</si>
  <si>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</si>
  <si>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</si>
  <si>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</si>
  <si>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</si>
  <si>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</si>
  <si>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</si>
  <si>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</si>
  <si>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</si>
  <si>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</si>
  <si>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</si>
  <si>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</si>
  <si>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</si>
  <si>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</si>
  <si>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</si>
  <si>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</si>
  <si>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</si>
  <si>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</si>
  <si>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</si>
  <si>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</si>
  <si>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</si>
  <si>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</si>
  <si>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</si>
  <si>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</si>
  <si>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</si>
  <si>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</si>
  <si>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</si>
  <si>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</si>
  <si>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</si>
  <si>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</si>
  <si>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</si>
  <si>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</si>
  <si>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</si>
  <si>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</si>
  <si>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</si>
  <si>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</si>
  <si>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</si>
  <si>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</si>
  <si>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</si>
  <si>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</si>
  <si>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</si>
  <si>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</si>
  <si>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</si>
  <si>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</si>
  <si>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</si>
  <si>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</si>
  <si>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</si>
  <si>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</si>
  <si>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</si>
  <si>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</si>
  <si>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</si>
  <si>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</si>
  <si>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</si>
  <si>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</si>
  <si>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</si>
  <si>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</si>
  <si>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</si>
  <si>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</si>
  <si>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</si>
  <si>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</si>
  <si>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</si>
  <si>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</si>
  <si>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</si>
  <si>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</si>
  <si>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</si>
  <si>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</si>
  <si>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</si>
  <si>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</si>
  <si>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</si>
  <si>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</si>
  <si>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</si>
  <si>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</si>
  <si>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</si>
  <si>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</si>
  <si>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</si>
  <si>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</si>
  <si>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</si>
  <si>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</si>
  <si>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</si>
  <si>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</si>
  <si>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</si>
  <si>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</si>
  <si>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</si>
  <si>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</si>
  <si>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</si>
  <si>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</si>
  <si>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</si>
  <si>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</si>
  <si>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</si>
  <si>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</si>
  <si>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</si>
  <si>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</si>
  <si>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</si>
  <si>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</si>
  <si>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</si>
  <si>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</si>
  <si>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</si>
  <si>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</si>
  <si>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</si>
  <si>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</si>
  <si>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</si>
  <si>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</si>
  <si>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</si>
  <si>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</si>
  <si>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</si>
  <si>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</si>
  <si>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</si>
  <si>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</si>
  <si>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</si>
  <si>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</si>
  <si>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</si>
  <si>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</si>
  <si>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</si>
  <si>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</si>
  <si>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</si>
  <si>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</si>
  <si>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</si>
  <si>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</si>
  <si>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</si>
  <si>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</si>
  <si>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</si>
  <si>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</si>
  <si>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</si>
  <si>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</si>
  <si>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</si>
  <si>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</si>
  <si>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</si>
  <si>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</si>
  <si>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</si>
  <si>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</si>
  <si>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</si>
  <si>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</si>
  <si>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</si>
  <si>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</si>
  <si>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</si>
  <si>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</si>
  <si>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</si>
  <si>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</si>
  <si>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</si>
  <si>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</si>
  <si>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</si>
  <si>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</si>
  <si>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</si>
  <si>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</si>
  <si>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</si>
  <si>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</si>
  <si>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</si>
  <si>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</si>
  <si>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</si>
  <si>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</si>
  <si>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</si>
  <si>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</si>
  <si>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</si>
  <si>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</si>
  <si>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</si>
  <si>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</si>
  <si>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</si>
  <si>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</si>
  <si>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</si>
  <si>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</si>
  <si>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</si>
  <si>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</si>
  <si>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</si>
  <si>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</si>
  <si>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</si>
  <si>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</si>
  <si>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</si>
  <si>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</si>
  <si>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</si>
  <si>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</si>
  <si>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</si>
  <si>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</si>
  <si>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</si>
  <si>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</si>
  <si>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</si>
  <si>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</si>
  <si>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</si>
  <si>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</si>
  <si>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</si>
  <si>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</si>
  <si>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</si>
  <si>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</si>
  <si>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</si>
  <si>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</si>
  <si>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</si>
  <si>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</si>
  <si>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</si>
  <si>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</si>
  <si>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</si>
  <si>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</si>
  <si>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</si>
  <si>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</si>
  <si>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</si>
  <si>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</si>
  <si>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</si>
  <si>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</si>
  <si>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</si>
  <si>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</si>
  <si>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</si>
  <si>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</si>
  <si>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</si>
  <si>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</si>
  <si>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</si>
  <si>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</si>
  <si>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</si>
  <si>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</si>
  <si>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</si>
  <si>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</si>
  <si>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</si>
  <si>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</si>
  <si>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</si>
  <si>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</si>
  <si>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</si>
  <si>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</si>
  <si>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</si>
  <si>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</si>
  <si>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</si>
  <si>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</si>
  <si>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</si>
  <si>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</si>
  <si>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</si>
  <si>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</si>
  <si>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</si>
  <si>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</si>
  <si>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</si>
  <si>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</si>
  <si>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</si>
  <si>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</si>
  <si>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</si>
  <si>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</si>
  <si>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</si>
  <si>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</si>
  <si>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</si>
  <si>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</si>
  <si>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</si>
  <si>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</si>
  <si>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</si>
  <si>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</si>
  <si>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</si>
  <si>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</si>
  <si>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</si>
  <si>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</si>
  <si>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</si>
  <si>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</si>
  <si>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</si>
  <si>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</si>
  <si>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</si>
  <si>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</si>
  <si>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</si>
  <si>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</si>
  <si>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</si>
  <si>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</si>
  <si>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</si>
  <si>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</si>
  <si>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</si>
  <si>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</si>
  <si>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</si>
  <si>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</si>
  <si>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</si>
  <si>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</si>
  <si>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</si>
  <si>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Row Labels</t>
  </si>
  <si>
    <t>Grand Total</t>
  </si>
  <si>
    <t>Column Labels</t>
  </si>
  <si>
    <t>Count of Age</t>
  </si>
  <si>
    <t>15-19</t>
  </si>
  <si>
    <t>20-24</t>
  </si>
  <si>
    <t>25-29</t>
  </si>
  <si>
    <t>30-34</t>
  </si>
  <si>
    <t>35-39</t>
  </si>
  <si>
    <t>40-44</t>
  </si>
  <si>
    <t>45-49</t>
  </si>
  <si>
    <t>50-54</t>
  </si>
  <si>
    <t>55-59</t>
  </si>
  <si>
    <t>60-64</t>
  </si>
  <si>
    <t>65-69</t>
  </si>
  <si>
    <t>70-74</t>
  </si>
  <si>
    <t>75-79</t>
  </si>
  <si>
    <t>80-84</t>
  </si>
  <si>
    <t>85-90</t>
  </si>
  <si>
    <t>Srednia wieku</t>
  </si>
  <si>
    <t>Odchylenie standardowe wieku</t>
  </si>
  <si>
    <t xml:space="preserve">Odchylenie standardowe określa, jak bardzo </t>
  </si>
  <si>
    <t xml:space="preserve">wartości wieku różnią się od średniego wieku. </t>
  </si>
  <si>
    <t>Im większa jego wartość, tym większe zróżnicowanie wieku w zbiorze danych.</t>
  </si>
  <si>
    <t>Gestosc</t>
  </si>
  <si>
    <t>Wiek</t>
  </si>
  <si>
    <t>Srednia</t>
  </si>
  <si>
    <t>Odchylenie standardowe</t>
  </si>
  <si>
    <t>Dolna Granica</t>
  </si>
  <si>
    <t>Gorna granica</t>
  </si>
  <si>
    <t>Kolumna1</t>
  </si>
  <si>
    <t>Zmienna</t>
  </si>
  <si>
    <t>1Age</t>
  </si>
  <si>
    <t>1hours-per-week</t>
  </si>
  <si>
    <t>2education-num</t>
  </si>
  <si>
    <t>2hours-per-week</t>
  </si>
  <si>
    <t>3Age</t>
  </si>
  <si>
    <t>3education-num</t>
  </si>
  <si>
    <t>4hours-per-week</t>
  </si>
  <si>
    <t>4Age</t>
  </si>
  <si>
    <t>4Income</t>
  </si>
  <si>
    <t>Age_&lt;=50K</t>
  </si>
  <si>
    <t>Hours_&lt;=50K</t>
  </si>
  <si>
    <t>Age_&gt;50K</t>
  </si>
  <si>
    <t>Hours_&gt;50K</t>
  </si>
  <si>
    <t>Indeks</t>
  </si>
  <si>
    <t>Etykiety wierszy</t>
  </si>
  <si>
    <t>Suma końcowa</t>
  </si>
  <si>
    <t>Etykiety kolumn</t>
  </si>
  <si>
    <t>(Wszystko)</t>
  </si>
  <si>
    <t>Liczba z Income</t>
  </si>
  <si>
    <t>Zmienna hours-per-week wykazuje jedynie słabe korelacje z pozostałymi zmiennymi ilościowymi. Najwyższy współczynnik korelacji uzyskano dla education-num (r ≈ 0,142), co sugeruje bardzo słabą dodatnią zależność.</t>
  </si>
  <si>
    <t>PODSUMOWANIE - WYJŚCIE</t>
  </si>
  <si>
    <t>Statystyki regresji</t>
  </si>
  <si>
    <t>Wielokrotność R</t>
  </si>
  <si>
    <t>R kwadrat</t>
  </si>
  <si>
    <t>Dopasowany R kwadrat</t>
  </si>
  <si>
    <t>Błąd standardowy</t>
  </si>
  <si>
    <t>Obserwacje</t>
  </si>
  <si>
    <t>ANALIZA WARIANCJI</t>
  </si>
  <si>
    <t>Regresja</t>
  </si>
  <si>
    <t>Resztkowy</t>
  </si>
  <si>
    <t>Razem</t>
  </si>
  <si>
    <t>Przecięcie</t>
  </si>
  <si>
    <t>df</t>
  </si>
  <si>
    <t>SS</t>
  </si>
  <si>
    <t>MS</t>
  </si>
  <si>
    <t>F</t>
  </si>
  <si>
    <t>Istotność F</t>
  </si>
  <si>
    <t>Współczynniki</t>
  </si>
  <si>
    <t>t Stat</t>
  </si>
  <si>
    <t>Wartość-p</t>
  </si>
  <si>
    <t>Dolne 95%</t>
  </si>
  <si>
    <t>Górne 95%</t>
  </si>
  <si>
    <t>Dolne 95.0%</t>
  </si>
  <si>
    <t>Górne 95.0%</t>
  </si>
  <si>
    <t>Zbudowany model regresji liniowej wskazuje, że wzrost zmiennej education-num o 1 jednostkę powoduje przeciętny wzrost liczby przepracowanych godzin tygodniowo o około 0,74 godziny. Współczynnik przy zmiennej education-num jest statystycznie istotny (p = 0,000315), co oznacza, że zmienna ta ma istotny wpływ na hours-per-week.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</si>
</sst>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zcionka tekstu podstawowego"/>
      <family val="2"/>
      <charset val="238"/>
    </font>
    <font>
      <sz val="10"/>
      <name val="Arial"/>
      <charset val="238"/>
    </font>
    <font>
      <sz val="10"/>
      <color indexed="8"/>
      <name val="Arial"/>
      <charset val="238"/>
    </font>
    <font>
      <sz val="8"/>
      <name val="Czcionka tekstu podstawowego"/>
      <family val="2"/>
      <charset val="238"/>
    </font>
    <font>
      <i/>
      <sz val="11"/>
      <color theme="1"/>
      <name val="Czcionka tekstu podstawowego"/>
      <family val="2"/>
      <charset val="238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0" fontId="1" fillId="0" borderId="0" xfId="1"/>
    <xf numFmtId="0" fontId="2" fillId="2" borderId="0" xfId="1" applyFont="1" applyFill="1" applyAlignment="1">
      <alignment horizontal="center" vertical="center" wrapText="1"/>
    </xf>
    <xf numFmtId="0" fontId="2" fillId="2" borderId="0" xfId="1" applyFont="1" applyFill="1" applyAlignment="1">
      <alignment vertical="center"/>
    </xf>
    <xf numFmtId="0" fontId="2" fillId="0" borderId="0" xfId="1" applyFont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0" fillId="0" borderId="1" xfId="0" applyBorder="1"/>
    <xf numFmtId="0" fontId="4" fillId="0" borderId="2" xfId="0" applyFont="1" applyBorder="1" applyAlignment="1">
      <alignment horizontal="center"/>
    </xf>
    <xf numFmtId="0" fontId="4" fillId="0" borderId="2" xfId="0" applyFont="1" applyBorder="1" applyAlignment="1">
      <alignment horizontal="centerContinuous"/>
    </xf>
  </cellXfs>
  <cellStyles count="2">
    <cellStyle name="Normalny" xfId="0" builtinId="0"/>
    <cellStyle name="Normalny_Arkusz2" xfId="1" xr:uid="{00000000-0005-0000-0000-000001000000}"/>
  </cellStyles>
  <dxfs count="2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charset val="238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charset val="238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charset val="238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charset val="238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charset val="238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charset val="238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charset val="238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charset val="238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charset val="238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charset val="238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charset val="238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charset val="238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charset val="238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charset val="238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charset val="238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charset val="238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charset val="238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charset val="238"/>
        <scheme val="none"/>
      </font>
      <fill>
        <patternFill patternType="solid">
          <fgColor indexed="64"/>
          <bgColor indexed="22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charset val="238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charset val="238"/>
        <scheme val="none"/>
      </font>
      <fill>
        <patternFill patternType="solid">
          <fgColor indexed="64"/>
          <bgColor indexed="22"/>
        </patternFill>
      </fill>
      <alignment horizontal="center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[adult-proba.xlsx]1b_histogram!PivotTable4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1400" b="0" i="0" u="none" strike="noStrike" baseline="0">
                <a:effectLst/>
              </a:rPr>
              <a:t>1b. H</a:t>
            </a:r>
            <a:r>
              <a:rPr lang="en-US" sz="1400" b="0" i="0" u="none" strike="noStrike" baseline="0">
                <a:effectLst/>
              </a:rPr>
              <a:t>istogram skategoryzowany względem</a:t>
            </a:r>
            <a:r>
              <a:rPr lang="pl-PL" sz="1400" b="0" i="0" u="none" strike="noStrike" baseline="0">
                <a:effectLst/>
              </a:rPr>
              <a:t> income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'1b_histogram'!$B$3:$B$4</c:f>
              <c:strCache>
                <c:ptCount val="1"/>
                <c:pt idx="0">
                  <c:v>&lt;=50K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'1b_histogram'!$A$5:$A$20</c:f>
              <c:strCache>
                <c:ptCount val="15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  <c:pt idx="7">
                  <c:v>50-54</c:v>
                </c:pt>
                <c:pt idx="8">
                  <c:v>55-59</c:v>
                </c:pt>
                <c:pt idx="9">
                  <c:v>60-64</c:v>
                </c:pt>
                <c:pt idx="10">
                  <c:v>65-69</c:v>
                </c:pt>
                <c:pt idx="11">
                  <c:v>70-74</c:v>
                </c:pt>
                <c:pt idx="12">
                  <c:v>75-79</c:v>
                </c:pt>
                <c:pt idx="13">
                  <c:v>80-84</c:v>
                </c:pt>
                <c:pt idx="14">
                  <c:v>85-90</c:v>
                </c:pt>
              </c:strCache>
            </c:strRef>
          </c:cat>
          <c:val>
            <c:numRef>
              <c:f>'1b_histogram'!$B$5:$B$20</c:f>
              <c:numCache>
                <c:formatCode>General</c:formatCode>
                <c:ptCount val="15"/>
                <c:pt idx="0">
                  <c:v>34</c:v>
                </c:pt>
                <c:pt idx="1">
                  <c:v>67</c:v>
                </c:pt>
                <c:pt idx="2">
                  <c:v>87</c:v>
                </c:pt>
                <c:pt idx="3">
                  <c:v>70</c:v>
                </c:pt>
                <c:pt idx="4">
                  <c:v>56</c:v>
                </c:pt>
                <c:pt idx="5">
                  <c:v>56</c:v>
                </c:pt>
                <c:pt idx="6">
                  <c:v>36</c:v>
                </c:pt>
                <c:pt idx="7">
                  <c:v>19</c:v>
                </c:pt>
                <c:pt idx="8">
                  <c:v>27</c:v>
                </c:pt>
                <c:pt idx="9">
                  <c:v>22</c:v>
                </c:pt>
                <c:pt idx="10">
                  <c:v>5</c:v>
                </c:pt>
                <c:pt idx="11">
                  <c:v>6</c:v>
                </c:pt>
                <c:pt idx="12">
                  <c:v>3</c:v>
                </c:pt>
                <c:pt idx="13">
                  <c:v>1</c:v>
                </c:pt>
                <c:pt idx="1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B5-4DA6-A86B-D13BBB150A89}"/>
            </c:ext>
          </c:extLst>
        </c:ser>
        <c:ser>
          <c:idx val="1"/>
          <c:order val="1"/>
          <c:tx>
            <c:strRef>
              <c:f>'1b_histogram'!$C$3:$C$4</c:f>
              <c:strCache>
                <c:ptCount val="1"/>
                <c:pt idx="0">
                  <c:v>&gt;50K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'1b_histogram'!$A$5:$A$20</c:f>
              <c:strCache>
                <c:ptCount val="15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  <c:pt idx="7">
                  <c:v>50-54</c:v>
                </c:pt>
                <c:pt idx="8">
                  <c:v>55-59</c:v>
                </c:pt>
                <c:pt idx="9">
                  <c:v>60-64</c:v>
                </c:pt>
                <c:pt idx="10">
                  <c:v>65-69</c:v>
                </c:pt>
                <c:pt idx="11">
                  <c:v>70-74</c:v>
                </c:pt>
                <c:pt idx="12">
                  <c:v>75-79</c:v>
                </c:pt>
                <c:pt idx="13">
                  <c:v>80-84</c:v>
                </c:pt>
                <c:pt idx="14">
                  <c:v>85-90</c:v>
                </c:pt>
              </c:strCache>
            </c:strRef>
          </c:cat>
          <c:val>
            <c:numRef>
              <c:f>'1b_histogram'!$C$5:$C$20</c:f>
              <c:numCache>
                <c:formatCode>General</c:formatCode>
                <c:ptCount val="15"/>
                <c:pt idx="1">
                  <c:v>1</c:v>
                </c:pt>
                <c:pt idx="2">
                  <c:v>6</c:v>
                </c:pt>
                <c:pt idx="3">
                  <c:v>19</c:v>
                </c:pt>
                <c:pt idx="4">
                  <c:v>26</c:v>
                </c:pt>
                <c:pt idx="5">
                  <c:v>25</c:v>
                </c:pt>
                <c:pt idx="6">
                  <c:v>23</c:v>
                </c:pt>
                <c:pt idx="7">
                  <c:v>19</c:v>
                </c:pt>
                <c:pt idx="8">
                  <c:v>14</c:v>
                </c:pt>
                <c:pt idx="9">
                  <c:v>12</c:v>
                </c:pt>
                <c:pt idx="10">
                  <c:v>5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0B5-4DA6-A86B-D13BBB150A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927792"/>
        <c:axId val="25928272"/>
      </c:barChart>
      <c:catAx>
        <c:axId val="2592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28272"/>
        <c:crosses val="autoZero"/>
        <c:auto val="1"/>
        <c:lblAlgn val="ctr"/>
        <c:lblOffset val="100"/>
        <c:noMultiLvlLbl val="0"/>
      </c:catAx>
      <c:valAx>
        <c:axId val="2592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27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1400" b="0" i="0" u="none" strike="noStrike" baseline="0"/>
              <a:t>5. R</a:t>
            </a:r>
            <a:r>
              <a:rPr lang="en-US" sz="1400" b="0" i="0" u="none" strike="noStrike" baseline="0"/>
              <a:t>ozkład normalny wieku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Gestosc!$B$2:$B$102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xVal>
          <c:yVal>
            <c:numRef>
              <c:f>Gestosc!$A$2:$A$102</c:f>
              <c:numCache>
                <c:formatCode>General</c:formatCode>
                <c:ptCount val="101"/>
                <c:pt idx="0">
                  <c:v>6.2350530716379852E-4</c:v>
                </c:pt>
                <c:pt idx="1">
                  <c:v>7.583041210660952E-4</c:v>
                </c:pt>
                <c:pt idx="2">
                  <c:v>9.1751847838662565E-4</c:v>
                </c:pt>
                <c:pt idx="3">
                  <c:v>1.1044711201028878E-3</c:v>
                </c:pt>
                <c:pt idx="4">
                  <c:v>1.3227021234662524E-3</c:v>
                </c:pt>
                <c:pt idx="5">
                  <c:v>1.5759334681047855E-3</c:v>
                </c:pt>
                <c:pt idx="6">
                  <c:v>1.8680214046298133E-3</c:v>
                </c:pt>
                <c:pt idx="7">
                  <c:v>2.2028958225335528E-3</c:v>
                </c:pt>
                <c:pt idx="8">
                  <c:v>2.5844861668458305E-3</c:v>
                </c:pt>
                <c:pt idx="9">
                  <c:v>3.0166338930591456E-3</c:v>
                </c:pt>
                <c:pt idx="10">
                  <c:v>3.5029919715941688E-3</c:v>
                </c:pt>
                <c:pt idx="11">
                  <c:v>4.0469125453490244E-3</c:v>
                </c:pt>
                <c:pt idx="12">
                  <c:v>4.6513244895372763E-3</c:v>
                </c:pt>
                <c:pt idx="13">
                  <c:v>5.318603299055303E-3</c:v>
                </c:pt>
                <c:pt idx="14">
                  <c:v>6.0504364065100688E-3</c:v>
                </c:pt>
                <c:pt idx="15">
                  <c:v>6.847687680584324E-3</c:v>
                </c:pt>
                <c:pt idx="16">
                  <c:v>7.7102654330056209E-3</c:v>
                </c:pt>
                <c:pt idx="17">
                  <c:v>8.6369987346742103E-3</c:v>
                </c:pt>
                <c:pt idx="18">
                  <c:v>9.625527169466094E-3</c:v>
                </c:pt>
                <c:pt idx="19">
                  <c:v>1.0672209302468733E-2</c:v>
                </c:pt>
                <c:pt idx="20">
                  <c:v>1.1772055077634904E-2</c:v>
                </c:pt>
                <c:pt idx="21">
                  <c:v>1.2918687065316719E-2</c:v>
                </c:pt>
                <c:pt idx="22">
                  <c:v>1.4104334939958406E-2</c:v>
                </c:pt>
                <c:pt idx="23">
                  <c:v>1.5319866781215259E-2</c:v>
                </c:pt>
                <c:pt idx="24">
                  <c:v>1.6554859769873614E-2</c:v>
                </c:pt>
                <c:pt idx="25">
                  <c:v>1.7797711618910864E-2</c:v>
                </c:pt>
                <c:pt idx="26">
                  <c:v>1.9035792679250006E-2</c:v>
                </c:pt>
                <c:pt idx="27">
                  <c:v>2.0255637141258827E-2</c:v>
                </c:pt>
                <c:pt idx="28">
                  <c:v>2.1443170179561405E-2</c:v>
                </c:pt>
                <c:pt idx="29">
                  <c:v>2.2583966330957574E-2</c:v>
                </c:pt>
                <c:pt idx="30">
                  <c:v>2.3663532928326819E-2</c:v>
                </c:pt>
                <c:pt idx="31">
                  <c:v>2.4667611112886834E-2</c:v>
                </c:pt>
                <c:pt idx="32">
                  <c:v>2.5582485884722023E-2</c:v>
                </c:pt>
                <c:pt idx="33">
                  <c:v>2.639529589043808E-2</c:v>
                </c:pt>
                <c:pt idx="34">
                  <c:v>2.7094333238081764E-2</c:v>
                </c:pt>
                <c:pt idx="35">
                  <c:v>2.7669323608092069E-2</c:v>
                </c:pt>
                <c:pt idx="36">
                  <c:v>2.8111677311359041E-2</c:v>
                </c:pt>
                <c:pt idx="37">
                  <c:v>2.8414702727463912E-2</c:v>
                </c:pt>
                <c:pt idx="38">
                  <c:v>2.8573774713060843E-2</c:v>
                </c:pt>
                <c:pt idx="39">
                  <c:v>2.8586452057338757E-2</c:v>
                </c:pt>
                <c:pt idx="40">
                  <c:v>2.8452539815839461E-2</c:v>
                </c:pt>
                <c:pt idx="41">
                  <c:v>2.8174094298149141E-2</c:v>
                </c:pt>
                <c:pt idx="42">
                  <c:v>2.7755370531112673E-2</c:v>
                </c:pt>
                <c:pt idx="43">
                  <c:v>2.7202714073538331E-2</c:v>
                </c:pt>
                <c:pt idx="44">
                  <c:v>2.6524401026699698E-2</c:v>
                </c:pt>
                <c:pt idx="45">
                  <c:v>2.5730431877945902E-2</c:v>
                </c:pt>
                <c:pt idx="46">
                  <c:v>2.4832286352801235E-2</c:v>
                </c:pt>
                <c:pt idx="47">
                  <c:v>2.3842647668537571E-2</c:v>
                </c:pt>
                <c:pt idx="48">
                  <c:v>2.2775105431263768E-2</c:v>
                </c:pt>
                <c:pt idx="49">
                  <c:v>2.1643846870750445E-2</c:v>
                </c:pt>
                <c:pt idx="50">
                  <c:v>2.0463346154908725E-2</c:v>
                </c:pt>
                <c:pt idx="51">
                  <c:v>1.9248061181982835E-2</c:v>
                </c:pt>
                <c:pt idx="52">
                  <c:v>1.8012146545047267E-2</c:v>
                </c:pt>
                <c:pt idx="53">
                  <c:v>1.6769190348745876E-2</c:v>
                </c:pt>
                <c:pt idx="54">
                  <c:v>1.5531981293859151E-2</c:v>
                </c:pt>
                <c:pt idx="55">
                  <c:v>1.4312311001751274E-2</c:v>
                </c:pt>
                <c:pt idx="56">
                  <c:v>1.3120815003228694E-2</c:v>
                </c:pt>
                <c:pt idx="57">
                  <c:v>1.1966854240351108E-2</c:v>
                </c:pt>
                <c:pt idx="58">
                  <c:v>1.0858437396998268E-2</c:v>
                </c:pt>
                <c:pt idx="59">
                  <c:v>9.8021829488457828E-3</c:v>
                </c:pt>
                <c:pt idx="60">
                  <c:v>8.8033185598798153E-3</c:v>
                </c:pt>
                <c:pt idx="61">
                  <c:v>7.8657143923580759E-3</c:v>
                </c:pt>
                <c:pt idx="62">
                  <c:v>6.9919460683325468E-3</c:v>
                </c:pt>
                <c:pt idx="63">
                  <c:v>6.1833824377877777E-3</c:v>
                </c:pt>
                <c:pt idx="64">
                  <c:v>5.4402929721332162E-3</c:v>
                </c:pt>
                <c:pt idx="65">
                  <c:v>4.76196950121348E-3</c:v>
                </c:pt>
                <c:pt idx="66">
                  <c:v>4.146857125970729E-3</c:v>
                </c:pt>
                <c:pt idx="67">
                  <c:v>3.5926894382466283E-3</c:v>
                </c:pt>
                <c:pt idx="68">
                  <c:v>3.0966236292580898E-3</c:v>
                </c:pt>
                <c:pt idx="69">
                  <c:v>2.655371631277006E-3</c:v>
                </c:pt>
                <c:pt idx="70">
                  <c:v>2.2653240745456609E-3</c:v>
                </c:pt>
                <c:pt idx="71">
                  <c:v>1.9226645164236921E-3</c:v>
                </c:pt>
                <c:pt idx="72">
                  <c:v>1.6234720782984386E-3</c:v>
                </c:pt>
                <c:pt idx="73">
                  <c:v>1.3638112785004583E-3</c:v>
                </c:pt>
                <c:pt idx="74">
                  <c:v>1.1398084523428777E-3</c:v>
                </c:pt>
                <c:pt idx="75">
                  <c:v>9.4771468530111729E-4</c:v>
                </c:pt>
                <c:pt idx="76">
                  <c:v>7.8395564005009216E-4</c:v>
                </c:pt>
                <c:pt idx="77">
                  <c:v>6.4516902601445504E-4</c:v>
                </c:pt>
                <c:pt idx="78">
                  <c:v>5.2823073980123154E-4</c:v>
                </c:pt>
                <c:pt idx="79">
                  <c:v>4.3027089926535593E-4</c:v>
                </c:pt>
                <c:pt idx="80">
                  <c:v>3.4868110938349878E-4</c:v>
                </c:pt>
                <c:pt idx="81">
                  <c:v>2.8111434352360583E-4</c:v>
                </c:pt>
                <c:pt idx="82">
                  <c:v>2.254788097043542E-4</c:v>
                </c:pt>
                <c:pt idx="83">
                  <c:v>1.7992710947582844E-4</c:v>
                </c:pt>
                <c:pt idx="84">
                  <c:v>1.4284189865329292E-4</c:v>
                </c:pt>
                <c:pt idx="85">
                  <c:v>1.128191353286525E-4</c:v>
                </c:pt>
                <c:pt idx="86">
                  <c:v>8.8649861433756316E-5</c:v>
                </c:pt>
                <c:pt idx="87">
                  <c:v>6.930131841790945E-5</c:v>
                </c:pt>
                <c:pt idx="88">
                  <c:v>5.3898052642694672E-5</c:v>
                </c:pt>
                <c:pt idx="89">
                  <c:v>4.1703527668256159E-5</c:v>
                </c:pt>
                <c:pt idx="90">
                  <c:v>3.2102632978188431E-5</c:v>
                </c:pt>
                <c:pt idx="91">
                  <c:v>2.4585364735968823E-5</c:v>
                </c:pt>
                <c:pt idx="92">
                  <c:v>1.8731855513491508E-5</c:v>
                </c:pt>
                <c:pt idx="93">
                  <c:v>1.4198847160587881E-5</c:v>
                </c:pt>
                <c:pt idx="94">
                  <c:v>1.0707633828003728E-5</c:v>
                </c:pt>
                <c:pt idx="95">
                  <c:v>8.0334497104662342E-6</c:v>
                </c:pt>
                <c:pt idx="96">
                  <c:v>5.9962369895782911E-6</c:v>
                </c:pt>
                <c:pt idx="97">
                  <c:v>4.4527021012570928E-6</c:v>
                </c:pt>
                <c:pt idx="98">
                  <c:v>3.2895510723043552E-6</c:v>
                </c:pt>
                <c:pt idx="99">
                  <c:v>2.4177854959831808E-6</c:v>
                </c:pt>
                <c:pt idx="100">
                  <c:v>1.7679380545486139E-6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B92-4EBF-8E1D-5C8F2FD676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7632559"/>
        <c:axId val="1107633039"/>
      </c:scatterChart>
      <c:valAx>
        <c:axId val="11076325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633039"/>
        <c:crosses val="autoZero"/>
        <c:crossBetween val="midCat"/>
      </c:valAx>
      <c:valAx>
        <c:axId val="1107633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6325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1400" b="0" i="0" u="none" strike="noStrike" baseline="0"/>
              <a:t>8a. </a:t>
            </a:r>
            <a:r>
              <a:rPr lang="en-US" sz="1400" b="0" i="0" u="none" strike="noStrike" baseline="0"/>
              <a:t>Age vs hours-per-week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Scatter!$B$1</c:f>
              <c:strCache>
                <c:ptCount val="1"/>
                <c:pt idx="0">
                  <c:v>1hours-per-week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Scatter!$A$2:$A$644</c:f>
              <c:numCache>
                <c:formatCode>General</c:formatCode>
                <c:ptCount val="643"/>
                <c:pt idx="0">
                  <c:v>18</c:v>
                </c:pt>
                <c:pt idx="1">
                  <c:v>28</c:v>
                </c:pt>
                <c:pt idx="2">
                  <c:v>35</c:v>
                </c:pt>
                <c:pt idx="3">
                  <c:v>46</c:v>
                </c:pt>
                <c:pt idx="4">
                  <c:v>35</c:v>
                </c:pt>
                <c:pt idx="5">
                  <c:v>34</c:v>
                </c:pt>
                <c:pt idx="6">
                  <c:v>44</c:v>
                </c:pt>
                <c:pt idx="7">
                  <c:v>28</c:v>
                </c:pt>
                <c:pt idx="8">
                  <c:v>34</c:v>
                </c:pt>
                <c:pt idx="9">
                  <c:v>54</c:v>
                </c:pt>
                <c:pt idx="10">
                  <c:v>30</c:v>
                </c:pt>
                <c:pt idx="11">
                  <c:v>42</c:v>
                </c:pt>
                <c:pt idx="12">
                  <c:v>21</c:v>
                </c:pt>
                <c:pt idx="13">
                  <c:v>36</c:v>
                </c:pt>
                <c:pt idx="14">
                  <c:v>31</c:v>
                </c:pt>
                <c:pt idx="15">
                  <c:v>55</c:v>
                </c:pt>
                <c:pt idx="16">
                  <c:v>45</c:v>
                </c:pt>
                <c:pt idx="17">
                  <c:v>23</c:v>
                </c:pt>
                <c:pt idx="18">
                  <c:v>40</c:v>
                </c:pt>
                <c:pt idx="19">
                  <c:v>37</c:v>
                </c:pt>
                <c:pt idx="20">
                  <c:v>43</c:v>
                </c:pt>
                <c:pt idx="21">
                  <c:v>31</c:v>
                </c:pt>
                <c:pt idx="22">
                  <c:v>28</c:v>
                </c:pt>
                <c:pt idx="23">
                  <c:v>29</c:v>
                </c:pt>
                <c:pt idx="24">
                  <c:v>17</c:v>
                </c:pt>
                <c:pt idx="25">
                  <c:v>17</c:v>
                </c:pt>
                <c:pt idx="26">
                  <c:v>66</c:v>
                </c:pt>
                <c:pt idx="27">
                  <c:v>69</c:v>
                </c:pt>
                <c:pt idx="28">
                  <c:v>27</c:v>
                </c:pt>
                <c:pt idx="29">
                  <c:v>26</c:v>
                </c:pt>
                <c:pt idx="30">
                  <c:v>50</c:v>
                </c:pt>
                <c:pt idx="31">
                  <c:v>59</c:v>
                </c:pt>
                <c:pt idx="32">
                  <c:v>37</c:v>
                </c:pt>
                <c:pt idx="33">
                  <c:v>18</c:v>
                </c:pt>
                <c:pt idx="34">
                  <c:v>21</c:v>
                </c:pt>
                <c:pt idx="35">
                  <c:v>64</c:v>
                </c:pt>
                <c:pt idx="36">
                  <c:v>50</c:v>
                </c:pt>
                <c:pt idx="37">
                  <c:v>19</c:v>
                </c:pt>
                <c:pt idx="38">
                  <c:v>28</c:v>
                </c:pt>
                <c:pt idx="39">
                  <c:v>47</c:v>
                </c:pt>
                <c:pt idx="40">
                  <c:v>56</c:v>
                </c:pt>
                <c:pt idx="41">
                  <c:v>26</c:v>
                </c:pt>
                <c:pt idx="42">
                  <c:v>51</c:v>
                </c:pt>
                <c:pt idx="43">
                  <c:v>20</c:v>
                </c:pt>
                <c:pt idx="44">
                  <c:v>25</c:v>
                </c:pt>
                <c:pt idx="45">
                  <c:v>46</c:v>
                </c:pt>
                <c:pt idx="46">
                  <c:v>22</c:v>
                </c:pt>
                <c:pt idx="47">
                  <c:v>37</c:v>
                </c:pt>
                <c:pt idx="48">
                  <c:v>22</c:v>
                </c:pt>
                <c:pt idx="49">
                  <c:v>27</c:v>
                </c:pt>
                <c:pt idx="50">
                  <c:v>55</c:v>
                </c:pt>
                <c:pt idx="51">
                  <c:v>39</c:v>
                </c:pt>
                <c:pt idx="52">
                  <c:v>53</c:v>
                </c:pt>
                <c:pt idx="53">
                  <c:v>24</c:v>
                </c:pt>
                <c:pt idx="54">
                  <c:v>24</c:v>
                </c:pt>
                <c:pt idx="55">
                  <c:v>21</c:v>
                </c:pt>
                <c:pt idx="56">
                  <c:v>30</c:v>
                </c:pt>
                <c:pt idx="57">
                  <c:v>58</c:v>
                </c:pt>
                <c:pt idx="58">
                  <c:v>41</c:v>
                </c:pt>
                <c:pt idx="59">
                  <c:v>17</c:v>
                </c:pt>
                <c:pt idx="60">
                  <c:v>31</c:v>
                </c:pt>
                <c:pt idx="61">
                  <c:v>48</c:v>
                </c:pt>
                <c:pt idx="62">
                  <c:v>42</c:v>
                </c:pt>
                <c:pt idx="63">
                  <c:v>26</c:v>
                </c:pt>
                <c:pt idx="64">
                  <c:v>33</c:v>
                </c:pt>
                <c:pt idx="65">
                  <c:v>40</c:v>
                </c:pt>
                <c:pt idx="66">
                  <c:v>51</c:v>
                </c:pt>
                <c:pt idx="67">
                  <c:v>35</c:v>
                </c:pt>
                <c:pt idx="68">
                  <c:v>44</c:v>
                </c:pt>
                <c:pt idx="69">
                  <c:v>58</c:v>
                </c:pt>
                <c:pt idx="70">
                  <c:v>73</c:v>
                </c:pt>
                <c:pt idx="71">
                  <c:v>36</c:v>
                </c:pt>
                <c:pt idx="72">
                  <c:v>23</c:v>
                </c:pt>
                <c:pt idx="73">
                  <c:v>59</c:v>
                </c:pt>
                <c:pt idx="74">
                  <c:v>24</c:v>
                </c:pt>
                <c:pt idx="75">
                  <c:v>39</c:v>
                </c:pt>
                <c:pt idx="76">
                  <c:v>43</c:v>
                </c:pt>
                <c:pt idx="77">
                  <c:v>51</c:v>
                </c:pt>
                <c:pt idx="78">
                  <c:v>70</c:v>
                </c:pt>
                <c:pt idx="79">
                  <c:v>70</c:v>
                </c:pt>
                <c:pt idx="80">
                  <c:v>28</c:v>
                </c:pt>
                <c:pt idx="81">
                  <c:v>19</c:v>
                </c:pt>
                <c:pt idx="82">
                  <c:v>51</c:v>
                </c:pt>
                <c:pt idx="83">
                  <c:v>47</c:v>
                </c:pt>
                <c:pt idx="84">
                  <c:v>28</c:v>
                </c:pt>
                <c:pt idx="85">
                  <c:v>41</c:v>
                </c:pt>
                <c:pt idx="86">
                  <c:v>31</c:v>
                </c:pt>
                <c:pt idx="87">
                  <c:v>38</c:v>
                </c:pt>
                <c:pt idx="88">
                  <c:v>21</c:v>
                </c:pt>
                <c:pt idx="89">
                  <c:v>44</c:v>
                </c:pt>
                <c:pt idx="90">
                  <c:v>29</c:v>
                </c:pt>
                <c:pt idx="91">
                  <c:v>25</c:v>
                </c:pt>
                <c:pt idx="92">
                  <c:v>20</c:v>
                </c:pt>
                <c:pt idx="93">
                  <c:v>43</c:v>
                </c:pt>
                <c:pt idx="94">
                  <c:v>27</c:v>
                </c:pt>
                <c:pt idx="95">
                  <c:v>32</c:v>
                </c:pt>
                <c:pt idx="96">
                  <c:v>29</c:v>
                </c:pt>
                <c:pt idx="97">
                  <c:v>34</c:v>
                </c:pt>
                <c:pt idx="98">
                  <c:v>42</c:v>
                </c:pt>
                <c:pt idx="99">
                  <c:v>39</c:v>
                </c:pt>
                <c:pt idx="100">
                  <c:v>42</c:v>
                </c:pt>
                <c:pt idx="101">
                  <c:v>25</c:v>
                </c:pt>
                <c:pt idx="102">
                  <c:v>52</c:v>
                </c:pt>
                <c:pt idx="103">
                  <c:v>26</c:v>
                </c:pt>
                <c:pt idx="104">
                  <c:v>57</c:v>
                </c:pt>
                <c:pt idx="105">
                  <c:v>28</c:v>
                </c:pt>
                <c:pt idx="106">
                  <c:v>28</c:v>
                </c:pt>
                <c:pt idx="107">
                  <c:v>59</c:v>
                </c:pt>
                <c:pt idx="108">
                  <c:v>61</c:v>
                </c:pt>
                <c:pt idx="109">
                  <c:v>21</c:v>
                </c:pt>
                <c:pt idx="110">
                  <c:v>19</c:v>
                </c:pt>
                <c:pt idx="111">
                  <c:v>28</c:v>
                </c:pt>
                <c:pt idx="112">
                  <c:v>39</c:v>
                </c:pt>
                <c:pt idx="113">
                  <c:v>64</c:v>
                </c:pt>
                <c:pt idx="114">
                  <c:v>28</c:v>
                </c:pt>
                <c:pt idx="115">
                  <c:v>42</c:v>
                </c:pt>
                <c:pt idx="116">
                  <c:v>35</c:v>
                </c:pt>
                <c:pt idx="117">
                  <c:v>23</c:v>
                </c:pt>
                <c:pt idx="118">
                  <c:v>63</c:v>
                </c:pt>
                <c:pt idx="119">
                  <c:v>53</c:v>
                </c:pt>
                <c:pt idx="120">
                  <c:v>56</c:v>
                </c:pt>
                <c:pt idx="121">
                  <c:v>49</c:v>
                </c:pt>
                <c:pt idx="122">
                  <c:v>47</c:v>
                </c:pt>
                <c:pt idx="123">
                  <c:v>22</c:v>
                </c:pt>
                <c:pt idx="124">
                  <c:v>20</c:v>
                </c:pt>
                <c:pt idx="125">
                  <c:v>18</c:v>
                </c:pt>
                <c:pt idx="126">
                  <c:v>31</c:v>
                </c:pt>
                <c:pt idx="127">
                  <c:v>51</c:v>
                </c:pt>
                <c:pt idx="128">
                  <c:v>90</c:v>
                </c:pt>
                <c:pt idx="129">
                  <c:v>26</c:v>
                </c:pt>
                <c:pt idx="130">
                  <c:v>51</c:v>
                </c:pt>
                <c:pt idx="131">
                  <c:v>34</c:v>
                </c:pt>
                <c:pt idx="132">
                  <c:v>48</c:v>
                </c:pt>
                <c:pt idx="133">
                  <c:v>64</c:v>
                </c:pt>
                <c:pt idx="134">
                  <c:v>33</c:v>
                </c:pt>
                <c:pt idx="135">
                  <c:v>20</c:v>
                </c:pt>
                <c:pt idx="136">
                  <c:v>37</c:v>
                </c:pt>
                <c:pt idx="137">
                  <c:v>23</c:v>
                </c:pt>
                <c:pt idx="138">
                  <c:v>30</c:v>
                </c:pt>
                <c:pt idx="139">
                  <c:v>45</c:v>
                </c:pt>
                <c:pt idx="140">
                  <c:v>41</c:v>
                </c:pt>
                <c:pt idx="141">
                  <c:v>32</c:v>
                </c:pt>
                <c:pt idx="142">
                  <c:v>39</c:v>
                </c:pt>
                <c:pt idx="143">
                  <c:v>45</c:v>
                </c:pt>
                <c:pt idx="144">
                  <c:v>46</c:v>
                </c:pt>
                <c:pt idx="145">
                  <c:v>34</c:v>
                </c:pt>
                <c:pt idx="146">
                  <c:v>54</c:v>
                </c:pt>
                <c:pt idx="147">
                  <c:v>64</c:v>
                </c:pt>
                <c:pt idx="148">
                  <c:v>36</c:v>
                </c:pt>
                <c:pt idx="149">
                  <c:v>38</c:v>
                </c:pt>
                <c:pt idx="150">
                  <c:v>62</c:v>
                </c:pt>
                <c:pt idx="151">
                  <c:v>56</c:v>
                </c:pt>
                <c:pt idx="152">
                  <c:v>26</c:v>
                </c:pt>
                <c:pt idx="153">
                  <c:v>63</c:v>
                </c:pt>
                <c:pt idx="154">
                  <c:v>38</c:v>
                </c:pt>
                <c:pt idx="155">
                  <c:v>43</c:v>
                </c:pt>
                <c:pt idx="156">
                  <c:v>30</c:v>
                </c:pt>
                <c:pt idx="157">
                  <c:v>26</c:v>
                </c:pt>
                <c:pt idx="158">
                  <c:v>42</c:v>
                </c:pt>
                <c:pt idx="159">
                  <c:v>43</c:v>
                </c:pt>
                <c:pt idx="160">
                  <c:v>29</c:v>
                </c:pt>
                <c:pt idx="161">
                  <c:v>23</c:v>
                </c:pt>
                <c:pt idx="162">
                  <c:v>31</c:v>
                </c:pt>
                <c:pt idx="163">
                  <c:v>40</c:v>
                </c:pt>
                <c:pt idx="164">
                  <c:v>50</c:v>
                </c:pt>
                <c:pt idx="165">
                  <c:v>32</c:v>
                </c:pt>
                <c:pt idx="166">
                  <c:v>17</c:v>
                </c:pt>
                <c:pt idx="167">
                  <c:v>23</c:v>
                </c:pt>
                <c:pt idx="168">
                  <c:v>34</c:v>
                </c:pt>
                <c:pt idx="169">
                  <c:v>48</c:v>
                </c:pt>
                <c:pt idx="170">
                  <c:v>40</c:v>
                </c:pt>
                <c:pt idx="171">
                  <c:v>21</c:v>
                </c:pt>
                <c:pt idx="172">
                  <c:v>43</c:v>
                </c:pt>
                <c:pt idx="173">
                  <c:v>39</c:v>
                </c:pt>
                <c:pt idx="174">
                  <c:v>27</c:v>
                </c:pt>
                <c:pt idx="175">
                  <c:v>17</c:v>
                </c:pt>
                <c:pt idx="176">
                  <c:v>25</c:v>
                </c:pt>
                <c:pt idx="177">
                  <c:v>33</c:v>
                </c:pt>
                <c:pt idx="178">
                  <c:v>51</c:v>
                </c:pt>
                <c:pt idx="179">
                  <c:v>27</c:v>
                </c:pt>
                <c:pt idx="180">
                  <c:v>36</c:v>
                </c:pt>
                <c:pt idx="181">
                  <c:v>52</c:v>
                </c:pt>
                <c:pt idx="182">
                  <c:v>43</c:v>
                </c:pt>
                <c:pt idx="183">
                  <c:v>56</c:v>
                </c:pt>
                <c:pt idx="184">
                  <c:v>25</c:v>
                </c:pt>
                <c:pt idx="185">
                  <c:v>55</c:v>
                </c:pt>
                <c:pt idx="186">
                  <c:v>37</c:v>
                </c:pt>
                <c:pt idx="187">
                  <c:v>34</c:v>
                </c:pt>
                <c:pt idx="188">
                  <c:v>27</c:v>
                </c:pt>
                <c:pt idx="189">
                  <c:v>50</c:v>
                </c:pt>
                <c:pt idx="190">
                  <c:v>34</c:v>
                </c:pt>
                <c:pt idx="191">
                  <c:v>20</c:v>
                </c:pt>
                <c:pt idx="192">
                  <c:v>41</c:v>
                </c:pt>
                <c:pt idx="193">
                  <c:v>38</c:v>
                </c:pt>
                <c:pt idx="194">
                  <c:v>39</c:v>
                </c:pt>
                <c:pt idx="195">
                  <c:v>36</c:v>
                </c:pt>
                <c:pt idx="196">
                  <c:v>64</c:v>
                </c:pt>
                <c:pt idx="197">
                  <c:v>18</c:v>
                </c:pt>
                <c:pt idx="198">
                  <c:v>46</c:v>
                </c:pt>
                <c:pt idx="199">
                  <c:v>18</c:v>
                </c:pt>
                <c:pt idx="200">
                  <c:v>63</c:v>
                </c:pt>
                <c:pt idx="201">
                  <c:v>56</c:v>
                </c:pt>
                <c:pt idx="202">
                  <c:v>59</c:v>
                </c:pt>
                <c:pt idx="203">
                  <c:v>37</c:v>
                </c:pt>
                <c:pt idx="204">
                  <c:v>21</c:v>
                </c:pt>
                <c:pt idx="205">
                  <c:v>23</c:v>
                </c:pt>
                <c:pt idx="206">
                  <c:v>30</c:v>
                </c:pt>
                <c:pt idx="207">
                  <c:v>42</c:v>
                </c:pt>
                <c:pt idx="208">
                  <c:v>48</c:v>
                </c:pt>
                <c:pt idx="209">
                  <c:v>56</c:v>
                </c:pt>
                <c:pt idx="210">
                  <c:v>25</c:v>
                </c:pt>
                <c:pt idx="211">
                  <c:v>46</c:v>
                </c:pt>
                <c:pt idx="212">
                  <c:v>18</c:v>
                </c:pt>
                <c:pt idx="213">
                  <c:v>74</c:v>
                </c:pt>
                <c:pt idx="214">
                  <c:v>32</c:v>
                </c:pt>
                <c:pt idx="215">
                  <c:v>20</c:v>
                </c:pt>
                <c:pt idx="216">
                  <c:v>23</c:v>
                </c:pt>
                <c:pt idx="217">
                  <c:v>57</c:v>
                </c:pt>
                <c:pt idx="218">
                  <c:v>47</c:v>
                </c:pt>
                <c:pt idx="219">
                  <c:v>55</c:v>
                </c:pt>
                <c:pt idx="220">
                  <c:v>26</c:v>
                </c:pt>
                <c:pt idx="221">
                  <c:v>47</c:v>
                </c:pt>
                <c:pt idx="222">
                  <c:v>24</c:v>
                </c:pt>
                <c:pt idx="223">
                  <c:v>28</c:v>
                </c:pt>
                <c:pt idx="224">
                  <c:v>23</c:v>
                </c:pt>
                <c:pt idx="225">
                  <c:v>40</c:v>
                </c:pt>
                <c:pt idx="226">
                  <c:v>60</c:v>
                </c:pt>
                <c:pt idx="227">
                  <c:v>28</c:v>
                </c:pt>
                <c:pt idx="228">
                  <c:v>43</c:v>
                </c:pt>
                <c:pt idx="229">
                  <c:v>42</c:v>
                </c:pt>
                <c:pt idx="230">
                  <c:v>67</c:v>
                </c:pt>
                <c:pt idx="231">
                  <c:v>25</c:v>
                </c:pt>
                <c:pt idx="232">
                  <c:v>30</c:v>
                </c:pt>
                <c:pt idx="233">
                  <c:v>37</c:v>
                </c:pt>
                <c:pt idx="234">
                  <c:v>62</c:v>
                </c:pt>
                <c:pt idx="235">
                  <c:v>41</c:v>
                </c:pt>
                <c:pt idx="236">
                  <c:v>40</c:v>
                </c:pt>
                <c:pt idx="237">
                  <c:v>58</c:v>
                </c:pt>
                <c:pt idx="238">
                  <c:v>35</c:v>
                </c:pt>
                <c:pt idx="239">
                  <c:v>49</c:v>
                </c:pt>
                <c:pt idx="240">
                  <c:v>90</c:v>
                </c:pt>
                <c:pt idx="241">
                  <c:v>54</c:v>
                </c:pt>
                <c:pt idx="242">
                  <c:v>18</c:v>
                </c:pt>
                <c:pt idx="243">
                  <c:v>25</c:v>
                </c:pt>
                <c:pt idx="244">
                  <c:v>31</c:v>
                </c:pt>
                <c:pt idx="245">
                  <c:v>22</c:v>
                </c:pt>
                <c:pt idx="246">
                  <c:v>25</c:v>
                </c:pt>
                <c:pt idx="247">
                  <c:v>36</c:v>
                </c:pt>
                <c:pt idx="248">
                  <c:v>26</c:v>
                </c:pt>
                <c:pt idx="249">
                  <c:v>37</c:v>
                </c:pt>
                <c:pt idx="250">
                  <c:v>27</c:v>
                </c:pt>
                <c:pt idx="251">
                  <c:v>18</c:v>
                </c:pt>
                <c:pt idx="252">
                  <c:v>24</c:v>
                </c:pt>
                <c:pt idx="253">
                  <c:v>47</c:v>
                </c:pt>
                <c:pt idx="254">
                  <c:v>48</c:v>
                </c:pt>
                <c:pt idx="255">
                  <c:v>39</c:v>
                </c:pt>
                <c:pt idx="256">
                  <c:v>26</c:v>
                </c:pt>
                <c:pt idx="257">
                  <c:v>51</c:v>
                </c:pt>
                <c:pt idx="258">
                  <c:v>32</c:v>
                </c:pt>
                <c:pt idx="259">
                  <c:v>38</c:v>
                </c:pt>
                <c:pt idx="260">
                  <c:v>41</c:v>
                </c:pt>
                <c:pt idx="261">
                  <c:v>27</c:v>
                </c:pt>
                <c:pt idx="262">
                  <c:v>52</c:v>
                </c:pt>
                <c:pt idx="263">
                  <c:v>28</c:v>
                </c:pt>
                <c:pt idx="264">
                  <c:v>54</c:v>
                </c:pt>
                <c:pt idx="265">
                  <c:v>71</c:v>
                </c:pt>
                <c:pt idx="266">
                  <c:v>57</c:v>
                </c:pt>
                <c:pt idx="267">
                  <c:v>33</c:v>
                </c:pt>
                <c:pt idx="268">
                  <c:v>50</c:v>
                </c:pt>
                <c:pt idx="269">
                  <c:v>66</c:v>
                </c:pt>
                <c:pt idx="270">
                  <c:v>41</c:v>
                </c:pt>
                <c:pt idx="271">
                  <c:v>25</c:v>
                </c:pt>
                <c:pt idx="272">
                  <c:v>31</c:v>
                </c:pt>
                <c:pt idx="273">
                  <c:v>47</c:v>
                </c:pt>
                <c:pt idx="274">
                  <c:v>21</c:v>
                </c:pt>
                <c:pt idx="275">
                  <c:v>64</c:v>
                </c:pt>
                <c:pt idx="276">
                  <c:v>39</c:v>
                </c:pt>
                <c:pt idx="277">
                  <c:v>26</c:v>
                </c:pt>
                <c:pt idx="278">
                  <c:v>22</c:v>
                </c:pt>
                <c:pt idx="279">
                  <c:v>30</c:v>
                </c:pt>
                <c:pt idx="280">
                  <c:v>30</c:v>
                </c:pt>
                <c:pt idx="281">
                  <c:v>49</c:v>
                </c:pt>
                <c:pt idx="282">
                  <c:v>22</c:v>
                </c:pt>
                <c:pt idx="283">
                  <c:v>46</c:v>
                </c:pt>
                <c:pt idx="284">
                  <c:v>55</c:v>
                </c:pt>
                <c:pt idx="285">
                  <c:v>41</c:v>
                </c:pt>
                <c:pt idx="286">
                  <c:v>65</c:v>
                </c:pt>
                <c:pt idx="287">
                  <c:v>38</c:v>
                </c:pt>
                <c:pt idx="288">
                  <c:v>75</c:v>
                </c:pt>
                <c:pt idx="289">
                  <c:v>68</c:v>
                </c:pt>
                <c:pt idx="290">
                  <c:v>43</c:v>
                </c:pt>
                <c:pt idx="291">
                  <c:v>20</c:v>
                </c:pt>
                <c:pt idx="292">
                  <c:v>32</c:v>
                </c:pt>
                <c:pt idx="293">
                  <c:v>31</c:v>
                </c:pt>
                <c:pt idx="294">
                  <c:v>45</c:v>
                </c:pt>
                <c:pt idx="295">
                  <c:v>23</c:v>
                </c:pt>
                <c:pt idx="296">
                  <c:v>34</c:v>
                </c:pt>
                <c:pt idx="297">
                  <c:v>36</c:v>
                </c:pt>
                <c:pt idx="298">
                  <c:v>42</c:v>
                </c:pt>
                <c:pt idx="299">
                  <c:v>63</c:v>
                </c:pt>
                <c:pt idx="300">
                  <c:v>44</c:v>
                </c:pt>
                <c:pt idx="301">
                  <c:v>35</c:v>
                </c:pt>
                <c:pt idx="302">
                  <c:v>30</c:v>
                </c:pt>
                <c:pt idx="303">
                  <c:v>47</c:v>
                </c:pt>
                <c:pt idx="304">
                  <c:v>34</c:v>
                </c:pt>
                <c:pt idx="305">
                  <c:v>38</c:v>
                </c:pt>
                <c:pt idx="306">
                  <c:v>31</c:v>
                </c:pt>
                <c:pt idx="307">
                  <c:v>60</c:v>
                </c:pt>
                <c:pt idx="308">
                  <c:v>22</c:v>
                </c:pt>
                <c:pt idx="309">
                  <c:v>53</c:v>
                </c:pt>
                <c:pt idx="310">
                  <c:v>90</c:v>
                </c:pt>
                <c:pt idx="311">
                  <c:v>39</c:v>
                </c:pt>
                <c:pt idx="312">
                  <c:v>51</c:v>
                </c:pt>
                <c:pt idx="313">
                  <c:v>51</c:v>
                </c:pt>
                <c:pt idx="314">
                  <c:v>42</c:v>
                </c:pt>
                <c:pt idx="315">
                  <c:v>36</c:v>
                </c:pt>
                <c:pt idx="316">
                  <c:v>57</c:v>
                </c:pt>
                <c:pt idx="317">
                  <c:v>71</c:v>
                </c:pt>
                <c:pt idx="318">
                  <c:v>53</c:v>
                </c:pt>
                <c:pt idx="319">
                  <c:v>23</c:v>
                </c:pt>
                <c:pt idx="320">
                  <c:v>45</c:v>
                </c:pt>
                <c:pt idx="321">
                  <c:v>19</c:v>
                </c:pt>
                <c:pt idx="322">
                  <c:v>49</c:v>
                </c:pt>
                <c:pt idx="323">
                  <c:v>36</c:v>
                </c:pt>
                <c:pt idx="324">
                  <c:v>32</c:v>
                </c:pt>
                <c:pt idx="325">
                  <c:v>43</c:v>
                </c:pt>
                <c:pt idx="326">
                  <c:v>23</c:v>
                </c:pt>
                <c:pt idx="327">
                  <c:v>32</c:v>
                </c:pt>
                <c:pt idx="328">
                  <c:v>35</c:v>
                </c:pt>
                <c:pt idx="329">
                  <c:v>30</c:v>
                </c:pt>
                <c:pt idx="330">
                  <c:v>59</c:v>
                </c:pt>
                <c:pt idx="331">
                  <c:v>37</c:v>
                </c:pt>
                <c:pt idx="332">
                  <c:v>36</c:v>
                </c:pt>
                <c:pt idx="333">
                  <c:v>34</c:v>
                </c:pt>
                <c:pt idx="334">
                  <c:v>25</c:v>
                </c:pt>
                <c:pt idx="335">
                  <c:v>32</c:v>
                </c:pt>
                <c:pt idx="336">
                  <c:v>43</c:v>
                </c:pt>
                <c:pt idx="337">
                  <c:v>58</c:v>
                </c:pt>
                <c:pt idx="338">
                  <c:v>23</c:v>
                </c:pt>
                <c:pt idx="339">
                  <c:v>25</c:v>
                </c:pt>
                <c:pt idx="340">
                  <c:v>28</c:v>
                </c:pt>
                <c:pt idx="341">
                  <c:v>34</c:v>
                </c:pt>
                <c:pt idx="342">
                  <c:v>44</c:v>
                </c:pt>
                <c:pt idx="343">
                  <c:v>22</c:v>
                </c:pt>
                <c:pt idx="344">
                  <c:v>25</c:v>
                </c:pt>
                <c:pt idx="345">
                  <c:v>52</c:v>
                </c:pt>
                <c:pt idx="346">
                  <c:v>32</c:v>
                </c:pt>
                <c:pt idx="347">
                  <c:v>41</c:v>
                </c:pt>
                <c:pt idx="348">
                  <c:v>18</c:v>
                </c:pt>
                <c:pt idx="349">
                  <c:v>37</c:v>
                </c:pt>
                <c:pt idx="350">
                  <c:v>41</c:v>
                </c:pt>
                <c:pt idx="351">
                  <c:v>28</c:v>
                </c:pt>
                <c:pt idx="352">
                  <c:v>40</c:v>
                </c:pt>
                <c:pt idx="353">
                  <c:v>44</c:v>
                </c:pt>
                <c:pt idx="354">
                  <c:v>48</c:v>
                </c:pt>
                <c:pt idx="355">
                  <c:v>38</c:v>
                </c:pt>
                <c:pt idx="356">
                  <c:v>35</c:v>
                </c:pt>
                <c:pt idx="357">
                  <c:v>22</c:v>
                </c:pt>
                <c:pt idx="358">
                  <c:v>35</c:v>
                </c:pt>
                <c:pt idx="359">
                  <c:v>28</c:v>
                </c:pt>
                <c:pt idx="360">
                  <c:v>61</c:v>
                </c:pt>
                <c:pt idx="361">
                  <c:v>39</c:v>
                </c:pt>
                <c:pt idx="362">
                  <c:v>18</c:v>
                </c:pt>
                <c:pt idx="363">
                  <c:v>57</c:v>
                </c:pt>
                <c:pt idx="364">
                  <c:v>37</c:v>
                </c:pt>
                <c:pt idx="365">
                  <c:v>33</c:v>
                </c:pt>
                <c:pt idx="366">
                  <c:v>17</c:v>
                </c:pt>
                <c:pt idx="367">
                  <c:v>64</c:v>
                </c:pt>
                <c:pt idx="368">
                  <c:v>33</c:v>
                </c:pt>
                <c:pt idx="369">
                  <c:v>20</c:v>
                </c:pt>
                <c:pt idx="370">
                  <c:v>44</c:v>
                </c:pt>
                <c:pt idx="371">
                  <c:v>42</c:v>
                </c:pt>
                <c:pt idx="372">
                  <c:v>28</c:v>
                </c:pt>
                <c:pt idx="373">
                  <c:v>39</c:v>
                </c:pt>
                <c:pt idx="374">
                  <c:v>32</c:v>
                </c:pt>
                <c:pt idx="375">
                  <c:v>22</c:v>
                </c:pt>
                <c:pt idx="376">
                  <c:v>54</c:v>
                </c:pt>
                <c:pt idx="377">
                  <c:v>44</c:v>
                </c:pt>
                <c:pt idx="378">
                  <c:v>62</c:v>
                </c:pt>
                <c:pt idx="379">
                  <c:v>29</c:v>
                </c:pt>
                <c:pt idx="380">
                  <c:v>31</c:v>
                </c:pt>
                <c:pt idx="381">
                  <c:v>33</c:v>
                </c:pt>
                <c:pt idx="382">
                  <c:v>33</c:v>
                </c:pt>
                <c:pt idx="383">
                  <c:v>21</c:v>
                </c:pt>
                <c:pt idx="384">
                  <c:v>44</c:v>
                </c:pt>
                <c:pt idx="385">
                  <c:v>37</c:v>
                </c:pt>
                <c:pt idx="386">
                  <c:v>19</c:v>
                </c:pt>
                <c:pt idx="387">
                  <c:v>32</c:v>
                </c:pt>
                <c:pt idx="388">
                  <c:v>58</c:v>
                </c:pt>
                <c:pt idx="389">
                  <c:v>44</c:v>
                </c:pt>
                <c:pt idx="390">
                  <c:v>25</c:v>
                </c:pt>
                <c:pt idx="391">
                  <c:v>45</c:v>
                </c:pt>
                <c:pt idx="392">
                  <c:v>46</c:v>
                </c:pt>
                <c:pt idx="393">
                  <c:v>38</c:v>
                </c:pt>
                <c:pt idx="394">
                  <c:v>47</c:v>
                </c:pt>
                <c:pt idx="395">
                  <c:v>39</c:v>
                </c:pt>
                <c:pt idx="396">
                  <c:v>28</c:v>
                </c:pt>
                <c:pt idx="397">
                  <c:v>41</c:v>
                </c:pt>
                <c:pt idx="398">
                  <c:v>23</c:v>
                </c:pt>
                <c:pt idx="399">
                  <c:v>37</c:v>
                </c:pt>
                <c:pt idx="400">
                  <c:v>34</c:v>
                </c:pt>
                <c:pt idx="401">
                  <c:v>46</c:v>
                </c:pt>
                <c:pt idx="402">
                  <c:v>30</c:v>
                </c:pt>
                <c:pt idx="403">
                  <c:v>30</c:v>
                </c:pt>
                <c:pt idx="404">
                  <c:v>27</c:v>
                </c:pt>
                <c:pt idx="405">
                  <c:v>29</c:v>
                </c:pt>
                <c:pt idx="406">
                  <c:v>25</c:v>
                </c:pt>
                <c:pt idx="407">
                  <c:v>23</c:v>
                </c:pt>
                <c:pt idx="408">
                  <c:v>27</c:v>
                </c:pt>
                <c:pt idx="409">
                  <c:v>40</c:v>
                </c:pt>
                <c:pt idx="410">
                  <c:v>41</c:v>
                </c:pt>
                <c:pt idx="411">
                  <c:v>56</c:v>
                </c:pt>
                <c:pt idx="412">
                  <c:v>34</c:v>
                </c:pt>
                <c:pt idx="413">
                  <c:v>23</c:v>
                </c:pt>
                <c:pt idx="414">
                  <c:v>33</c:v>
                </c:pt>
                <c:pt idx="415">
                  <c:v>64</c:v>
                </c:pt>
                <c:pt idx="416">
                  <c:v>21</c:v>
                </c:pt>
                <c:pt idx="417">
                  <c:v>59</c:v>
                </c:pt>
                <c:pt idx="418">
                  <c:v>27</c:v>
                </c:pt>
                <c:pt idx="419">
                  <c:v>40</c:v>
                </c:pt>
                <c:pt idx="420">
                  <c:v>36</c:v>
                </c:pt>
                <c:pt idx="421">
                  <c:v>49</c:v>
                </c:pt>
                <c:pt idx="422">
                  <c:v>57</c:v>
                </c:pt>
                <c:pt idx="423">
                  <c:v>55</c:v>
                </c:pt>
                <c:pt idx="424">
                  <c:v>59</c:v>
                </c:pt>
                <c:pt idx="425">
                  <c:v>35</c:v>
                </c:pt>
                <c:pt idx="426">
                  <c:v>42</c:v>
                </c:pt>
                <c:pt idx="427">
                  <c:v>42</c:v>
                </c:pt>
                <c:pt idx="428">
                  <c:v>41</c:v>
                </c:pt>
                <c:pt idx="429">
                  <c:v>43</c:v>
                </c:pt>
                <c:pt idx="430">
                  <c:v>26</c:v>
                </c:pt>
                <c:pt idx="431">
                  <c:v>27</c:v>
                </c:pt>
                <c:pt idx="432">
                  <c:v>51</c:v>
                </c:pt>
                <c:pt idx="433">
                  <c:v>19</c:v>
                </c:pt>
                <c:pt idx="434">
                  <c:v>43</c:v>
                </c:pt>
                <c:pt idx="435">
                  <c:v>33</c:v>
                </c:pt>
                <c:pt idx="436">
                  <c:v>18</c:v>
                </c:pt>
                <c:pt idx="437">
                  <c:v>45</c:v>
                </c:pt>
                <c:pt idx="438">
                  <c:v>58</c:v>
                </c:pt>
                <c:pt idx="439">
                  <c:v>47</c:v>
                </c:pt>
                <c:pt idx="440">
                  <c:v>34</c:v>
                </c:pt>
                <c:pt idx="441">
                  <c:v>34</c:v>
                </c:pt>
                <c:pt idx="442">
                  <c:v>23</c:v>
                </c:pt>
                <c:pt idx="443">
                  <c:v>25</c:v>
                </c:pt>
                <c:pt idx="444">
                  <c:v>36</c:v>
                </c:pt>
                <c:pt idx="445">
                  <c:v>25</c:v>
                </c:pt>
                <c:pt idx="446">
                  <c:v>25</c:v>
                </c:pt>
                <c:pt idx="447">
                  <c:v>38</c:v>
                </c:pt>
                <c:pt idx="448">
                  <c:v>37</c:v>
                </c:pt>
                <c:pt idx="449">
                  <c:v>54</c:v>
                </c:pt>
                <c:pt idx="450">
                  <c:v>40</c:v>
                </c:pt>
                <c:pt idx="451">
                  <c:v>21</c:v>
                </c:pt>
                <c:pt idx="452">
                  <c:v>76</c:v>
                </c:pt>
                <c:pt idx="453">
                  <c:v>28</c:v>
                </c:pt>
                <c:pt idx="454">
                  <c:v>47</c:v>
                </c:pt>
                <c:pt idx="455">
                  <c:v>58</c:v>
                </c:pt>
                <c:pt idx="456">
                  <c:v>19</c:v>
                </c:pt>
                <c:pt idx="457">
                  <c:v>42</c:v>
                </c:pt>
                <c:pt idx="458">
                  <c:v>48</c:v>
                </c:pt>
                <c:pt idx="459">
                  <c:v>33</c:v>
                </c:pt>
                <c:pt idx="460">
                  <c:v>45</c:v>
                </c:pt>
                <c:pt idx="461">
                  <c:v>46</c:v>
                </c:pt>
                <c:pt idx="462">
                  <c:v>23</c:v>
                </c:pt>
                <c:pt idx="463">
                  <c:v>59</c:v>
                </c:pt>
                <c:pt idx="464">
                  <c:v>56</c:v>
                </c:pt>
                <c:pt idx="465">
                  <c:v>44</c:v>
                </c:pt>
                <c:pt idx="466">
                  <c:v>47</c:v>
                </c:pt>
                <c:pt idx="467">
                  <c:v>55</c:v>
                </c:pt>
                <c:pt idx="468">
                  <c:v>32</c:v>
                </c:pt>
                <c:pt idx="469">
                  <c:v>26</c:v>
                </c:pt>
                <c:pt idx="470">
                  <c:v>25</c:v>
                </c:pt>
                <c:pt idx="471">
                  <c:v>18</c:v>
                </c:pt>
                <c:pt idx="472">
                  <c:v>60</c:v>
                </c:pt>
                <c:pt idx="473">
                  <c:v>25</c:v>
                </c:pt>
                <c:pt idx="474">
                  <c:v>54</c:v>
                </c:pt>
                <c:pt idx="475">
                  <c:v>17</c:v>
                </c:pt>
                <c:pt idx="476">
                  <c:v>40</c:v>
                </c:pt>
                <c:pt idx="477">
                  <c:v>62</c:v>
                </c:pt>
                <c:pt idx="478">
                  <c:v>56</c:v>
                </c:pt>
                <c:pt idx="479">
                  <c:v>23</c:v>
                </c:pt>
                <c:pt idx="480">
                  <c:v>48</c:v>
                </c:pt>
                <c:pt idx="481">
                  <c:v>50</c:v>
                </c:pt>
                <c:pt idx="482">
                  <c:v>18</c:v>
                </c:pt>
                <c:pt idx="483">
                  <c:v>31</c:v>
                </c:pt>
                <c:pt idx="484">
                  <c:v>24</c:v>
                </c:pt>
                <c:pt idx="485">
                  <c:v>38</c:v>
                </c:pt>
                <c:pt idx="486">
                  <c:v>20</c:v>
                </c:pt>
                <c:pt idx="487">
                  <c:v>45</c:v>
                </c:pt>
                <c:pt idx="488">
                  <c:v>45</c:v>
                </c:pt>
                <c:pt idx="489">
                  <c:v>63</c:v>
                </c:pt>
                <c:pt idx="490">
                  <c:v>40</c:v>
                </c:pt>
                <c:pt idx="491">
                  <c:v>32</c:v>
                </c:pt>
                <c:pt idx="492">
                  <c:v>37</c:v>
                </c:pt>
                <c:pt idx="493">
                  <c:v>34</c:v>
                </c:pt>
                <c:pt idx="494">
                  <c:v>35</c:v>
                </c:pt>
                <c:pt idx="495">
                  <c:v>35</c:v>
                </c:pt>
                <c:pt idx="496">
                  <c:v>59</c:v>
                </c:pt>
                <c:pt idx="497">
                  <c:v>25</c:v>
                </c:pt>
                <c:pt idx="498">
                  <c:v>27</c:v>
                </c:pt>
                <c:pt idx="499">
                  <c:v>22</c:v>
                </c:pt>
                <c:pt idx="500">
                  <c:v>40</c:v>
                </c:pt>
                <c:pt idx="501">
                  <c:v>29</c:v>
                </c:pt>
                <c:pt idx="502">
                  <c:v>42</c:v>
                </c:pt>
                <c:pt idx="503">
                  <c:v>19</c:v>
                </c:pt>
                <c:pt idx="504">
                  <c:v>31</c:v>
                </c:pt>
                <c:pt idx="505">
                  <c:v>62</c:v>
                </c:pt>
                <c:pt idx="506">
                  <c:v>38</c:v>
                </c:pt>
                <c:pt idx="507">
                  <c:v>47</c:v>
                </c:pt>
                <c:pt idx="508">
                  <c:v>37</c:v>
                </c:pt>
                <c:pt idx="509">
                  <c:v>36</c:v>
                </c:pt>
                <c:pt idx="510">
                  <c:v>18</c:v>
                </c:pt>
                <c:pt idx="511">
                  <c:v>20</c:v>
                </c:pt>
                <c:pt idx="512">
                  <c:v>45</c:v>
                </c:pt>
                <c:pt idx="513">
                  <c:v>63</c:v>
                </c:pt>
                <c:pt idx="514">
                  <c:v>55</c:v>
                </c:pt>
                <c:pt idx="515">
                  <c:v>40</c:v>
                </c:pt>
                <c:pt idx="516">
                  <c:v>33</c:v>
                </c:pt>
                <c:pt idx="517">
                  <c:v>27</c:v>
                </c:pt>
                <c:pt idx="518">
                  <c:v>47</c:v>
                </c:pt>
                <c:pt idx="519">
                  <c:v>40</c:v>
                </c:pt>
                <c:pt idx="520">
                  <c:v>54</c:v>
                </c:pt>
                <c:pt idx="521">
                  <c:v>19</c:v>
                </c:pt>
                <c:pt idx="522">
                  <c:v>29</c:v>
                </c:pt>
                <c:pt idx="523">
                  <c:v>61</c:v>
                </c:pt>
                <c:pt idx="524">
                  <c:v>22</c:v>
                </c:pt>
                <c:pt idx="525">
                  <c:v>19</c:v>
                </c:pt>
                <c:pt idx="526">
                  <c:v>40</c:v>
                </c:pt>
                <c:pt idx="527">
                  <c:v>62</c:v>
                </c:pt>
                <c:pt idx="528">
                  <c:v>42</c:v>
                </c:pt>
                <c:pt idx="529">
                  <c:v>30</c:v>
                </c:pt>
                <c:pt idx="530">
                  <c:v>65</c:v>
                </c:pt>
                <c:pt idx="531">
                  <c:v>41</c:v>
                </c:pt>
                <c:pt idx="532">
                  <c:v>28</c:v>
                </c:pt>
                <c:pt idx="533">
                  <c:v>26</c:v>
                </c:pt>
                <c:pt idx="534">
                  <c:v>23</c:v>
                </c:pt>
                <c:pt idx="535">
                  <c:v>45</c:v>
                </c:pt>
                <c:pt idx="536">
                  <c:v>61</c:v>
                </c:pt>
                <c:pt idx="537">
                  <c:v>76</c:v>
                </c:pt>
                <c:pt idx="538">
                  <c:v>60</c:v>
                </c:pt>
                <c:pt idx="539">
                  <c:v>33</c:v>
                </c:pt>
                <c:pt idx="540">
                  <c:v>35</c:v>
                </c:pt>
                <c:pt idx="541">
                  <c:v>23</c:v>
                </c:pt>
                <c:pt idx="542">
                  <c:v>36</c:v>
                </c:pt>
                <c:pt idx="543">
                  <c:v>33</c:v>
                </c:pt>
                <c:pt idx="544">
                  <c:v>36</c:v>
                </c:pt>
                <c:pt idx="545">
                  <c:v>51</c:v>
                </c:pt>
                <c:pt idx="546">
                  <c:v>27</c:v>
                </c:pt>
                <c:pt idx="547">
                  <c:v>47</c:v>
                </c:pt>
                <c:pt idx="548">
                  <c:v>26</c:v>
                </c:pt>
                <c:pt idx="549">
                  <c:v>49</c:v>
                </c:pt>
                <c:pt idx="550">
                  <c:v>25</c:v>
                </c:pt>
                <c:pt idx="551">
                  <c:v>62</c:v>
                </c:pt>
                <c:pt idx="552">
                  <c:v>59</c:v>
                </c:pt>
                <c:pt idx="553">
                  <c:v>45</c:v>
                </c:pt>
                <c:pt idx="554">
                  <c:v>43</c:v>
                </c:pt>
                <c:pt idx="555">
                  <c:v>36</c:v>
                </c:pt>
                <c:pt idx="556">
                  <c:v>49</c:v>
                </c:pt>
                <c:pt idx="557">
                  <c:v>61</c:v>
                </c:pt>
                <c:pt idx="558">
                  <c:v>32</c:v>
                </c:pt>
                <c:pt idx="559">
                  <c:v>30</c:v>
                </c:pt>
                <c:pt idx="560">
                  <c:v>22</c:v>
                </c:pt>
                <c:pt idx="561">
                  <c:v>41</c:v>
                </c:pt>
                <c:pt idx="562">
                  <c:v>60</c:v>
                </c:pt>
                <c:pt idx="563">
                  <c:v>28</c:v>
                </c:pt>
                <c:pt idx="564">
                  <c:v>66</c:v>
                </c:pt>
                <c:pt idx="565">
                  <c:v>51</c:v>
                </c:pt>
                <c:pt idx="566">
                  <c:v>46</c:v>
                </c:pt>
                <c:pt idx="567">
                  <c:v>29</c:v>
                </c:pt>
                <c:pt idx="568">
                  <c:v>32</c:v>
                </c:pt>
                <c:pt idx="569">
                  <c:v>25</c:v>
                </c:pt>
                <c:pt idx="570">
                  <c:v>27</c:v>
                </c:pt>
                <c:pt idx="571">
                  <c:v>24</c:v>
                </c:pt>
                <c:pt idx="572">
                  <c:v>51</c:v>
                </c:pt>
                <c:pt idx="573">
                  <c:v>22</c:v>
                </c:pt>
                <c:pt idx="574">
                  <c:v>60</c:v>
                </c:pt>
                <c:pt idx="575">
                  <c:v>38</c:v>
                </c:pt>
                <c:pt idx="576">
                  <c:v>49</c:v>
                </c:pt>
                <c:pt idx="577">
                  <c:v>50</c:v>
                </c:pt>
                <c:pt idx="578">
                  <c:v>47</c:v>
                </c:pt>
                <c:pt idx="579">
                  <c:v>80</c:v>
                </c:pt>
                <c:pt idx="580">
                  <c:v>45</c:v>
                </c:pt>
                <c:pt idx="581">
                  <c:v>29</c:v>
                </c:pt>
                <c:pt idx="582">
                  <c:v>20</c:v>
                </c:pt>
                <c:pt idx="583">
                  <c:v>39</c:v>
                </c:pt>
                <c:pt idx="584">
                  <c:v>28</c:v>
                </c:pt>
                <c:pt idx="585">
                  <c:v>32</c:v>
                </c:pt>
                <c:pt idx="586">
                  <c:v>41</c:v>
                </c:pt>
                <c:pt idx="587">
                  <c:v>22</c:v>
                </c:pt>
                <c:pt idx="588">
                  <c:v>36</c:v>
                </c:pt>
                <c:pt idx="589">
                  <c:v>19</c:v>
                </c:pt>
                <c:pt idx="590">
                  <c:v>31</c:v>
                </c:pt>
                <c:pt idx="591">
                  <c:v>33</c:v>
                </c:pt>
                <c:pt idx="592">
                  <c:v>32</c:v>
                </c:pt>
                <c:pt idx="593">
                  <c:v>25</c:v>
                </c:pt>
                <c:pt idx="594">
                  <c:v>60</c:v>
                </c:pt>
                <c:pt idx="595">
                  <c:v>45</c:v>
                </c:pt>
                <c:pt idx="596">
                  <c:v>34</c:v>
                </c:pt>
                <c:pt idx="597">
                  <c:v>81</c:v>
                </c:pt>
                <c:pt idx="598">
                  <c:v>29</c:v>
                </c:pt>
                <c:pt idx="599">
                  <c:v>38</c:v>
                </c:pt>
                <c:pt idx="600">
                  <c:v>32</c:v>
                </c:pt>
                <c:pt idx="601">
                  <c:v>33</c:v>
                </c:pt>
                <c:pt idx="602">
                  <c:v>33</c:v>
                </c:pt>
                <c:pt idx="603">
                  <c:v>34</c:v>
                </c:pt>
                <c:pt idx="604">
                  <c:v>26</c:v>
                </c:pt>
                <c:pt idx="605">
                  <c:v>30</c:v>
                </c:pt>
                <c:pt idx="606">
                  <c:v>33</c:v>
                </c:pt>
                <c:pt idx="607">
                  <c:v>37</c:v>
                </c:pt>
                <c:pt idx="608">
                  <c:v>37</c:v>
                </c:pt>
                <c:pt idx="609">
                  <c:v>38</c:v>
                </c:pt>
                <c:pt idx="610">
                  <c:v>21</c:v>
                </c:pt>
                <c:pt idx="611">
                  <c:v>62</c:v>
                </c:pt>
                <c:pt idx="612">
                  <c:v>46</c:v>
                </c:pt>
                <c:pt idx="613">
                  <c:v>38</c:v>
                </c:pt>
                <c:pt idx="614">
                  <c:v>21</c:v>
                </c:pt>
                <c:pt idx="615">
                  <c:v>23</c:v>
                </c:pt>
                <c:pt idx="616">
                  <c:v>41</c:v>
                </c:pt>
                <c:pt idx="617">
                  <c:v>28</c:v>
                </c:pt>
                <c:pt idx="618">
                  <c:v>39</c:v>
                </c:pt>
                <c:pt idx="619">
                  <c:v>43</c:v>
                </c:pt>
                <c:pt idx="620">
                  <c:v>37</c:v>
                </c:pt>
                <c:pt idx="621">
                  <c:v>25</c:v>
                </c:pt>
                <c:pt idx="622">
                  <c:v>41</c:v>
                </c:pt>
                <c:pt idx="623">
                  <c:v>48</c:v>
                </c:pt>
                <c:pt idx="624">
                  <c:v>28</c:v>
                </c:pt>
                <c:pt idx="625">
                  <c:v>42</c:v>
                </c:pt>
                <c:pt idx="626">
                  <c:v>42</c:v>
                </c:pt>
                <c:pt idx="627">
                  <c:v>57</c:v>
                </c:pt>
                <c:pt idx="628">
                  <c:v>36</c:v>
                </c:pt>
                <c:pt idx="629">
                  <c:v>34</c:v>
                </c:pt>
                <c:pt idx="630">
                  <c:v>18</c:v>
                </c:pt>
                <c:pt idx="631">
                  <c:v>17</c:v>
                </c:pt>
                <c:pt idx="632">
                  <c:v>34</c:v>
                </c:pt>
                <c:pt idx="633">
                  <c:v>40</c:v>
                </c:pt>
                <c:pt idx="634">
                  <c:v>26</c:v>
                </c:pt>
                <c:pt idx="635">
                  <c:v>66</c:v>
                </c:pt>
                <c:pt idx="636">
                  <c:v>37</c:v>
                </c:pt>
                <c:pt idx="637">
                  <c:v>41</c:v>
                </c:pt>
                <c:pt idx="638">
                  <c:v>65</c:v>
                </c:pt>
                <c:pt idx="639">
                  <c:v>54</c:v>
                </c:pt>
                <c:pt idx="640">
                  <c:v>42</c:v>
                </c:pt>
                <c:pt idx="641">
                  <c:v>30</c:v>
                </c:pt>
                <c:pt idx="642">
                  <c:v>30</c:v>
                </c:pt>
              </c:numCache>
            </c:numRef>
          </c:xVal>
          <c:yVal>
            <c:numRef>
              <c:f>Scatter!$B$2:$B$644</c:f>
              <c:numCache>
                <c:formatCode>General</c:formatCode>
                <c:ptCount val="643"/>
                <c:pt idx="0">
                  <c:v>22</c:v>
                </c:pt>
                <c:pt idx="1">
                  <c:v>60</c:v>
                </c:pt>
                <c:pt idx="2">
                  <c:v>40</c:v>
                </c:pt>
                <c:pt idx="3">
                  <c:v>45</c:v>
                </c:pt>
                <c:pt idx="4">
                  <c:v>50</c:v>
                </c:pt>
                <c:pt idx="5">
                  <c:v>40</c:v>
                </c:pt>
                <c:pt idx="6">
                  <c:v>40</c:v>
                </c:pt>
                <c:pt idx="7">
                  <c:v>20</c:v>
                </c:pt>
                <c:pt idx="8">
                  <c:v>32</c:v>
                </c:pt>
                <c:pt idx="9">
                  <c:v>35</c:v>
                </c:pt>
                <c:pt idx="10">
                  <c:v>40</c:v>
                </c:pt>
                <c:pt idx="11">
                  <c:v>40</c:v>
                </c:pt>
                <c:pt idx="12">
                  <c:v>30</c:v>
                </c:pt>
                <c:pt idx="13">
                  <c:v>40</c:v>
                </c:pt>
                <c:pt idx="14">
                  <c:v>40</c:v>
                </c:pt>
                <c:pt idx="15">
                  <c:v>40</c:v>
                </c:pt>
                <c:pt idx="16">
                  <c:v>40</c:v>
                </c:pt>
                <c:pt idx="17">
                  <c:v>50</c:v>
                </c:pt>
                <c:pt idx="18">
                  <c:v>35</c:v>
                </c:pt>
                <c:pt idx="19">
                  <c:v>50</c:v>
                </c:pt>
                <c:pt idx="20">
                  <c:v>40</c:v>
                </c:pt>
                <c:pt idx="21">
                  <c:v>30</c:v>
                </c:pt>
                <c:pt idx="22">
                  <c:v>40</c:v>
                </c:pt>
                <c:pt idx="23">
                  <c:v>60</c:v>
                </c:pt>
                <c:pt idx="24">
                  <c:v>20</c:v>
                </c:pt>
                <c:pt idx="25">
                  <c:v>24</c:v>
                </c:pt>
                <c:pt idx="26">
                  <c:v>50</c:v>
                </c:pt>
                <c:pt idx="27">
                  <c:v>40</c:v>
                </c:pt>
                <c:pt idx="28">
                  <c:v>40</c:v>
                </c:pt>
                <c:pt idx="29">
                  <c:v>40</c:v>
                </c:pt>
                <c:pt idx="30">
                  <c:v>50</c:v>
                </c:pt>
                <c:pt idx="31">
                  <c:v>40</c:v>
                </c:pt>
                <c:pt idx="32">
                  <c:v>35</c:v>
                </c:pt>
                <c:pt idx="33">
                  <c:v>8</c:v>
                </c:pt>
                <c:pt idx="34">
                  <c:v>40</c:v>
                </c:pt>
                <c:pt idx="35">
                  <c:v>38</c:v>
                </c:pt>
                <c:pt idx="36">
                  <c:v>38</c:v>
                </c:pt>
                <c:pt idx="37">
                  <c:v>30</c:v>
                </c:pt>
                <c:pt idx="38">
                  <c:v>17</c:v>
                </c:pt>
                <c:pt idx="39">
                  <c:v>40</c:v>
                </c:pt>
                <c:pt idx="40">
                  <c:v>40</c:v>
                </c:pt>
                <c:pt idx="41">
                  <c:v>40</c:v>
                </c:pt>
                <c:pt idx="42">
                  <c:v>40</c:v>
                </c:pt>
                <c:pt idx="43">
                  <c:v>40</c:v>
                </c:pt>
                <c:pt idx="44">
                  <c:v>40</c:v>
                </c:pt>
                <c:pt idx="45">
                  <c:v>37</c:v>
                </c:pt>
                <c:pt idx="46">
                  <c:v>25</c:v>
                </c:pt>
                <c:pt idx="47">
                  <c:v>50</c:v>
                </c:pt>
                <c:pt idx="48">
                  <c:v>55</c:v>
                </c:pt>
                <c:pt idx="49">
                  <c:v>40</c:v>
                </c:pt>
                <c:pt idx="50">
                  <c:v>35</c:v>
                </c:pt>
                <c:pt idx="51">
                  <c:v>20</c:v>
                </c:pt>
                <c:pt idx="52">
                  <c:v>40</c:v>
                </c:pt>
                <c:pt idx="53">
                  <c:v>13</c:v>
                </c:pt>
                <c:pt idx="54">
                  <c:v>40</c:v>
                </c:pt>
                <c:pt idx="55">
                  <c:v>25</c:v>
                </c:pt>
                <c:pt idx="56">
                  <c:v>40</c:v>
                </c:pt>
                <c:pt idx="57">
                  <c:v>40</c:v>
                </c:pt>
                <c:pt idx="58">
                  <c:v>40</c:v>
                </c:pt>
                <c:pt idx="59">
                  <c:v>25</c:v>
                </c:pt>
                <c:pt idx="60">
                  <c:v>40</c:v>
                </c:pt>
                <c:pt idx="61">
                  <c:v>45</c:v>
                </c:pt>
                <c:pt idx="62">
                  <c:v>40</c:v>
                </c:pt>
                <c:pt idx="63">
                  <c:v>40</c:v>
                </c:pt>
                <c:pt idx="64">
                  <c:v>50</c:v>
                </c:pt>
                <c:pt idx="65">
                  <c:v>40</c:v>
                </c:pt>
                <c:pt idx="66">
                  <c:v>40</c:v>
                </c:pt>
                <c:pt idx="67">
                  <c:v>20</c:v>
                </c:pt>
                <c:pt idx="68">
                  <c:v>65</c:v>
                </c:pt>
                <c:pt idx="69">
                  <c:v>40</c:v>
                </c:pt>
                <c:pt idx="70">
                  <c:v>10</c:v>
                </c:pt>
                <c:pt idx="71">
                  <c:v>40</c:v>
                </c:pt>
                <c:pt idx="72">
                  <c:v>50</c:v>
                </c:pt>
                <c:pt idx="73">
                  <c:v>40</c:v>
                </c:pt>
                <c:pt idx="74">
                  <c:v>40</c:v>
                </c:pt>
                <c:pt idx="75">
                  <c:v>20</c:v>
                </c:pt>
                <c:pt idx="76">
                  <c:v>44</c:v>
                </c:pt>
                <c:pt idx="77">
                  <c:v>40</c:v>
                </c:pt>
                <c:pt idx="78">
                  <c:v>30</c:v>
                </c:pt>
                <c:pt idx="79">
                  <c:v>5</c:v>
                </c:pt>
                <c:pt idx="80">
                  <c:v>40</c:v>
                </c:pt>
                <c:pt idx="81">
                  <c:v>66</c:v>
                </c:pt>
                <c:pt idx="82">
                  <c:v>40</c:v>
                </c:pt>
                <c:pt idx="83">
                  <c:v>50</c:v>
                </c:pt>
                <c:pt idx="84">
                  <c:v>40</c:v>
                </c:pt>
                <c:pt idx="85">
                  <c:v>40</c:v>
                </c:pt>
                <c:pt idx="86">
                  <c:v>54</c:v>
                </c:pt>
                <c:pt idx="87">
                  <c:v>40</c:v>
                </c:pt>
                <c:pt idx="88">
                  <c:v>40</c:v>
                </c:pt>
                <c:pt idx="89">
                  <c:v>50</c:v>
                </c:pt>
                <c:pt idx="90">
                  <c:v>40</c:v>
                </c:pt>
                <c:pt idx="91">
                  <c:v>45</c:v>
                </c:pt>
                <c:pt idx="92">
                  <c:v>20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54</c:v>
                </c:pt>
                <c:pt idx="98">
                  <c:v>38</c:v>
                </c:pt>
                <c:pt idx="99">
                  <c:v>50</c:v>
                </c:pt>
                <c:pt idx="100">
                  <c:v>40</c:v>
                </c:pt>
                <c:pt idx="101">
                  <c:v>8</c:v>
                </c:pt>
                <c:pt idx="102">
                  <c:v>60</c:v>
                </c:pt>
                <c:pt idx="103">
                  <c:v>40</c:v>
                </c:pt>
                <c:pt idx="104">
                  <c:v>40</c:v>
                </c:pt>
                <c:pt idx="105">
                  <c:v>55</c:v>
                </c:pt>
                <c:pt idx="106">
                  <c:v>52</c:v>
                </c:pt>
                <c:pt idx="107">
                  <c:v>48</c:v>
                </c:pt>
                <c:pt idx="108">
                  <c:v>40</c:v>
                </c:pt>
                <c:pt idx="109">
                  <c:v>40</c:v>
                </c:pt>
                <c:pt idx="110">
                  <c:v>40</c:v>
                </c:pt>
                <c:pt idx="111">
                  <c:v>40</c:v>
                </c:pt>
                <c:pt idx="112">
                  <c:v>35</c:v>
                </c:pt>
                <c:pt idx="113">
                  <c:v>40</c:v>
                </c:pt>
                <c:pt idx="114">
                  <c:v>48</c:v>
                </c:pt>
                <c:pt idx="115">
                  <c:v>40</c:v>
                </c:pt>
                <c:pt idx="116">
                  <c:v>40</c:v>
                </c:pt>
                <c:pt idx="117">
                  <c:v>25</c:v>
                </c:pt>
                <c:pt idx="118">
                  <c:v>20</c:v>
                </c:pt>
                <c:pt idx="119">
                  <c:v>48</c:v>
                </c:pt>
                <c:pt idx="120">
                  <c:v>60</c:v>
                </c:pt>
                <c:pt idx="121">
                  <c:v>40</c:v>
                </c:pt>
                <c:pt idx="122">
                  <c:v>35</c:v>
                </c:pt>
                <c:pt idx="123">
                  <c:v>40</c:v>
                </c:pt>
                <c:pt idx="124">
                  <c:v>18</c:v>
                </c:pt>
                <c:pt idx="125">
                  <c:v>40</c:v>
                </c:pt>
                <c:pt idx="126">
                  <c:v>40</c:v>
                </c:pt>
                <c:pt idx="127">
                  <c:v>60</c:v>
                </c:pt>
                <c:pt idx="128">
                  <c:v>50</c:v>
                </c:pt>
                <c:pt idx="129">
                  <c:v>42</c:v>
                </c:pt>
                <c:pt idx="130">
                  <c:v>60</c:v>
                </c:pt>
                <c:pt idx="131">
                  <c:v>40</c:v>
                </c:pt>
                <c:pt idx="132">
                  <c:v>60</c:v>
                </c:pt>
                <c:pt idx="133">
                  <c:v>60</c:v>
                </c:pt>
                <c:pt idx="134">
                  <c:v>50</c:v>
                </c:pt>
                <c:pt idx="135">
                  <c:v>40</c:v>
                </c:pt>
                <c:pt idx="136">
                  <c:v>40</c:v>
                </c:pt>
                <c:pt idx="137">
                  <c:v>40</c:v>
                </c:pt>
                <c:pt idx="138">
                  <c:v>50</c:v>
                </c:pt>
                <c:pt idx="139">
                  <c:v>40</c:v>
                </c:pt>
                <c:pt idx="140">
                  <c:v>55</c:v>
                </c:pt>
                <c:pt idx="141">
                  <c:v>50</c:v>
                </c:pt>
                <c:pt idx="142">
                  <c:v>70</c:v>
                </c:pt>
                <c:pt idx="143">
                  <c:v>40</c:v>
                </c:pt>
                <c:pt idx="144">
                  <c:v>50</c:v>
                </c:pt>
                <c:pt idx="145">
                  <c:v>40</c:v>
                </c:pt>
                <c:pt idx="146">
                  <c:v>40</c:v>
                </c:pt>
                <c:pt idx="147">
                  <c:v>40</c:v>
                </c:pt>
                <c:pt idx="148">
                  <c:v>45</c:v>
                </c:pt>
                <c:pt idx="149">
                  <c:v>40</c:v>
                </c:pt>
                <c:pt idx="150">
                  <c:v>24</c:v>
                </c:pt>
                <c:pt idx="151">
                  <c:v>40</c:v>
                </c:pt>
                <c:pt idx="152">
                  <c:v>40</c:v>
                </c:pt>
                <c:pt idx="153">
                  <c:v>40</c:v>
                </c:pt>
                <c:pt idx="154">
                  <c:v>40</c:v>
                </c:pt>
                <c:pt idx="155">
                  <c:v>40</c:v>
                </c:pt>
                <c:pt idx="156">
                  <c:v>40</c:v>
                </c:pt>
                <c:pt idx="157">
                  <c:v>50</c:v>
                </c:pt>
                <c:pt idx="158">
                  <c:v>45</c:v>
                </c:pt>
                <c:pt idx="159">
                  <c:v>43</c:v>
                </c:pt>
                <c:pt idx="160">
                  <c:v>40</c:v>
                </c:pt>
                <c:pt idx="161">
                  <c:v>36</c:v>
                </c:pt>
                <c:pt idx="162">
                  <c:v>40</c:v>
                </c:pt>
                <c:pt idx="163">
                  <c:v>42</c:v>
                </c:pt>
                <c:pt idx="164">
                  <c:v>40</c:v>
                </c:pt>
                <c:pt idx="165">
                  <c:v>40</c:v>
                </c:pt>
                <c:pt idx="166">
                  <c:v>20</c:v>
                </c:pt>
                <c:pt idx="167">
                  <c:v>40</c:v>
                </c:pt>
                <c:pt idx="168">
                  <c:v>60</c:v>
                </c:pt>
                <c:pt idx="169">
                  <c:v>50</c:v>
                </c:pt>
                <c:pt idx="170">
                  <c:v>50</c:v>
                </c:pt>
                <c:pt idx="171">
                  <c:v>40</c:v>
                </c:pt>
                <c:pt idx="172">
                  <c:v>40</c:v>
                </c:pt>
                <c:pt idx="173">
                  <c:v>40</c:v>
                </c:pt>
                <c:pt idx="174">
                  <c:v>40</c:v>
                </c:pt>
                <c:pt idx="175">
                  <c:v>30</c:v>
                </c:pt>
                <c:pt idx="176">
                  <c:v>35</c:v>
                </c:pt>
                <c:pt idx="177">
                  <c:v>40</c:v>
                </c:pt>
                <c:pt idx="178">
                  <c:v>80</c:v>
                </c:pt>
                <c:pt idx="179">
                  <c:v>65</c:v>
                </c:pt>
                <c:pt idx="180">
                  <c:v>40</c:v>
                </c:pt>
                <c:pt idx="181">
                  <c:v>35</c:v>
                </c:pt>
                <c:pt idx="182">
                  <c:v>40</c:v>
                </c:pt>
                <c:pt idx="183">
                  <c:v>45</c:v>
                </c:pt>
                <c:pt idx="184">
                  <c:v>44</c:v>
                </c:pt>
                <c:pt idx="185">
                  <c:v>40</c:v>
                </c:pt>
                <c:pt idx="186">
                  <c:v>40</c:v>
                </c:pt>
                <c:pt idx="187">
                  <c:v>40</c:v>
                </c:pt>
                <c:pt idx="188">
                  <c:v>45</c:v>
                </c:pt>
                <c:pt idx="189">
                  <c:v>40</c:v>
                </c:pt>
                <c:pt idx="190">
                  <c:v>60</c:v>
                </c:pt>
                <c:pt idx="191">
                  <c:v>12</c:v>
                </c:pt>
                <c:pt idx="192">
                  <c:v>40</c:v>
                </c:pt>
                <c:pt idx="193">
                  <c:v>56</c:v>
                </c:pt>
                <c:pt idx="194">
                  <c:v>25</c:v>
                </c:pt>
                <c:pt idx="195">
                  <c:v>45</c:v>
                </c:pt>
                <c:pt idx="196">
                  <c:v>35</c:v>
                </c:pt>
                <c:pt idx="197">
                  <c:v>56</c:v>
                </c:pt>
                <c:pt idx="198">
                  <c:v>40</c:v>
                </c:pt>
                <c:pt idx="199">
                  <c:v>35</c:v>
                </c:pt>
                <c:pt idx="200">
                  <c:v>40</c:v>
                </c:pt>
                <c:pt idx="201">
                  <c:v>40</c:v>
                </c:pt>
                <c:pt idx="202">
                  <c:v>50</c:v>
                </c:pt>
                <c:pt idx="203">
                  <c:v>53</c:v>
                </c:pt>
                <c:pt idx="204">
                  <c:v>40</c:v>
                </c:pt>
                <c:pt idx="205">
                  <c:v>40</c:v>
                </c:pt>
                <c:pt idx="206">
                  <c:v>70</c:v>
                </c:pt>
                <c:pt idx="207">
                  <c:v>40</c:v>
                </c:pt>
                <c:pt idx="208">
                  <c:v>60</c:v>
                </c:pt>
                <c:pt idx="209">
                  <c:v>99</c:v>
                </c:pt>
                <c:pt idx="210">
                  <c:v>40</c:v>
                </c:pt>
                <c:pt idx="211">
                  <c:v>49</c:v>
                </c:pt>
                <c:pt idx="212">
                  <c:v>15</c:v>
                </c:pt>
                <c:pt idx="213">
                  <c:v>20</c:v>
                </c:pt>
                <c:pt idx="214">
                  <c:v>40</c:v>
                </c:pt>
                <c:pt idx="215">
                  <c:v>35</c:v>
                </c:pt>
                <c:pt idx="216">
                  <c:v>25</c:v>
                </c:pt>
                <c:pt idx="217">
                  <c:v>40</c:v>
                </c:pt>
                <c:pt idx="218">
                  <c:v>45</c:v>
                </c:pt>
                <c:pt idx="219">
                  <c:v>20</c:v>
                </c:pt>
                <c:pt idx="220">
                  <c:v>40</c:v>
                </c:pt>
                <c:pt idx="221">
                  <c:v>40</c:v>
                </c:pt>
                <c:pt idx="222">
                  <c:v>40</c:v>
                </c:pt>
                <c:pt idx="223">
                  <c:v>10</c:v>
                </c:pt>
                <c:pt idx="224">
                  <c:v>40</c:v>
                </c:pt>
                <c:pt idx="225">
                  <c:v>35</c:v>
                </c:pt>
                <c:pt idx="226">
                  <c:v>40</c:v>
                </c:pt>
                <c:pt idx="227">
                  <c:v>40</c:v>
                </c:pt>
                <c:pt idx="228">
                  <c:v>40</c:v>
                </c:pt>
                <c:pt idx="229">
                  <c:v>40</c:v>
                </c:pt>
                <c:pt idx="230">
                  <c:v>35</c:v>
                </c:pt>
                <c:pt idx="231">
                  <c:v>45</c:v>
                </c:pt>
                <c:pt idx="232">
                  <c:v>40</c:v>
                </c:pt>
                <c:pt idx="233">
                  <c:v>55</c:v>
                </c:pt>
                <c:pt idx="234">
                  <c:v>50</c:v>
                </c:pt>
                <c:pt idx="235">
                  <c:v>12</c:v>
                </c:pt>
                <c:pt idx="236">
                  <c:v>40</c:v>
                </c:pt>
                <c:pt idx="237">
                  <c:v>15</c:v>
                </c:pt>
                <c:pt idx="238">
                  <c:v>45</c:v>
                </c:pt>
                <c:pt idx="239">
                  <c:v>40</c:v>
                </c:pt>
                <c:pt idx="240">
                  <c:v>4</c:v>
                </c:pt>
                <c:pt idx="241">
                  <c:v>40</c:v>
                </c:pt>
                <c:pt idx="242">
                  <c:v>15</c:v>
                </c:pt>
                <c:pt idx="243">
                  <c:v>40</c:v>
                </c:pt>
                <c:pt idx="244">
                  <c:v>45</c:v>
                </c:pt>
                <c:pt idx="245">
                  <c:v>40</c:v>
                </c:pt>
                <c:pt idx="246">
                  <c:v>40</c:v>
                </c:pt>
                <c:pt idx="247">
                  <c:v>50</c:v>
                </c:pt>
                <c:pt idx="248">
                  <c:v>45</c:v>
                </c:pt>
                <c:pt idx="249">
                  <c:v>35</c:v>
                </c:pt>
                <c:pt idx="250">
                  <c:v>40</c:v>
                </c:pt>
                <c:pt idx="251">
                  <c:v>16</c:v>
                </c:pt>
                <c:pt idx="252">
                  <c:v>20</c:v>
                </c:pt>
                <c:pt idx="253">
                  <c:v>35</c:v>
                </c:pt>
                <c:pt idx="254">
                  <c:v>45</c:v>
                </c:pt>
                <c:pt idx="255">
                  <c:v>60</c:v>
                </c:pt>
                <c:pt idx="256">
                  <c:v>24</c:v>
                </c:pt>
                <c:pt idx="257">
                  <c:v>40</c:v>
                </c:pt>
                <c:pt idx="258">
                  <c:v>40</c:v>
                </c:pt>
                <c:pt idx="259">
                  <c:v>40</c:v>
                </c:pt>
                <c:pt idx="260">
                  <c:v>65</c:v>
                </c:pt>
                <c:pt idx="261">
                  <c:v>40</c:v>
                </c:pt>
                <c:pt idx="262">
                  <c:v>50</c:v>
                </c:pt>
                <c:pt idx="263">
                  <c:v>40</c:v>
                </c:pt>
                <c:pt idx="264">
                  <c:v>50</c:v>
                </c:pt>
                <c:pt idx="265">
                  <c:v>40</c:v>
                </c:pt>
                <c:pt idx="266">
                  <c:v>40</c:v>
                </c:pt>
                <c:pt idx="267">
                  <c:v>60</c:v>
                </c:pt>
                <c:pt idx="268">
                  <c:v>40</c:v>
                </c:pt>
                <c:pt idx="269">
                  <c:v>40</c:v>
                </c:pt>
                <c:pt idx="270">
                  <c:v>45</c:v>
                </c:pt>
                <c:pt idx="271">
                  <c:v>38</c:v>
                </c:pt>
                <c:pt idx="272">
                  <c:v>40</c:v>
                </c:pt>
                <c:pt idx="273">
                  <c:v>40</c:v>
                </c:pt>
                <c:pt idx="274">
                  <c:v>40</c:v>
                </c:pt>
                <c:pt idx="275">
                  <c:v>40</c:v>
                </c:pt>
                <c:pt idx="276">
                  <c:v>40</c:v>
                </c:pt>
                <c:pt idx="277">
                  <c:v>50</c:v>
                </c:pt>
                <c:pt idx="278">
                  <c:v>40</c:v>
                </c:pt>
                <c:pt idx="279">
                  <c:v>40</c:v>
                </c:pt>
                <c:pt idx="280">
                  <c:v>30</c:v>
                </c:pt>
                <c:pt idx="281">
                  <c:v>40</c:v>
                </c:pt>
                <c:pt idx="282">
                  <c:v>65</c:v>
                </c:pt>
                <c:pt idx="283">
                  <c:v>50</c:v>
                </c:pt>
                <c:pt idx="284">
                  <c:v>40</c:v>
                </c:pt>
                <c:pt idx="285">
                  <c:v>40</c:v>
                </c:pt>
                <c:pt idx="286">
                  <c:v>40</c:v>
                </c:pt>
                <c:pt idx="287">
                  <c:v>40</c:v>
                </c:pt>
                <c:pt idx="288">
                  <c:v>26</c:v>
                </c:pt>
                <c:pt idx="289">
                  <c:v>40</c:v>
                </c:pt>
                <c:pt idx="290">
                  <c:v>40</c:v>
                </c:pt>
                <c:pt idx="291">
                  <c:v>20</c:v>
                </c:pt>
                <c:pt idx="292">
                  <c:v>40</c:v>
                </c:pt>
                <c:pt idx="293">
                  <c:v>40</c:v>
                </c:pt>
                <c:pt idx="294">
                  <c:v>35</c:v>
                </c:pt>
                <c:pt idx="295">
                  <c:v>12</c:v>
                </c:pt>
                <c:pt idx="296">
                  <c:v>38</c:v>
                </c:pt>
                <c:pt idx="297">
                  <c:v>40</c:v>
                </c:pt>
                <c:pt idx="298">
                  <c:v>60</c:v>
                </c:pt>
                <c:pt idx="299">
                  <c:v>45</c:v>
                </c:pt>
                <c:pt idx="300">
                  <c:v>40</c:v>
                </c:pt>
                <c:pt idx="301">
                  <c:v>40</c:v>
                </c:pt>
                <c:pt idx="302">
                  <c:v>45</c:v>
                </c:pt>
                <c:pt idx="303">
                  <c:v>20</c:v>
                </c:pt>
                <c:pt idx="304">
                  <c:v>40</c:v>
                </c:pt>
                <c:pt idx="305">
                  <c:v>40</c:v>
                </c:pt>
                <c:pt idx="306">
                  <c:v>45</c:v>
                </c:pt>
                <c:pt idx="307">
                  <c:v>40</c:v>
                </c:pt>
                <c:pt idx="308">
                  <c:v>20</c:v>
                </c:pt>
                <c:pt idx="309">
                  <c:v>55</c:v>
                </c:pt>
                <c:pt idx="310">
                  <c:v>99</c:v>
                </c:pt>
                <c:pt idx="311">
                  <c:v>40</c:v>
                </c:pt>
                <c:pt idx="312">
                  <c:v>47</c:v>
                </c:pt>
                <c:pt idx="313">
                  <c:v>30</c:v>
                </c:pt>
                <c:pt idx="314">
                  <c:v>15</c:v>
                </c:pt>
                <c:pt idx="315">
                  <c:v>40</c:v>
                </c:pt>
                <c:pt idx="316">
                  <c:v>35</c:v>
                </c:pt>
                <c:pt idx="317">
                  <c:v>33</c:v>
                </c:pt>
                <c:pt idx="318">
                  <c:v>30</c:v>
                </c:pt>
                <c:pt idx="319">
                  <c:v>38</c:v>
                </c:pt>
                <c:pt idx="320">
                  <c:v>40</c:v>
                </c:pt>
                <c:pt idx="321">
                  <c:v>40</c:v>
                </c:pt>
                <c:pt idx="322">
                  <c:v>40</c:v>
                </c:pt>
                <c:pt idx="323">
                  <c:v>40</c:v>
                </c:pt>
                <c:pt idx="324">
                  <c:v>40</c:v>
                </c:pt>
                <c:pt idx="325">
                  <c:v>50</c:v>
                </c:pt>
                <c:pt idx="326">
                  <c:v>40</c:v>
                </c:pt>
                <c:pt idx="327">
                  <c:v>50</c:v>
                </c:pt>
                <c:pt idx="328">
                  <c:v>20</c:v>
                </c:pt>
                <c:pt idx="329">
                  <c:v>40</c:v>
                </c:pt>
                <c:pt idx="330">
                  <c:v>50</c:v>
                </c:pt>
                <c:pt idx="331">
                  <c:v>40</c:v>
                </c:pt>
                <c:pt idx="332">
                  <c:v>40</c:v>
                </c:pt>
                <c:pt idx="333">
                  <c:v>80</c:v>
                </c:pt>
                <c:pt idx="334">
                  <c:v>15</c:v>
                </c:pt>
                <c:pt idx="335">
                  <c:v>40</c:v>
                </c:pt>
                <c:pt idx="336">
                  <c:v>38</c:v>
                </c:pt>
                <c:pt idx="337">
                  <c:v>42</c:v>
                </c:pt>
                <c:pt idx="338">
                  <c:v>38</c:v>
                </c:pt>
                <c:pt idx="339">
                  <c:v>40</c:v>
                </c:pt>
                <c:pt idx="340">
                  <c:v>40</c:v>
                </c:pt>
                <c:pt idx="341">
                  <c:v>50</c:v>
                </c:pt>
                <c:pt idx="342">
                  <c:v>40</c:v>
                </c:pt>
                <c:pt idx="343">
                  <c:v>40</c:v>
                </c:pt>
                <c:pt idx="344">
                  <c:v>40</c:v>
                </c:pt>
                <c:pt idx="345">
                  <c:v>45</c:v>
                </c:pt>
                <c:pt idx="346">
                  <c:v>42</c:v>
                </c:pt>
                <c:pt idx="347">
                  <c:v>40</c:v>
                </c:pt>
                <c:pt idx="348">
                  <c:v>28</c:v>
                </c:pt>
                <c:pt idx="349">
                  <c:v>50</c:v>
                </c:pt>
                <c:pt idx="350">
                  <c:v>45</c:v>
                </c:pt>
                <c:pt idx="351">
                  <c:v>65</c:v>
                </c:pt>
                <c:pt idx="352">
                  <c:v>44</c:v>
                </c:pt>
                <c:pt idx="353">
                  <c:v>36</c:v>
                </c:pt>
                <c:pt idx="354">
                  <c:v>25</c:v>
                </c:pt>
                <c:pt idx="355">
                  <c:v>50</c:v>
                </c:pt>
                <c:pt idx="356">
                  <c:v>50</c:v>
                </c:pt>
                <c:pt idx="357">
                  <c:v>40</c:v>
                </c:pt>
                <c:pt idx="358">
                  <c:v>40</c:v>
                </c:pt>
                <c:pt idx="359">
                  <c:v>40</c:v>
                </c:pt>
                <c:pt idx="360">
                  <c:v>30</c:v>
                </c:pt>
                <c:pt idx="361">
                  <c:v>35</c:v>
                </c:pt>
                <c:pt idx="362">
                  <c:v>18</c:v>
                </c:pt>
                <c:pt idx="363">
                  <c:v>40</c:v>
                </c:pt>
                <c:pt idx="364">
                  <c:v>30</c:v>
                </c:pt>
                <c:pt idx="365">
                  <c:v>35</c:v>
                </c:pt>
                <c:pt idx="366">
                  <c:v>18</c:v>
                </c:pt>
                <c:pt idx="367">
                  <c:v>30</c:v>
                </c:pt>
                <c:pt idx="368">
                  <c:v>40</c:v>
                </c:pt>
                <c:pt idx="369">
                  <c:v>40</c:v>
                </c:pt>
                <c:pt idx="370">
                  <c:v>37</c:v>
                </c:pt>
                <c:pt idx="371">
                  <c:v>65</c:v>
                </c:pt>
                <c:pt idx="372">
                  <c:v>40</c:v>
                </c:pt>
                <c:pt idx="373">
                  <c:v>40</c:v>
                </c:pt>
                <c:pt idx="374">
                  <c:v>60</c:v>
                </c:pt>
                <c:pt idx="375">
                  <c:v>37</c:v>
                </c:pt>
                <c:pt idx="376">
                  <c:v>45</c:v>
                </c:pt>
                <c:pt idx="377">
                  <c:v>30</c:v>
                </c:pt>
                <c:pt idx="378">
                  <c:v>25</c:v>
                </c:pt>
                <c:pt idx="379">
                  <c:v>40</c:v>
                </c:pt>
                <c:pt idx="380">
                  <c:v>40</c:v>
                </c:pt>
                <c:pt idx="381">
                  <c:v>99</c:v>
                </c:pt>
                <c:pt idx="382">
                  <c:v>50</c:v>
                </c:pt>
                <c:pt idx="383">
                  <c:v>10</c:v>
                </c:pt>
                <c:pt idx="384">
                  <c:v>40</c:v>
                </c:pt>
                <c:pt idx="385">
                  <c:v>25</c:v>
                </c:pt>
                <c:pt idx="386">
                  <c:v>20</c:v>
                </c:pt>
                <c:pt idx="387">
                  <c:v>40</c:v>
                </c:pt>
                <c:pt idx="388">
                  <c:v>50</c:v>
                </c:pt>
                <c:pt idx="389">
                  <c:v>60</c:v>
                </c:pt>
                <c:pt idx="390">
                  <c:v>40</c:v>
                </c:pt>
                <c:pt idx="391">
                  <c:v>60</c:v>
                </c:pt>
                <c:pt idx="392">
                  <c:v>55</c:v>
                </c:pt>
                <c:pt idx="393">
                  <c:v>45</c:v>
                </c:pt>
                <c:pt idx="394">
                  <c:v>40</c:v>
                </c:pt>
                <c:pt idx="395">
                  <c:v>40</c:v>
                </c:pt>
                <c:pt idx="396">
                  <c:v>40</c:v>
                </c:pt>
                <c:pt idx="397">
                  <c:v>40</c:v>
                </c:pt>
                <c:pt idx="398">
                  <c:v>32</c:v>
                </c:pt>
                <c:pt idx="399">
                  <c:v>40</c:v>
                </c:pt>
                <c:pt idx="400">
                  <c:v>40</c:v>
                </c:pt>
                <c:pt idx="401">
                  <c:v>40</c:v>
                </c:pt>
                <c:pt idx="402">
                  <c:v>48</c:v>
                </c:pt>
                <c:pt idx="403">
                  <c:v>44</c:v>
                </c:pt>
                <c:pt idx="404">
                  <c:v>40</c:v>
                </c:pt>
                <c:pt idx="405">
                  <c:v>30</c:v>
                </c:pt>
                <c:pt idx="406">
                  <c:v>24</c:v>
                </c:pt>
                <c:pt idx="407">
                  <c:v>60</c:v>
                </c:pt>
                <c:pt idx="408">
                  <c:v>40</c:v>
                </c:pt>
                <c:pt idx="409">
                  <c:v>40</c:v>
                </c:pt>
                <c:pt idx="410">
                  <c:v>40</c:v>
                </c:pt>
                <c:pt idx="411">
                  <c:v>20</c:v>
                </c:pt>
                <c:pt idx="412">
                  <c:v>50</c:v>
                </c:pt>
                <c:pt idx="413">
                  <c:v>80</c:v>
                </c:pt>
                <c:pt idx="414">
                  <c:v>50</c:v>
                </c:pt>
                <c:pt idx="415">
                  <c:v>40</c:v>
                </c:pt>
                <c:pt idx="416">
                  <c:v>15</c:v>
                </c:pt>
                <c:pt idx="417">
                  <c:v>40</c:v>
                </c:pt>
                <c:pt idx="418">
                  <c:v>40</c:v>
                </c:pt>
                <c:pt idx="419">
                  <c:v>30</c:v>
                </c:pt>
                <c:pt idx="420">
                  <c:v>40</c:v>
                </c:pt>
                <c:pt idx="421">
                  <c:v>40</c:v>
                </c:pt>
                <c:pt idx="422">
                  <c:v>40</c:v>
                </c:pt>
                <c:pt idx="423">
                  <c:v>40</c:v>
                </c:pt>
                <c:pt idx="424">
                  <c:v>45</c:v>
                </c:pt>
                <c:pt idx="425">
                  <c:v>80</c:v>
                </c:pt>
                <c:pt idx="426">
                  <c:v>40</c:v>
                </c:pt>
                <c:pt idx="427">
                  <c:v>45</c:v>
                </c:pt>
                <c:pt idx="428">
                  <c:v>50</c:v>
                </c:pt>
                <c:pt idx="429">
                  <c:v>40</c:v>
                </c:pt>
                <c:pt idx="430">
                  <c:v>50</c:v>
                </c:pt>
                <c:pt idx="431">
                  <c:v>40</c:v>
                </c:pt>
                <c:pt idx="432">
                  <c:v>40</c:v>
                </c:pt>
                <c:pt idx="433">
                  <c:v>24</c:v>
                </c:pt>
                <c:pt idx="434">
                  <c:v>40</c:v>
                </c:pt>
                <c:pt idx="435">
                  <c:v>42</c:v>
                </c:pt>
                <c:pt idx="436">
                  <c:v>20</c:v>
                </c:pt>
                <c:pt idx="437">
                  <c:v>40</c:v>
                </c:pt>
                <c:pt idx="438">
                  <c:v>60</c:v>
                </c:pt>
                <c:pt idx="439">
                  <c:v>40</c:v>
                </c:pt>
                <c:pt idx="440">
                  <c:v>55</c:v>
                </c:pt>
                <c:pt idx="441">
                  <c:v>10</c:v>
                </c:pt>
                <c:pt idx="442">
                  <c:v>35</c:v>
                </c:pt>
                <c:pt idx="443">
                  <c:v>35</c:v>
                </c:pt>
                <c:pt idx="444">
                  <c:v>65</c:v>
                </c:pt>
                <c:pt idx="445">
                  <c:v>40</c:v>
                </c:pt>
                <c:pt idx="446">
                  <c:v>40</c:v>
                </c:pt>
                <c:pt idx="447">
                  <c:v>50</c:v>
                </c:pt>
                <c:pt idx="448">
                  <c:v>55</c:v>
                </c:pt>
                <c:pt idx="449">
                  <c:v>40</c:v>
                </c:pt>
                <c:pt idx="450">
                  <c:v>40</c:v>
                </c:pt>
                <c:pt idx="451">
                  <c:v>30</c:v>
                </c:pt>
                <c:pt idx="452">
                  <c:v>25</c:v>
                </c:pt>
                <c:pt idx="453">
                  <c:v>50</c:v>
                </c:pt>
                <c:pt idx="454">
                  <c:v>40</c:v>
                </c:pt>
                <c:pt idx="455">
                  <c:v>55</c:v>
                </c:pt>
                <c:pt idx="456">
                  <c:v>40</c:v>
                </c:pt>
                <c:pt idx="457">
                  <c:v>40</c:v>
                </c:pt>
                <c:pt idx="458">
                  <c:v>37</c:v>
                </c:pt>
                <c:pt idx="459">
                  <c:v>40</c:v>
                </c:pt>
                <c:pt idx="460">
                  <c:v>70</c:v>
                </c:pt>
                <c:pt idx="461">
                  <c:v>40</c:v>
                </c:pt>
                <c:pt idx="462">
                  <c:v>30</c:v>
                </c:pt>
                <c:pt idx="463">
                  <c:v>40</c:v>
                </c:pt>
                <c:pt idx="464">
                  <c:v>50</c:v>
                </c:pt>
                <c:pt idx="465">
                  <c:v>40</c:v>
                </c:pt>
                <c:pt idx="466">
                  <c:v>40</c:v>
                </c:pt>
                <c:pt idx="467">
                  <c:v>20</c:v>
                </c:pt>
                <c:pt idx="468">
                  <c:v>50</c:v>
                </c:pt>
                <c:pt idx="469">
                  <c:v>35</c:v>
                </c:pt>
                <c:pt idx="470">
                  <c:v>38</c:v>
                </c:pt>
                <c:pt idx="471">
                  <c:v>15</c:v>
                </c:pt>
                <c:pt idx="472">
                  <c:v>45</c:v>
                </c:pt>
                <c:pt idx="473">
                  <c:v>40</c:v>
                </c:pt>
                <c:pt idx="474">
                  <c:v>40</c:v>
                </c:pt>
                <c:pt idx="475">
                  <c:v>4</c:v>
                </c:pt>
                <c:pt idx="476">
                  <c:v>30</c:v>
                </c:pt>
                <c:pt idx="477">
                  <c:v>40</c:v>
                </c:pt>
                <c:pt idx="478">
                  <c:v>65</c:v>
                </c:pt>
                <c:pt idx="479">
                  <c:v>40</c:v>
                </c:pt>
                <c:pt idx="480">
                  <c:v>40</c:v>
                </c:pt>
                <c:pt idx="481">
                  <c:v>40</c:v>
                </c:pt>
                <c:pt idx="482">
                  <c:v>20</c:v>
                </c:pt>
                <c:pt idx="483">
                  <c:v>99</c:v>
                </c:pt>
                <c:pt idx="484">
                  <c:v>40</c:v>
                </c:pt>
                <c:pt idx="485">
                  <c:v>20</c:v>
                </c:pt>
                <c:pt idx="486">
                  <c:v>40</c:v>
                </c:pt>
                <c:pt idx="487">
                  <c:v>60</c:v>
                </c:pt>
                <c:pt idx="488">
                  <c:v>50</c:v>
                </c:pt>
                <c:pt idx="489">
                  <c:v>70</c:v>
                </c:pt>
                <c:pt idx="490">
                  <c:v>40</c:v>
                </c:pt>
                <c:pt idx="491">
                  <c:v>40</c:v>
                </c:pt>
                <c:pt idx="492">
                  <c:v>60</c:v>
                </c:pt>
                <c:pt idx="493">
                  <c:v>20</c:v>
                </c:pt>
                <c:pt idx="494">
                  <c:v>45</c:v>
                </c:pt>
                <c:pt idx="495">
                  <c:v>50</c:v>
                </c:pt>
                <c:pt idx="496">
                  <c:v>48</c:v>
                </c:pt>
                <c:pt idx="497">
                  <c:v>40</c:v>
                </c:pt>
                <c:pt idx="498">
                  <c:v>40</c:v>
                </c:pt>
                <c:pt idx="499">
                  <c:v>40</c:v>
                </c:pt>
                <c:pt idx="500">
                  <c:v>40</c:v>
                </c:pt>
                <c:pt idx="501">
                  <c:v>60</c:v>
                </c:pt>
                <c:pt idx="502">
                  <c:v>65</c:v>
                </c:pt>
                <c:pt idx="503">
                  <c:v>40</c:v>
                </c:pt>
                <c:pt idx="504">
                  <c:v>70</c:v>
                </c:pt>
                <c:pt idx="505">
                  <c:v>20</c:v>
                </c:pt>
                <c:pt idx="506">
                  <c:v>40</c:v>
                </c:pt>
                <c:pt idx="507">
                  <c:v>60</c:v>
                </c:pt>
                <c:pt idx="508">
                  <c:v>45</c:v>
                </c:pt>
                <c:pt idx="509">
                  <c:v>50</c:v>
                </c:pt>
                <c:pt idx="510">
                  <c:v>20</c:v>
                </c:pt>
                <c:pt idx="511">
                  <c:v>40</c:v>
                </c:pt>
                <c:pt idx="512">
                  <c:v>50</c:v>
                </c:pt>
                <c:pt idx="513">
                  <c:v>30</c:v>
                </c:pt>
                <c:pt idx="514">
                  <c:v>45</c:v>
                </c:pt>
                <c:pt idx="515">
                  <c:v>75</c:v>
                </c:pt>
                <c:pt idx="516">
                  <c:v>40</c:v>
                </c:pt>
                <c:pt idx="517">
                  <c:v>45</c:v>
                </c:pt>
                <c:pt idx="518">
                  <c:v>38</c:v>
                </c:pt>
                <c:pt idx="519">
                  <c:v>40</c:v>
                </c:pt>
                <c:pt idx="520">
                  <c:v>44</c:v>
                </c:pt>
                <c:pt idx="521">
                  <c:v>53</c:v>
                </c:pt>
                <c:pt idx="522">
                  <c:v>40</c:v>
                </c:pt>
                <c:pt idx="523">
                  <c:v>20</c:v>
                </c:pt>
                <c:pt idx="524">
                  <c:v>40</c:v>
                </c:pt>
                <c:pt idx="525">
                  <c:v>20</c:v>
                </c:pt>
                <c:pt idx="526">
                  <c:v>40</c:v>
                </c:pt>
                <c:pt idx="527">
                  <c:v>24</c:v>
                </c:pt>
                <c:pt idx="528">
                  <c:v>40</c:v>
                </c:pt>
                <c:pt idx="529">
                  <c:v>40</c:v>
                </c:pt>
                <c:pt idx="530">
                  <c:v>50</c:v>
                </c:pt>
                <c:pt idx="531">
                  <c:v>40</c:v>
                </c:pt>
                <c:pt idx="532">
                  <c:v>40</c:v>
                </c:pt>
                <c:pt idx="533">
                  <c:v>20</c:v>
                </c:pt>
                <c:pt idx="534">
                  <c:v>40</c:v>
                </c:pt>
                <c:pt idx="535">
                  <c:v>84</c:v>
                </c:pt>
                <c:pt idx="536">
                  <c:v>40</c:v>
                </c:pt>
                <c:pt idx="537">
                  <c:v>30</c:v>
                </c:pt>
                <c:pt idx="538">
                  <c:v>50</c:v>
                </c:pt>
                <c:pt idx="539">
                  <c:v>45</c:v>
                </c:pt>
                <c:pt idx="540">
                  <c:v>36</c:v>
                </c:pt>
                <c:pt idx="541">
                  <c:v>40</c:v>
                </c:pt>
                <c:pt idx="542">
                  <c:v>50</c:v>
                </c:pt>
                <c:pt idx="543">
                  <c:v>40</c:v>
                </c:pt>
                <c:pt idx="544">
                  <c:v>60</c:v>
                </c:pt>
                <c:pt idx="545">
                  <c:v>30</c:v>
                </c:pt>
                <c:pt idx="546">
                  <c:v>60</c:v>
                </c:pt>
                <c:pt idx="547">
                  <c:v>33</c:v>
                </c:pt>
                <c:pt idx="548">
                  <c:v>45</c:v>
                </c:pt>
                <c:pt idx="549">
                  <c:v>40</c:v>
                </c:pt>
                <c:pt idx="550">
                  <c:v>40</c:v>
                </c:pt>
                <c:pt idx="551">
                  <c:v>40</c:v>
                </c:pt>
                <c:pt idx="552">
                  <c:v>40</c:v>
                </c:pt>
                <c:pt idx="553">
                  <c:v>40</c:v>
                </c:pt>
                <c:pt idx="554">
                  <c:v>50</c:v>
                </c:pt>
                <c:pt idx="555">
                  <c:v>55</c:v>
                </c:pt>
                <c:pt idx="556">
                  <c:v>70</c:v>
                </c:pt>
                <c:pt idx="557">
                  <c:v>45</c:v>
                </c:pt>
                <c:pt idx="558">
                  <c:v>56</c:v>
                </c:pt>
                <c:pt idx="559">
                  <c:v>25</c:v>
                </c:pt>
                <c:pt idx="560">
                  <c:v>40</c:v>
                </c:pt>
                <c:pt idx="561">
                  <c:v>38</c:v>
                </c:pt>
                <c:pt idx="562">
                  <c:v>40</c:v>
                </c:pt>
                <c:pt idx="563">
                  <c:v>40</c:v>
                </c:pt>
                <c:pt idx="564">
                  <c:v>40</c:v>
                </c:pt>
                <c:pt idx="565">
                  <c:v>40</c:v>
                </c:pt>
                <c:pt idx="566">
                  <c:v>40</c:v>
                </c:pt>
                <c:pt idx="567">
                  <c:v>40</c:v>
                </c:pt>
                <c:pt idx="568">
                  <c:v>35</c:v>
                </c:pt>
                <c:pt idx="569">
                  <c:v>50</c:v>
                </c:pt>
                <c:pt idx="570">
                  <c:v>35</c:v>
                </c:pt>
                <c:pt idx="571">
                  <c:v>30</c:v>
                </c:pt>
                <c:pt idx="572">
                  <c:v>30</c:v>
                </c:pt>
                <c:pt idx="573">
                  <c:v>20</c:v>
                </c:pt>
                <c:pt idx="574">
                  <c:v>40</c:v>
                </c:pt>
                <c:pt idx="575">
                  <c:v>60</c:v>
                </c:pt>
                <c:pt idx="576">
                  <c:v>46</c:v>
                </c:pt>
                <c:pt idx="577">
                  <c:v>30</c:v>
                </c:pt>
                <c:pt idx="578">
                  <c:v>40</c:v>
                </c:pt>
                <c:pt idx="579">
                  <c:v>40</c:v>
                </c:pt>
                <c:pt idx="580">
                  <c:v>55</c:v>
                </c:pt>
                <c:pt idx="581">
                  <c:v>50</c:v>
                </c:pt>
                <c:pt idx="582">
                  <c:v>15</c:v>
                </c:pt>
                <c:pt idx="583">
                  <c:v>40</c:v>
                </c:pt>
                <c:pt idx="584">
                  <c:v>50</c:v>
                </c:pt>
                <c:pt idx="585">
                  <c:v>32</c:v>
                </c:pt>
                <c:pt idx="586">
                  <c:v>38</c:v>
                </c:pt>
                <c:pt idx="587">
                  <c:v>20</c:v>
                </c:pt>
                <c:pt idx="588">
                  <c:v>40</c:v>
                </c:pt>
                <c:pt idx="589">
                  <c:v>25</c:v>
                </c:pt>
                <c:pt idx="590">
                  <c:v>60</c:v>
                </c:pt>
                <c:pt idx="591">
                  <c:v>55</c:v>
                </c:pt>
                <c:pt idx="592">
                  <c:v>50</c:v>
                </c:pt>
                <c:pt idx="593">
                  <c:v>40</c:v>
                </c:pt>
                <c:pt idx="594">
                  <c:v>40</c:v>
                </c:pt>
                <c:pt idx="595">
                  <c:v>40</c:v>
                </c:pt>
                <c:pt idx="596">
                  <c:v>40</c:v>
                </c:pt>
                <c:pt idx="597">
                  <c:v>24</c:v>
                </c:pt>
                <c:pt idx="598">
                  <c:v>40</c:v>
                </c:pt>
                <c:pt idx="599">
                  <c:v>35</c:v>
                </c:pt>
                <c:pt idx="600">
                  <c:v>50</c:v>
                </c:pt>
                <c:pt idx="601">
                  <c:v>40</c:v>
                </c:pt>
                <c:pt idx="602">
                  <c:v>40</c:v>
                </c:pt>
                <c:pt idx="603">
                  <c:v>40</c:v>
                </c:pt>
                <c:pt idx="604">
                  <c:v>20</c:v>
                </c:pt>
                <c:pt idx="605">
                  <c:v>40</c:v>
                </c:pt>
                <c:pt idx="606">
                  <c:v>20</c:v>
                </c:pt>
                <c:pt idx="607">
                  <c:v>40</c:v>
                </c:pt>
                <c:pt idx="608">
                  <c:v>40</c:v>
                </c:pt>
                <c:pt idx="609">
                  <c:v>40</c:v>
                </c:pt>
                <c:pt idx="610">
                  <c:v>30</c:v>
                </c:pt>
                <c:pt idx="611">
                  <c:v>40</c:v>
                </c:pt>
                <c:pt idx="612">
                  <c:v>60</c:v>
                </c:pt>
                <c:pt idx="613">
                  <c:v>15</c:v>
                </c:pt>
                <c:pt idx="614">
                  <c:v>40</c:v>
                </c:pt>
                <c:pt idx="615">
                  <c:v>10</c:v>
                </c:pt>
                <c:pt idx="616">
                  <c:v>70</c:v>
                </c:pt>
                <c:pt idx="617">
                  <c:v>40</c:v>
                </c:pt>
                <c:pt idx="618">
                  <c:v>45</c:v>
                </c:pt>
                <c:pt idx="619">
                  <c:v>40</c:v>
                </c:pt>
                <c:pt idx="620">
                  <c:v>35</c:v>
                </c:pt>
                <c:pt idx="621">
                  <c:v>50</c:v>
                </c:pt>
                <c:pt idx="622">
                  <c:v>20</c:v>
                </c:pt>
                <c:pt idx="623">
                  <c:v>50</c:v>
                </c:pt>
                <c:pt idx="624">
                  <c:v>20</c:v>
                </c:pt>
                <c:pt idx="625">
                  <c:v>40</c:v>
                </c:pt>
                <c:pt idx="626">
                  <c:v>40</c:v>
                </c:pt>
                <c:pt idx="627">
                  <c:v>40</c:v>
                </c:pt>
                <c:pt idx="628">
                  <c:v>40</c:v>
                </c:pt>
                <c:pt idx="629">
                  <c:v>60</c:v>
                </c:pt>
                <c:pt idx="630">
                  <c:v>60</c:v>
                </c:pt>
                <c:pt idx="631">
                  <c:v>24</c:v>
                </c:pt>
                <c:pt idx="632">
                  <c:v>55</c:v>
                </c:pt>
                <c:pt idx="633">
                  <c:v>50</c:v>
                </c:pt>
                <c:pt idx="634">
                  <c:v>25</c:v>
                </c:pt>
                <c:pt idx="635">
                  <c:v>55</c:v>
                </c:pt>
                <c:pt idx="636">
                  <c:v>40</c:v>
                </c:pt>
                <c:pt idx="637">
                  <c:v>48</c:v>
                </c:pt>
                <c:pt idx="638">
                  <c:v>40</c:v>
                </c:pt>
                <c:pt idx="639">
                  <c:v>40</c:v>
                </c:pt>
                <c:pt idx="640">
                  <c:v>40</c:v>
                </c:pt>
                <c:pt idx="641">
                  <c:v>60</c:v>
                </c:pt>
                <c:pt idx="642">
                  <c:v>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49A-40DA-9CA5-1A3D63BEAD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2626544"/>
        <c:axId val="492627024"/>
      </c:scatterChart>
      <c:valAx>
        <c:axId val="4926265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Age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627024"/>
        <c:crosses val="autoZero"/>
        <c:crossBetween val="midCat"/>
      </c:valAx>
      <c:valAx>
        <c:axId val="492627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baseline="0">
                    <a:effectLst/>
                  </a:rPr>
                  <a:t>hours-per-week</a:t>
                </a:r>
                <a:r>
                  <a:rPr lang="en-US" sz="1000" b="0" i="0" u="none" strike="noStrike" baseline="0">
                    <a:effectLst/>
                  </a:rPr>
                  <a:t> 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6265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8a. </a:t>
            </a:r>
            <a:r>
              <a:rPr lang="en-US" sz="1400" b="0" i="0" u="none" strike="noStrike" baseline="0"/>
              <a:t>education-num vs hours-per-week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Scatter!$D$1</c:f>
              <c:strCache>
                <c:ptCount val="1"/>
                <c:pt idx="0">
                  <c:v>2hours-per-week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Scatter!$C$2:$C$644</c:f>
              <c:numCache>
                <c:formatCode>General</c:formatCode>
                <c:ptCount val="643"/>
                <c:pt idx="0">
                  <c:v>7</c:v>
                </c:pt>
                <c:pt idx="1">
                  <c:v>12</c:v>
                </c:pt>
                <c:pt idx="2">
                  <c:v>10</c:v>
                </c:pt>
                <c:pt idx="3">
                  <c:v>3</c:v>
                </c:pt>
                <c:pt idx="4">
                  <c:v>8</c:v>
                </c:pt>
                <c:pt idx="5">
                  <c:v>7</c:v>
                </c:pt>
                <c:pt idx="6">
                  <c:v>12</c:v>
                </c:pt>
                <c:pt idx="7">
                  <c:v>13</c:v>
                </c:pt>
                <c:pt idx="8">
                  <c:v>9</c:v>
                </c:pt>
                <c:pt idx="9">
                  <c:v>13</c:v>
                </c:pt>
                <c:pt idx="10">
                  <c:v>13</c:v>
                </c:pt>
                <c:pt idx="11">
                  <c:v>9</c:v>
                </c:pt>
                <c:pt idx="12">
                  <c:v>10</c:v>
                </c:pt>
                <c:pt idx="13">
                  <c:v>10</c:v>
                </c:pt>
                <c:pt idx="14">
                  <c:v>9</c:v>
                </c:pt>
                <c:pt idx="15">
                  <c:v>10</c:v>
                </c:pt>
                <c:pt idx="16">
                  <c:v>10</c:v>
                </c:pt>
                <c:pt idx="17">
                  <c:v>9</c:v>
                </c:pt>
                <c:pt idx="18">
                  <c:v>14</c:v>
                </c:pt>
                <c:pt idx="19">
                  <c:v>9</c:v>
                </c:pt>
                <c:pt idx="20">
                  <c:v>13</c:v>
                </c:pt>
                <c:pt idx="21">
                  <c:v>9</c:v>
                </c:pt>
                <c:pt idx="22">
                  <c:v>10</c:v>
                </c:pt>
                <c:pt idx="23">
                  <c:v>10</c:v>
                </c:pt>
                <c:pt idx="24">
                  <c:v>6</c:v>
                </c:pt>
                <c:pt idx="25">
                  <c:v>7</c:v>
                </c:pt>
                <c:pt idx="26">
                  <c:v>11</c:v>
                </c:pt>
                <c:pt idx="27">
                  <c:v>3</c:v>
                </c:pt>
                <c:pt idx="28">
                  <c:v>13</c:v>
                </c:pt>
                <c:pt idx="29">
                  <c:v>13</c:v>
                </c:pt>
                <c:pt idx="30">
                  <c:v>10</c:v>
                </c:pt>
                <c:pt idx="31">
                  <c:v>7</c:v>
                </c:pt>
                <c:pt idx="32">
                  <c:v>9</c:v>
                </c:pt>
                <c:pt idx="33">
                  <c:v>9</c:v>
                </c:pt>
                <c:pt idx="34">
                  <c:v>9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11</c:v>
                </c:pt>
                <c:pt idx="40">
                  <c:v>10</c:v>
                </c:pt>
                <c:pt idx="41">
                  <c:v>10</c:v>
                </c:pt>
                <c:pt idx="42">
                  <c:v>11</c:v>
                </c:pt>
                <c:pt idx="43">
                  <c:v>10</c:v>
                </c:pt>
                <c:pt idx="44">
                  <c:v>9</c:v>
                </c:pt>
                <c:pt idx="45">
                  <c:v>9</c:v>
                </c:pt>
                <c:pt idx="46">
                  <c:v>6</c:v>
                </c:pt>
                <c:pt idx="47">
                  <c:v>13</c:v>
                </c:pt>
                <c:pt idx="48">
                  <c:v>13</c:v>
                </c:pt>
                <c:pt idx="49">
                  <c:v>10</c:v>
                </c:pt>
                <c:pt idx="50">
                  <c:v>15</c:v>
                </c:pt>
                <c:pt idx="51">
                  <c:v>11</c:v>
                </c:pt>
                <c:pt idx="52">
                  <c:v>9</c:v>
                </c:pt>
                <c:pt idx="53">
                  <c:v>14</c:v>
                </c:pt>
                <c:pt idx="54">
                  <c:v>13</c:v>
                </c:pt>
                <c:pt idx="55">
                  <c:v>10</c:v>
                </c:pt>
                <c:pt idx="56">
                  <c:v>13</c:v>
                </c:pt>
                <c:pt idx="57">
                  <c:v>9</c:v>
                </c:pt>
                <c:pt idx="58">
                  <c:v>9</c:v>
                </c:pt>
                <c:pt idx="59">
                  <c:v>7</c:v>
                </c:pt>
                <c:pt idx="60">
                  <c:v>9</c:v>
                </c:pt>
                <c:pt idx="61">
                  <c:v>13</c:v>
                </c:pt>
                <c:pt idx="62">
                  <c:v>10</c:v>
                </c:pt>
                <c:pt idx="63">
                  <c:v>14</c:v>
                </c:pt>
                <c:pt idx="64">
                  <c:v>13</c:v>
                </c:pt>
                <c:pt idx="65">
                  <c:v>10</c:v>
                </c:pt>
                <c:pt idx="66">
                  <c:v>13</c:v>
                </c:pt>
                <c:pt idx="67">
                  <c:v>13</c:v>
                </c:pt>
                <c:pt idx="68">
                  <c:v>13</c:v>
                </c:pt>
                <c:pt idx="69">
                  <c:v>6</c:v>
                </c:pt>
                <c:pt idx="70">
                  <c:v>6</c:v>
                </c:pt>
                <c:pt idx="71">
                  <c:v>13</c:v>
                </c:pt>
                <c:pt idx="72">
                  <c:v>10</c:v>
                </c:pt>
                <c:pt idx="73">
                  <c:v>11</c:v>
                </c:pt>
                <c:pt idx="74">
                  <c:v>9</c:v>
                </c:pt>
                <c:pt idx="75">
                  <c:v>1</c:v>
                </c:pt>
                <c:pt idx="76">
                  <c:v>9</c:v>
                </c:pt>
                <c:pt idx="77">
                  <c:v>9</c:v>
                </c:pt>
                <c:pt idx="78">
                  <c:v>9</c:v>
                </c:pt>
                <c:pt idx="79">
                  <c:v>9</c:v>
                </c:pt>
                <c:pt idx="80">
                  <c:v>9</c:v>
                </c:pt>
                <c:pt idx="81">
                  <c:v>10</c:v>
                </c:pt>
                <c:pt idx="82">
                  <c:v>9</c:v>
                </c:pt>
                <c:pt idx="83">
                  <c:v>9</c:v>
                </c:pt>
                <c:pt idx="84">
                  <c:v>7</c:v>
                </c:pt>
                <c:pt idx="85">
                  <c:v>10</c:v>
                </c:pt>
                <c:pt idx="86">
                  <c:v>9</c:v>
                </c:pt>
                <c:pt idx="87">
                  <c:v>10</c:v>
                </c:pt>
                <c:pt idx="88">
                  <c:v>9</c:v>
                </c:pt>
                <c:pt idx="89">
                  <c:v>9</c:v>
                </c:pt>
                <c:pt idx="90">
                  <c:v>9</c:v>
                </c:pt>
                <c:pt idx="91">
                  <c:v>11</c:v>
                </c:pt>
                <c:pt idx="92">
                  <c:v>10</c:v>
                </c:pt>
                <c:pt idx="93">
                  <c:v>9</c:v>
                </c:pt>
                <c:pt idx="94">
                  <c:v>12</c:v>
                </c:pt>
                <c:pt idx="95">
                  <c:v>9</c:v>
                </c:pt>
                <c:pt idx="96">
                  <c:v>13</c:v>
                </c:pt>
                <c:pt idx="97">
                  <c:v>9</c:v>
                </c:pt>
                <c:pt idx="98">
                  <c:v>15</c:v>
                </c:pt>
                <c:pt idx="99">
                  <c:v>9</c:v>
                </c:pt>
                <c:pt idx="100">
                  <c:v>12</c:v>
                </c:pt>
                <c:pt idx="101">
                  <c:v>10</c:v>
                </c:pt>
                <c:pt idx="102">
                  <c:v>11</c:v>
                </c:pt>
                <c:pt idx="103">
                  <c:v>9</c:v>
                </c:pt>
                <c:pt idx="104">
                  <c:v>9</c:v>
                </c:pt>
                <c:pt idx="105">
                  <c:v>10</c:v>
                </c:pt>
                <c:pt idx="106">
                  <c:v>9</c:v>
                </c:pt>
                <c:pt idx="107">
                  <c:v>9</c:v>
                </c:pt>
                <c:pt idx="108">
                  <c:v>10</c:v>
                </c:pt>
                <c:pt idx="109">
                  <c:v>11</c:v>
                </c:pt>
                <c:pt idx="110">
                  <c:v>6</c:v>
                </c:pt>
                <c:pt idx="111">
                  <c:v>10</c:v>
                </c:pt>
                <c:pt idx="112">
                  <c:v>13</c:v>
                </c:pt>
                <c:pt idx="113">
                  <c:v>4</c:v>
                </c:pt>
                <c:pt idx="114">
                  <c:v>13</c:v>
                </c:pt>
                <c:pt idx="115">
                  <c:v>3</c:v>
                </c:pt>
                <c:pt idx="116">
                  <c:v>14</c:v>
                </c:pt>
                <c:pt idx="117">
                  <c:v>10</c:v>
                </c:pt>
                <c:pt idx="118">
                  <c:v>9</c:v>
                </c:pt>
                <c:pt idx="119">
                  <c:v>10</c:v>
                </c:pt>
                <c:pt idx="120">
                  <c:v>13</c:v>
                </c:pt>
                <c:pt idx="121">
                  <c:v>9</c:v>
                </c:pt>
                <c:pt idx="122">
                  <c:v>10</c:v>
                </c:pt>
                <c:pt idx="123">
                  <c:v>6</c:v>
                </c:pt>
                <c:pt idx="124">
                  <c:v>10</c:v>
                </c:pt>
                <c:pt idx="125">
                  <c:v>9</c:v>
                </c:pt>
                <c:pt idx="126">
                  <c:v>11</c:v>
                </c:pt>
                <c:pt idx="127">
                  <c:v>9</c:v>
                </c:pt>
                <c:pt idx="128">
                  <c:v>13</c:v>
                </c:pt>
                <c:pt idx="129">
                  <c:v>10</c:v>
                </c:pt>
                <c:pt idx="130">
                  <c:v>10</c:v>
                </c:pt>
                <c:pt idx="131">
                  <c:v>9</c:v>
                </c:pt>
                <c:pt idx="132">
                  <c:v>15</c:v>
                </c:pt>
                <c:pt idx="133">
                  <c:v>14</c:v>
                </c:pt>
                <c:pt idx="134">
                  <c:v>9</c:v>
                </c:pt>
                <c:pt idx="135">
                  <c:v>7</c:v>
                </c:pt>
                <c:pt idx="136">
                  <c:v>10</c:v>
                </c:pt>
                <c:pt idx="137">
                  <c:v>10</c:v>
                </c:pt>
                <c:pt idx="138">
                  <c:v>13</c:v>
                </c:pt>
                <c:pt idx="139">
                  <c:v>9</c:v>
                </c:pt>
                <c:pt idx="140">
                  <c:v>10</c:v>
                </c:pt>
                <c:pt idx="141">
                  <c:v>9</c:v>
                </c:pt>
                <c:pt idx="142">
                  <c:v>13</c:v>
                </c:pt>
                <c:pt idx="143">
                  <c:v>15</c:v>
                </c:pt>
                <c:pt idx="144">
                  <c:v>11</c:v>
                </c:pt>
                <c:pt idx="145">
                  <c:v>9</c:v>
                </c:pt>
                <c:pt idx="146">
                  <c:v>13</c:v>
                </c:pt>
                <c:pt idx="147">
                  <c:v>9</c:v>
                </c:pt>
                <c:pt idx="148">
                  <c:v>10</c:v>
                </c:pt>
                <c:pt idx="149">
                  <c:v>9</c:v>
                </c:pt>
                <c:pt idx="150">
                  <c:v>9</c:v>
                </c:pt>
                <c:pt idx="151">
                  <c:v>9</c:v>
                </c:pt>
                <c:pt idx="152">
                  <c:v>9</c:v>
                </c:pt>
                <c:pt idx="153">
                  <c:v>9</c:v>
                </c:pt>
                <c:pt idx="154">
                  <c:v>13</c:v>
                </c:pt>
                <c:pt idx="155">
                  <c:v>9</c:v>
                </c:pt>
                <c:pt idx="156">
                  <c:v>13</c:v>
                </c:pt>
                <c:pt idx="157">
                  <c:v>13</c:v>
                </c:pt>
                <c:pt idx="158">
                  <c:v>9</c:v>
                </c:pt>
                <c:pt idx="159">
                  <c:v>10</c:v>
                </c:pt>
                <c:pt idx="160">
                  <c:v>9</c:v>
                </c:pt>
                <c:pt idx="161">
                  <c:v>11</c:v>
                </c:pt>
                <c:pt idx="162">
                  <c:v>13</c:v>
                </c:pt>
                <c:pt idx="163">
                  <c:v>4</c:v>
                </c:pt>
                <c:pt idx="164">
                  <c:v>13</c:v>
                </c:pt>
                <c:pt idx="165">
                  <c:v>15</c:v>
                </c:pt>
                <c:pt idx="166">
                  <c:v>7</c:v>
                </c:pt>
                <c:pt idx="167">
                  <c:v>9</c:v>
                </c:pt>
                <c:pt idx="168">
                  <c:v>11</c:v>
                </c:pt>
                <c:pt idx="169">
                  <c:v>13</c:v>
                </c:pt>
                <c:pt idx="170">
                  <c:v>9</c:v>
                </c:pt>
                <c:pt idx="171">
                  <c:v>10</c:v>
                </c:pt>
                <c:pt idx="172">
                  <c:v>13</c:v>
                </c:pt>
                <c:pt idx="173">
                  <c:v>13</c:v>
                </c:pt>
                <c:pt idx="174">
                  <c:v>10</c:v>
                </c:pt>
                <c:pt idx="175">
                  <c:v>6</c:v>
                </c:pt>
                <c:pt idx="176">
                  <c:v>13</c:v>
                </c:pt>
                <c:pt idx="177">
                  <c:v>11</c:v>
                </c:pt>
                <c:pt idx="178">
                  <c:v>9</c:v>
                </c:pt>
                <c:pt idx="179">
                  <c:v>9</c:v>
                </c:pt>
                <c:pt idx="180">
                  <c:v>9</c:v>
                </c:pt>
                <c:pt idx="181">
                  <c:v>6</c:v>
                </c:pt>
                <c:pt idx="182">
                  <c:v>9</c:v>
                </c:pt>
                <c:pt idx="183">
                  <c:v>13</c:v>
                </c:pt>
                <c:pt idx="184">
                  <c:v>9</c:v>
                </c:pt>
                <c:pt idx="185">
                  <c:v>9</c:v>
                </c:pt>
                <c:pt idx="186">
                  <c:v>9</c:v>
                </c:pt>
                <c:pt idx="187">
                  <c:v>10</c:v>
                </c:pt>
                <c:pt idx="188">
                  <c:v>7</c:v>
                </c:pt>
                <c:pt idx="189">
                  <c:v>9</c:v>
                </c:pt>
                <c:pt idx="190">
                  <c:v>9</c:v>
                </c:pt>
                <c:pt idx="191">
                  <c:v>10</c:v>
                </c:pt>
                <c:pt idx="192">
                  <c:v>16</c:v>
                </c:pt>
                <c:pt idx="193">
                  <c:v>4</c:v>
                </c:pt>
                <c:pt idx="194">
                  <c:v>5</c:v>
                </c:pt>
                <c:pt idx="195">
                  <c:v>9</c:v>
                </c:pt>
                <c:pt idx="196">
                  <c:v>9</c:v>
                </c:pt>
                <c:pt idx="197">
                  <c:v>6</c:v>
                </c:pt>
                <c:pt idx="198">
                  <c:v>9</c:v>
                </c:pt>
                <c:pt idx="199">
                  <c:v>10</c:v>
                </c:pt>
                <c:pt idx="200">
                  <c:v>9</c:v>
                </c:pt>
                <c:pt idx="201">
                  <c:v>13</c:v>
                </c:pt>
                <c:pt idx="202">
                  <c:v>10</c:v>
                </c:pt>
                <c:pt idx="203">
                  <c:v>2</c:v>
                </c:pt>
                <c:pt idx="204">
                  <c:v>9</c:v>
                </c:pt>
                <c:pt idx="205">
                  <c:v>12</c:v>
                </c:pt>
                <c:pt idx="206">
                  <c:v>13</c:v>
                </c:pt>
                <c:pt idx="207">
                  <c:v>13</c:v>
                </c:pt>
                <c:pt idx="208">
                  <c:v>10</c:v>
                </c:pt>
                <c:pt idx="209">
                  <c:v>5</c:v>
                </c:pt>
                <c:pt idx="210">
                  <c:v>9</c:v>
                </c:pt>
                <c:pt idx="211">
                  <c:v>12</c:v>
                </c:pt>
                <c:pt idx="212">
                  <c:v>9</c:v>
                </c:pt>
                <c:pt idx="213">
                  <c:v>9</c:v>
                </c:pt>
                <c:pt idx="214">
                  <c:v>13</c:v>
                </c:pt>
                <c:pt idx="215">
                  <c:v>10</c:v>
                </c:pt>
                <c:pt idx="216">
                  <c:v>10</c:v>
                </c:pt>
                <c:pt idx="217">
                  <c:v>13</c:v>
                </c:pt>
                <c:pt idx="218">
                  <c:v>9</c:v>
                </c:pt>
                <c:pt idx="219">
                  <c:v>14</c:v>
                </c:pt>
                <c:pt idx="220">
                  <c:v>9</c:v>
                </c:pt>
                <c:pt idx="221">
                  <c:v>9</c:v>
                </c:pt>
                <c:pt idx="222">
                  <c:v>13</c:v>
                </c:pt>
                <c:pt idx="223">
                  <c:v>9</c:v>
                </c:pt>
                <c:pt idx="224">
                  <c:v>9</c:v>
                </c:pt>
                <c:pt idx="225">
                  <c:v>9</c:v>
                </c:pt>
                <c:pt idx="226">
                  <c:v>9</c:v>
                </c:pt>
                <c:pt idx="227">
                  <c:v>13</c:v>
                </c:pt>
                <c:pt idx="228">
                  <c:v>12</c:v>
                </c:pt>
                <c:pt idx="229">
                  <c:v>10</c:v>
                </c:pt>
                <c:pt idx="230">
                  <c:v>9</c:v>
                </c:pt>
                <c:pt idx="231">
                  <c:v>12</c:v>
                </c:pt>
                <c:pt idx="232">
                  <c:v>9</c:v>
                </c:pt>
                <c:pt idx="233">
                  <c:v>13</c:v>
                </c:pt>
                <c:pt idx="234">
                  <c:v>13</c:v>
                </c:pt>
                <c:pt idx="235">
                  <c:v>11</c:v>
                </c:pt>
                <c:pt idx="236">
                  <c:v>10</c:v>
                </c:pt>
                <c:pt idx="237">
                  <c:v>7</c:v>
                </c:pt>
                <c:pt idx="238">
                  <c:v>13</c:v>
                </c:pt>
                <c:pt idx="239">
                  <c:v>9</c:v>
                </c:pt>
                <c:pt idx="240">
                  <c:v>9</c:v>
                </c:pt>
                <c:pt idx="241">
                  <c:v>10</c:v>
                </c:pt>
                <c:pt idx="242">
                  <c:v>6</c:v>
                </c:pt>
                <c:pt idx="243">
                  <c:v>13</c:v>
                </c:pt>
                <c:pt idx="244">
                  <c:v>9</c:v>
                </c:pt>
                <c:pt idx="245">
                  <c:v>9</c:v>
                </c:pt>
                <c:pt idx="246">
                  <c:v>10</c:v>
                </c:pt>
                <c:pt idx="247">
                  <c:v>9</c:v>
                </c:pt>
                <c:pt idx="248">
                  <c:v>13</c:v>
                </c:pt>
                <c:pt idx="249">
                  <c:v>9</c:v>
                </c:pt>
                <c:pt idx="250">
                  <c:v>13</c:v>
                </c:pt>
                <c:pt idx="251">
                  <c:v>7</c:v>
                </c:pt>
                <c:pt idx="252">
                  <c:v>10</c:v>
                </c:pt>
                <c:pt idx="253">
                  <c:v>10</c:v>
                </c:pt>
                <c:pt idx="254">
                  <c:v>13</c:v>
                </c:pt>
                <c:pt idx="255">
                  <c:v>13</c:v>
                </c:pt>
                <c:pt idx="256">
                  <c:v>13</c:v>
                </c:pt>
                <c:pt idx="257">
                  <c:v>9</c:v>
                </c:pt>
                <c:pt idx="258">
                  <c:v>9</c:v>
                </c:pt>
                <c:pt idx="259">
                  <c:v>10</c:v>
                </c:pt>
                <c:pt idx="260">
                  <c:v>14</c:v>
                </c:pt>
                <c:pt idx="261">
                  <c:v>10</c:v>
                </c:pt>
                <c:pt idx="262">
                  <c:v>15</c:v>
                </c:pt>
                <c:pt idx="263">
                  <c:v>9</c:v>
                </c:pt>
                <c:pt idx="264">
                  <c:v>14</c:v>
                </c:pt>
                <c:pt idx="265">
                  <c:v>11</c:v>
                </c:pt>
                <c:pt idx="266">
                  <c:v>9</c:v>
                </c:pt>
                <c:pt idx="267">
                  <c:v>12</c:v>
                </c:pt>
                <c:pt idx="268">
                  <c:v>10</c:v>
                </c:pt>
                <c:pt idx="269">
                  <c:v>9</c:v>
                </c:pt>
                <c:pt idx="270">
                  <c:v>10</c:v>
                </c:pt>
                <c:pt idx="271">
                  <c:v>13</c:v>
                </c:pt>
                <c:pt idx="272">
                  <c:v>9</c:v>
                </c:pt>
                <c:pt idx="273">
                  <c:v>13</c:v>
                </c:pt>
                <c:pt idx="274">
                  <c:v>10</c:v>
                </c:pt>
                <c:pt idx="275">
                  <c:v>9</c:v>
                </c:pt>
                <c:pt idx="276">
                  <c:v>9</c:v>
                </c:pt>
                <c:pt idx="277">
                  <c:v>13</c:v>
                </c:pt>
                <c:pt idx="278">
                  <c:v>9</c:v>
                </c:pt>
                <c:pt idx="279">
                  <c:v>9</c:v>
                </c:pt>
                <c:pt idx="280">
                  <c:v>9</c:v>
                </c:pt>
                <c:pt idx="281">
                  <c:v>9</c:v>
                </c:pt>
                <c:pt idx="282">
                  <c:v>7</c:v>
                </c:pt>
                <c:pt idx="283">
                  <c:v>13</c:v>
                </c:pt>
                <c:pt idx="284">
                  <c:v>9</c:v>
                </c:pt>
                <c:pt idx="285">
                  <c:v>9</c:v>
                </c:pt>
                <c:pt idx="286">
                  <c:v>13</c:v>
                </c:pt>
                <c:pt idx="287">
                  <c:v>9</c:v>
                </c:pt>
                <c:pt idx="288">
                  <c:v>9</c:v>
                </c:pt>
                <c:pt idx="289">
                  <c:v>9</c:v>
                </c:pt>
                <c:pt idx="290">
                  <c:v>11</c:v>
                </c:pt>
                <c:pt idx="291">
                  <c:v>10</c:v>
                </c:pt>
                <c:pt idx="292">
                  <c:v>11</c:v>
                </c:pt>
                <c:pt idx="293">
                  <c:v>9</c:v>
                </c:pt>
                <c:pt idx="294">
                  <c:v>9</c:v>
                </c:pt>
                <c:pt idx="295">
                  <c:v>10</c:v>
                </c:pt>
                <c:pt idx="296">
                  <c:v>9</c:v>
                </c:pt>
                <c:pt idx="297">
                  <c:v>7</c:v>
                </c:pt>
                <c:pt idx="298">
                  <c:v>9</c:v>
                </c:pt>
                <c:pt idx="299">
                  <c:v>11</c:v>
                </c:pt>
                <c:pt idx="300">
                  <c:v>9</c:v>
                </c:pt>
                <c:pt idx="301">
                  <c:v>13</c:v>
                </c:pt>
                <c:pt idx="302">
                  <c:v>5</c:v>
                </c:pt>
                <c:pt idx="303">
                  <c:v>6</c:v>
                </c:pt>
                <c:pt idx="304">
                  <c:v>9</c:v>
                </c:pt>
                <c:pt idx="305">
                  <c:v>11</c:v>
                </c:pt>
                <c:pt idx="306">
                  <c:v>12</c:v>
                </c:pt>
                <c:pt idx="307">
                  <c:v>13</c:v>
                </c:pt>
                <c:pt idx="308">
                  <c:v>12</c:v>
                </c:pt>
                <c:pt idx="309">
                  <c:v>16</c:v>
                </c:pt>
                <c:pt idx="310">
                  <c:v>9</c:v>
                </c:pt>
                <c:pt idx="311">
                  <c:v>9</c:v>
                </c:pt>
                <c:pt idx="312">
                  <c:v>14</c:v>
                </c:pt>
                <c:pt idx="313">
                  <c:v>12</c:v>
                </c:pt>
                <c:pt idx="314">
                  <c:v>9</c:v>
                </c:pt>
                <c:pt idx="315">
                  <c:v>9</c:v>
                </c:pt>
                <c:pt idx="316">
                  <c:v>13</c:v>
                </c:pt>
                <c:pt idx="317">
                  <c:v>9</c:v>
                </c:pt>
                <c:pt idx="318">
                  <c:v>9</c:v>
                </c:pt>
                <c:pt idx="319">
                  <c:v>9</c:v>
                </c:pt>
                <c:pt idx="320">
                  <c:v>9</c:v>
                </c:pt>
                <c:pt idx="321">
                  <c:v>10</c:v>
                </c:pt>
                <c:pt idx="322">
                  <c:v>13</c:v>
                </c:pt>
                <c:pt idx="323">
                  <c:v>9</c:v>
                </c:pt>
                <c:pt idx="324">
                  <c:v>8</c:v>
                </c:pt>
                <c:pt idx="325">
                  <c:v>14</c:v>
                </c:pt>
                <c:pt idx="326">
                  <c:v>9</c:v>
                </c:pt>
                <c:pt idx="327">
                  <c:v>9</c:v>
                </c:pt>
                <c:pt idx="328">
                  <c:v>9</c:v>
                </c:pt>
                <c:pt idx="329">
                  <c:v>9</c:v>
                </c:pt>
                <c:pt idx="330">
                  <c:v>5</c:v>
                </c:pt>
                <c:pt idx="331">
                  <c:v>12</c:v>
                </c:pt>
                <c:pt idx="332">
                  <c:v>9</c:v>
                </c:pt>
                <c:pt idx="333">
                  <c:v>9</c:v>
                </c:pt>
                <c:pt idx="334">
                  <c:v>13</c:v>
                </c:pt>
                <c:pt idx="335">
                  <c:v>11</c:v>
                </c:pt>
                <c:pt idx="336">
                  <c:v>13</c:v>
                </c:pt>
                <c:pt idx="337">
                  <c:v>10</c:v>
                </c:pt>
                <c:pt idx="338">
                  <c:v>8</c:v>
                </c:pt>
                <c:pt idx="339">
                  <c:v>4</c:v>
                </c:pt>
                <c:pt idx="340">
                  <c:v>12</c:v>
                </c:pt>
                <c:pt idx="341">
                  <c:v>16</c:v>
                </c:pt>
                <c:pt idx="342">
                  <c:v>11</c:v>
                </c:pt>
                <c:pt idx="343">
                  <c:v>9</c:v>
                </c:pt>
                <c:pt idx="344">
                  <c:v>9</c:v>
                </c:pt>
                <c:pt idx="345">
                  <c:v>9</c:v>
                </c:pt>
                <c:pt idx="346">
                  <c:v>12</c:v>
                </c:pt>
                <c:pt idx="347">
                  <c:v>10</c:v>
                </c:pt>
                <c:pt idx="348">
                  <c:v>9</c:v>
                </c:pt>
                <c:pt idx="349">
                  <c:v>13</c:v>
                </c:pt>
                <c:pt idx="350">
                  <c:v>10</c:v>
                </c:pt>
                <c:pt idx="351">
                  <c:v>12</c:v>
                </c:pt>
                <c:pt idx="352">
                  <c:v>11</c:v>
                </c:pt>
                <c:pt idx="353">
                  <c:v>7</c:v>
                </c:pt>
                <c:pt idx="354">
                  <c:v>9</c:v>
                </c:pt>
                <c:pt idx="355">
                  <c:v>9</c:v>
                </c:pt>
                <c:pt idx="356">
                  <c:v>9</c:v>
                </c:pt>
                <c:pt idx="357">
                  <c:v>13</c:v>
                </c:pt>
                <c:pt idx="358">
                  <c:v>13</c:v>
                </c:pt>
                <c:pt idx="359">
                  <c:v>13</c:v>
                </c:pt>
                <c:pt idx="360">
                  <c:v>10</c:v>
                </c:pt>
                <c:pt idx="361">
                  <c:v>12</c:v>
                </c:pt>
                <c:pt idx="362">
                  <c:v>7</c:v>
                </c:pt>
                <c:pt idx="363">
                  <c:v>9</c:v>
                </c:pt>
                <c:pt idx="364">
                  <c:v>9</c:v>
                </c:pt>
                <c:pt idx="365">
                  <c:v>6</c:v>
                </c:pt>
                <c:pt idx="366">
                  <c:v>7</c:v>
                </c:pt>
                <c:pt idx="367">
                  <c:v>13</c:v>
                </c:pt>
                <c:pt idx="368">
                  <c:v>14</c:v>
                </c:pt>
                <c:pt idx="369">
                  <c:v>10</c:v>
                </c:pt>
                <c:pt idx="370">
                  <c:v>10</c:v>
                </c:pt>
                <c:pt idx="371">
                  <c:v>13</c:v>
                </c:pt>
                <c:pt idx="372">
                  <c:v>13</c:v>
                </c:pt>
                <c:pt idx="373">
                  <c:v>9</c:v>
                </c:pt>
                <c:pt idx="374">
                  <c:v>3</c:v>
                </c:pt>
                <c:pt idx="375">
                  <c:v>10</c:v>
                </c:pt>
                <c:pt idx="376">
                  <c:v>6</c:v>
                </c:pt>
                <c:pt idx="377">
                  <c:v>7</c:v>
                </c:pt>
                <c:pt idx="378">
                  <c:v>5</c:v>
                </c:pt>
                <c:pt idx="379">
                  <c:v>13</c:v>
                </c:pt>
                <c:pt idx="380">
                  <c:v>9</c:v>
                </c:pt>
                <c:pt idx="381">
                  <c:v>11</c:v>
                </c:pt>
                <c:pt idx="382">
                  <c:v>11</c:v>
                </c:pt>
                <c:pt idx="383">
                  <c:v>10</c:v>
                </c:pt>
                <c:pt idx="384">
                  <c:v>9</c:v>
                </c:pt>
                <c:pt idx="385">
                  <c:v>4</c:v>
                </c:pt>
                <c:pt idx="386">
                  <c:v>10</c:v>
                </c:pt>
                <c:pt idx="387">
                  <c:v>9</c:v>
                </c:pt>
                <c:pt idx="388">
                  <c:v>13</c:v>
                </c:pt>
                <c:pt idx="389">
                  <c:v>9</c:v>
                </c:pt>
                <c:pt idx="390">
                  <c:v>9</c:v>
                </c:pt>
                <c:pt idx="391">
                  <c:v>13</c:v>
                </c:pt>
                <c:pt idx="392">
                  <c:v>14</c:v>
                </c:pt>
                <c:pt idx="393">
                  <c:v>10</c:v>
                </c:pt>
                <c:pt idx="394">
                  <c:v>9</c:v>
                </c:pt>
                <c:pt idx="395">
                  <c:v>10</c:v>
                </c:pt>
                <c:pt idx="396">
                  <c:v>9</c:v>
                </c:pt>
                <c:pt idx="397">
                  <c:v>9</c:v>
                </c:pt>
                <c:pt idx="398">
                  <c:v>12</c:v>
                </c:pt>
                <c:pt idx="399">
                  <c:v>9</c:v>
                </c:pt>
                <c:pt idx="400">
                  <c:v>13</c:v>
                </c:pt>
                <c:pt idx="401">
                  <c:v>2</c:v>
                </c:pt>
                <c:pt idx="402">
                  <c:v>10</c:v>
                </c:pt>
                <c:pt idx="403">
                  <c:v>9</c:v>
                </c:pt>
                <c:pt idx="404">
                  <c:v>7</c:v>
                </c:pt>
                <c:pt idx="405">
                  <c:v>10</c:v>
                </c:pt>
                <c:pt idx="406">
                  <c:v>6</c:v>
                </c:pt>
                <c:pt idx="407">
                  <c:v>6</c:v>
                </c:pt>
                <c:pt idx="408">
                  <c:v>10</c:v>
                </c:pt>
                <c:pt idx="409">
                  <c:v>12</c:v>
                </c:pt>
                <c:pt idx="410">
                  <c:v>9</c:v>
                </c:pt>
                <c:pt idx="411">
                  <c:v>10</c:v>
                </c:pt>
                <c:pt idx="412">
                  <c:v>9</c:v>
                </c:pt>
                <c:pt idx="413">
                  <c:v>9</c:v>
                </c:pt>
                <c:pt idx="414">
                  <c:v>13</c:v>
                </c:pt>
                <c:pt idx="415">
                  <c:v>15</c:v>
                </c:pt>
                <c:pt idx="416">
                  <c:v>10</c:v>
                </c:pt>
                <c:pt idx="417">
                  <c:v>6</c:v>
                </c:pt>
                <c:pt idx="418">
                  <c:v>14</c:v>
                </c:pt>
                <c:pt idx="419">
                  <c:v>15</c:v>
                </c:pt>
                <c:pt idx="420">
                  <c:v>10</c:v>
                </c:pt>
                <c:pt idx="421">
                  <c:v>9</c:v>
                </c:pt>
                <c:pt idx="422">
                  <c:v>9</c:v>
                </c:pt>
                <c:pt idx="423">
                  <c:v>4</c:v>
                </c:pt>
                <c:pt idx="424">
                  <c:v>6</c:v>
                </c:pt>
                <c:pt idx="425">
                  <c:v>9</c:v>
                </c:pt>
                <c:pt idx="426">
                  <c:v>13</c:v>
                </c:pt>
                <c:pt idx="427">
                  <c:v>10</c:v>
                </c:pt>
                <c:pt idx="428">
                  <c:v>10</c:v>
                </c:pt>
                <c:pt idx="429">
                  <c:v>9</c:v>
                </c:pt>
                <c:pt idx="430">
                  <c:v>10</c:v>
                </c:pt>
                <c:pt idx="431">
                  <c:v>10</c:v>
                </c:pt>
                <c:pt idx="432">
                  <c:v>9</c:v>
                </c:pt>
                <c:pt idx="433">
                  <c:v>7</c:v>
                </c:pt>
                <c:pt idx="434">
                  <c:v>9</c:v>
                </c:pt>
                <c:pt idx="435">
                  <c:v>8</c:v>
                </c:pt>
                <c:pt idx="436">
                  <c:v>6</c:v>
                </c:pt>
                <c:pt idx="437">
                  <c:v>16</c:v>
                </c:pt>
                <c:pt idx="438">
                  <c:v>9</c:v>
                </c:pt>
                <c:pt idx="439">
                  <c:v>4</c:v>
                </c:pt>
                <c:pt idx="440">
                  <c:v>12</c:v>
                </c:pt>
                <c:pt idx="441">
                  <c:v>13</c:v>
                </c:pt>
                <c:pt idx="442">
                  <c:v>10</c:v>
                </c:pt>
                <c:pt idx="443">
                  <c:v>10</c:v>
                </c:pt>
                <c:pt idx="444">
                  <c:v>9</c:v>
                </c:pt>
                <c:pt idx="445">
                  <c:v>13</c:v>
                </c:pt>
                <c:pt idx="446">
                  <c:v>14</c:v>
                </c:pt>
                <c:pt idx="447">
                  <c:v>13</c:v>
                </c:pt>
                <c:pt idx="448">
                  <c:v>6</c:v>
                </c:pt>
                <c:pt idx="449">
                  <c:v>8</c:v>
                </c:pt>
                <c:pt idx="450">
                  <c:v>10</c:v>
                </c:pt>
                <c:pt idx="451">
                  <c:v>8</c:v>
                </c:pt>
                <c:pt idx="452">
                  <c:v>5</c:v>
                </c:pt>
                <c:pt idx="453">
                  <c:v>10</c:v>
                </c:pt>
                <c:pt idx="454">
                  <c:v>13</c:v>
                </c:pt>
                <c:pt idx="455">
                  <c:v>9</c:v>
                </c:pt>
                <c:pt idx="456">
                  <c:v>10</c:v>
                </c:pt>
                <c:pt idx="457">
                  <c:v>9</c:v>
                </c:pt>
                <c:pt idx="458">
                  <c:v>13</c:v>
                </c:pt>
                <c:pt idx="459">
                  <c:v>6</c:v>
                </c:pt>
                <c:pt idx="460">
                  <c:v>10</c:v>
                </c:pt>
                <c:pt idx="461">
                  <c:v>9</c:v>
                </c:pt>
                <c:pt idx="462">
                  <c:v>9</c:v>
                </c:pt>
                <c:pt idx="463">
                  <c:v>9</c:v>
                </c:pt>
                <c:pt idx="464">
                  <c:v>10</c:v>
                </c:pt>
                <c:pt idx="465">
                  <c:v>10</c:v>
                </c:pt>
                <c:pt idx="466">
                  <c:v>10</c:v>
                </c:pt>
                <c:pt idx="467">
                  <c:v>9</c:v>
                </c:pt>
                <c:pt idx="468">
                  <c:v>10</c:v>
                </c:pt>
                <c:pt idx="469">
                  <c:v>10</c:v>
                </c:pt>
                <c:pt idx="470">
                  <c:v>13</c:v>
                </c:pt>
                <c:pt idx="471">
                  <c:v>7</c:v>
                </c:pt>
                <c:pt idx="472">
                  <c:v>9</c:v>
                </c:pt>
                <c:pt idx="473">
                  <c:v>9</c:v>
                </c:pt>
                <c:pt idx="474">
                  <c:v>9</c:v>
                </c:pt>
                <c:pt idx="475">
                  <c:v>6</c:v>
                </c:pt>
                <c:pt idx="476">
                  <c:v>9</c:v>
                </c:pt>
                <c:pt idx="477">
                  <c:v>13</c:v>
                </c:pt>
                <c:pt idx="478">
                  <c:v>13</c:v>
                </c:pt>
                <c:pt idx="479">
                  <c:v>6</c:v>
                </c:pt>
                <c:pt idx="480">
                  <c:v>9</c:v>
                </c:pt>
                <c:pt idx="481">
                  <c:v>8</c:v>
                </c:pt>
                <c:pt idx="482">
                  <c:v>9</c:v>
                </c:pt>
                <c:pt idx="483">
                  <c:v>9</c:v>
                </c:pt>
                <c:pt idx="484">
                  <c:v>9</c:v>
                </c:pt>
                <c:pt idx="485">
                  <c:v>11</c:v>
                </c:pt>
                <c:pt idx="486">
                  <c:v>10</c:v>
                </c:pt>
                <c:pt idx="487">
                  <c:v>13</c:v>
                </c:pt>
                <c:pt idx="488">
                  <c:v>14</c:v>
                </c:pt>
                <c:pt idx="489">
                  <c:v>9</c:v>
                </c:pt>
                <c:pt idx="490">
                  <c:v>16</c:v>
                </c:pt>
                <c:pt idx="491">
                  <c:v>13</c:v>
                </c:pt>
                <c:pt idx="492">
                  <c:v>13</c:v>
                </c:pt>
                <c:pt idx="493">
                  <c:v>9</c:v>
                </c:pt>
                <c:pt idx="494">
                  <c:v>13</c:v>
                </c:pt>
                <c:pt idx="495">
                  <c:v>9</c:v>
                </c:pt>
                <c:pt idx="496">
                  <c:v>13</c:v>
                </c:pt>
                <c:pt idx="497">
                  <c:v>9</c:v>
                </c:pt>
                <c:pt idx="498">
                  <c:v>13</c:v>
                </c:pt>
                <c:pt idx="499">
                  <c:v>9</c:v>
                </c:pt>
                <c:pt idx="500">
                  <c:v>10</c:v>
                </c:pt>
                <c:pt idx="501">
                  <c:v>9</c:v>
                </c:pt>
                <c:pt idx="502">
                  <c:v>15</c:v>
                </c:pt>
                <c:pt idx="503">
                  <c:v>9</c:v>
                </c:pt>
                <c:pt idx="504">
                  <c:v>13</c:v>
                </c:pt>
                <c:pt idx="505">
                  <c:v>10</c:v>
                </c:pt>
                <c:pt idx="506">
                  <c:v>10</c:v>
                </c:pt>
                <c:pt idx="507">
                  <c:v>11</c:v>
                </c:pt>
                <c:pt idx="508">
                  <c:v>13</c:v>
                </c:pt>
                <c:pt idx="509">
                  <c:v>10</c:v>
                </c:pt>
                <c:pt idx="510">
                  <c:v>9</c:v>
                </c:pt>
                <c:pt idx="511">
                  <c:v>9</c:v>
                </c:pt>
                <c:pt idx="512">
                  <c:v>13</c:v>
                </c:pt>
                <c:pt idx="513">
                  <c:v>10</c:v>
                </c:pt>
                <c:pt idx="514">
                  <c:v>6</c:v>
                </c:pt>
                <c:pt idx="515">
                  <c:v>13</c:v>
                </c:pt>
                <c:pt idx="516">
                  <c:v>5</c:v>
                </c:pt>
                <c:pt idx="517">
                  <c:v>13</c:v>
                </c:pt>
                <c:pt idx="518">
                  <c:v>9</c:v>
                </c:pt>
                <c:pt idx="519">
                  <c:v>9</c:v>
                </c:pt>
                <c:pt idx="520">
                  <c:v>14</c:v>
                </c:pt>
                <c:pt idx="521">
                  <c:v>9</c:v>
                </c:pt>
                <c:pt idx="522">
                  <c:v>9</c:v>
                </c:pt>
                <c:pt idx="523">
                  <c:v>7</c:v>
                </c:pt>
                <c:pt idx="524">
                  <c:v>12</c:v>
                </c:pt>
                <c:pt idx="525">
                  <c:v>10</c:v>
                </c:pt>
                <c:pt idx="526">
                  <c:v>13</c:v>
                </c:pt>
                <c:pt idx="527">
                  <c:v>5</c:v>
                </c:pt>
                <c:pt idx="528">
                  <c:v>10</c:v>
                </c:pt>
                <c:pt idx="529">
                  <c:v>9</c:v>
                </c:pt>
                <c:pt idx="530">
                  <c:v>14</c:v>
                </c:pt>
                <c:pt idx="531">
                  <c:v>13</c:v>
                </c:pt>
                <c:pt idx="532">
                  <c:v>9</c:v>
                </c:pt>
                <c:pt idx="533">
                  <c:v>14</c:v>
                </c:pt>
                <c:pt idx="534">
                  <c:v>10</c:v>
                </c:pt>
                <c:pt idx="535">
                  <c:v>10</c:v>
                </c:pt>
                <c:pt idx="536">
                  <c:v>10</c:v>
                </c:pt>
                <c:pt idx="537">
                  <c:v>4</c:v>
                </c:pt>
                <c:pt idx="538">
                  <c:v>10</c:v>
                </c:pt>
                <c:pt idx="539">
                  <c:v>10</c:v>
                </c:pt>
                <c:pt idx="540">
                  <c:v>7</c:v>
                </c:pt>
                <c:pt idx="541">
                  <c:v>13</c:v>
                </c:pt>
                <c:pt idx="542">
                  <c:v>9</c:v>
                </c:pt>
                <c:pt idx="543">
                  <c:v>9</c:v>
                </c:pt>
                <c:pt idx="544">
                  <c:v>9</c:v>
                </c:pt>
                <c:pt idx="545">
                  <c:v>12</c:v>
                </c:pt>
                <c:pt idx="546">
                  <c:v>13</c:v>
                </c:pt>
                <c:pt idx="547">
                  <c:v>10</c:v>
                </c:pt>
                <c:pt idx="548">
                  <c:v>9</c:v>
                </c:pt>
                <c:pt idx="549">
                  <c:v>9</c:v>
                </c:pt>
                <c:pt idx="550">
                  <c:v>9</c:v>
                </c:pt>
                <c:pt idx="551">
                  <c:v>13</c:v>
                </c:pt>
                <c:pt idx="552">
                  <c:v>10</c:v>
                </c:pt>
                <c:pt idx="553">
                  <c:v>13</c:v>
                </c:pt>
                <c:pt idx="554">
                  <c:v>13</c:v>
                </c:pt>
                <c:pt idx="555">
                  <c:v>13</c:v>
                </c:pt>
                <c:pt idx="556">
                  <c:v>4</c:v>
                </c:pt>
                <c:pt idx="557">
                  <c:v>13</c:v>
                </c:pt>
                <c:pt idx="558">
                  <c:v>12</c:v>
                </c:pt>
                <c:pt idx="559">
                  <c:v>12</c:v>
                </c:pt>
                <c:pt idx="560">
                  <c:v>9</c:v>
                </c:pt>
                <c:pt idx="561">
                  <c:v>15</c:v>
                </c:pt>
                <c:pt idx="562">
                  <c:v>4</c:v>
                </c:pt>
                <c:pt idx="563">
                  <c:v>9</c:v>
                </c:pt>
                <c:pt idx="564">
                  <c:v>5</c:v>
                </c:pt>
                <c:pt idx="565">
                  <c:v>10</c:v>
                </c:pt>
                <c:pt idx="566">
                  <c:v>11</c:v>
                </c:pt>
                <c:pt idx="567">
                  <c:v>9</c:v>
                </c:pt>
                <c:pt idx="568">
                  <c:v>9</c:v>
                </c:pt>
                <c:pt idx="569">
                  <c:v>10</c:v>
                </c:pt>
                <c:pt idx="570">
                  <c:v>13</c:v>
                </c:pt>
                <c:pt idx="571">
                  <c:v>13</c:v>
                </c:pt>
                <c:pt idx="572">
                  <c:v>7</c:v>
                </c:pt>
                <c:pt idx="573">
                  <c:v>10</c:v>
                </c:pt>
                <c:pt idx="574">
                  <c:v>11</c:v>
                </c:pt>
                <c:pt idx="575">
                  <c:v>10</c:v>
                </c:pt>
                <c:pt idx="576">
                  <c:v>9</c:v>
                </c:pt>
                <c:pt idx="577">
                  <c:v>15</c:v>
                </c:pt>
                <c:pt idx="578">
                  <c:v>9</c:v>
                </c:pt>
                <c:pt idx="579">
                  <c:v>9</c:v>
                </c:pt>
                <c:pt idx="580">
                  <c:v>11</c:v>
                </c:pt>
                <c:pt idx="581">
                  <c:v>9</c:v>
                </c:pt>
                <c:pt idx="582">
                  <c:v>10</c:v>
                </c:pt>
                <c:pt idx="583">
                  <c:v>10</c:v>
                </c:pt>
                <c:pt idx="584">
                  <c:v>9</c:v>
                </c:pt>
                <c:pt idx="585">
                  <c:v>10</c:v>
                </c:pt>
                <c:pt idx="586">
                  <c:v>9</c:v>
                </c:pt>
                <c:pt idx="587">
                  <c:v>10</c:v>
                </c:pt>
                <c:pt idx="588">
                  <c:v>9</c:v>
                </c:pt>
                <c:pt idx="589">
                  <c:v>5</c:v>
                </c:pt>
                <c:pt idx="590">
                  <c:v>10</c:v>
                </c:pt>
                <c:pt idx="591">
                  <c:v>10</c:v>
                </c:pt>
                <c:pt idx="592">
                  <c:v>9</c:v>
                </c:pt>
                <c:pt idx="593">
                  <c:v>9</c:v>
                </c:pt>
                <c:pt idx="594">
                  <c:v>3</c:v>
                </c:pt>
                <c:pt idx="595">
                  <c:v>13</c:v>
                </c:pt>
                <c:pt idx="596">
                  <c:v>10</c:v>
                </c:pt>
                <c:pt idx="597">
                  <c:v>15</c:v>
                </c:pt>
                <c:pt idx="598">
                  <c:v>9</c:v>
                </c:pt>
                <c:pt idx="599">
                  <c:v>14</c:v>
                </c:pt>
                <c:pt idx="600">
                  <c:v>13</c:v>
                </c:pt>
                <c:pt idx="601">
                  <c:v>13</c:v>
                </c:pt>
                <c:pt idx="602">
                  <c:v>14</c:v>
                </c:pt>
                <c:pt idx="603">
                  <c:v>11</c:v>
                </c:pt>
                <c:pt idx="604">
                  <c:v>9</c:v>
                </c:pt>
                <c:pt idx="605">
                  <c:v>9</c:v>
                </c:pt>
                <c:pt idx="606">
                  <c:v>9</c:v>
                </c:pt>
                <c:pt idx="607">
                  <c:v>9</c:v>
                </c:pt>
                <c:pt idx="608">
                  <c:v>12</c:v>
                </c:pt>
                <c:pt idx="609">
                  <c:v>9</c:v>
                </c:pt>
                <c:pt idx="610">
                  <c:v>9</c:v>
                </c:pt>
                <c:pt idx="611">
                  <c:v>9</c:v>
                </c:pt>
                <c:pt idx="612">
                  <c:v>10</c:v>
                </c:pt>
                <c:pt idx="613">
                  <c:v>11</c:v>
                </c:pt>
                <c:pt idx="614">
                  <c:v>9</c:v>
                </c:pt>
                <c:pt idx="615">
                  <c:v>10</c:v>
                </c:pt>
                <c:pt idx="616">
                  <c:v>13</c:v>
                </c:pt>
                <c:pt idx="617">
                  <c:v>13</c:v>
                </c:pt>
                <c:pt idx="618">
                  <c:v>12</c:v>
                </c:pt>
                <c:pt idx="619">
                  <c:v>14</c:v>
                </c:pt>
                <c:pt idx="620">
                  <c:v>10</c:v>
                </c:pt>
                <c:pt idx="621">
                  <c:v>6</c:v>
                </c:pt>
                <c:pt idx="622">
                  <c:v>10</c:v>
                </c:pt>
                <c:pt idx="623">
                  <c:v>9</c:v>
                </c:pt>
                <c:pt idx="624">
                  <c:v>9</c:v>
                </c:pt>
                <c:pt idx="625">
                  <c:v>9</c:v>
                </c:pt>
                <c:pt idx="626">
                  <c:v>10</c:v>
                </c:pt>
                <c:pt idx="627">
                  <c:v>16</c:v>
                </c:pt>
                <c:pt idx="628">
                  <c:v>11</c:v>
                </c:pt>
                <c:pt idx="629">
                  <c:v>13</c:v>
                </c:pt>
                <c:pt idx="630">
                  <c:v>9</c:v>
                </c:pt>
                <c:pt idx="631">
                  <c:v>6</c:v>
                </c:pt>
                <c:pt idx="632">
                  <c:v>9</c:v>
                </c:pt>
                <c:pt idx="633">
                  <c:v>10</c:v>
                </c:pt>
                <c:pt idx="634">
                  <c:v>9</c:v>
                </c:pt>
                <c:pt idx="635">
                  <c:v>13</c:v>
                </c:pt>
                <c:pt idx="636">
                  <c:v>9</c:v>
                </c:pt>
                <c:pt idx="637">
                  <c:v>10</c:v>
                </c:pt>
                <c:pt idx="638">
                  <c:v>4</c:v>
                </c:pt>
                <c:pt idx="639">
                  <c:v>14</c:v>
                </c:pt>
                <c:pt idx="640">
                  <c:v>9</c:v>
                </c:pt>
                <c:pt idx="641">
                  <c:v>10</c:v>
                </c:pt>
                <c:pt idx="642">
                  <c:v>13</c:v>
                </c:pt>
              </c:numCache>
            </c:numRef>
          </c:xVal>
          <c:yVal>
            <c:numRef>
              <c:f>Scatter!$D$2:$D$644</c:f>
              <c:numCache>
                <c:formatCode>General</c:formatCode>
                <c:ptCount val="643"/>
                <c:pt idx="0">
                  <c:v>22</c:v>
                </c:pt>
                <c:pt idx="1">
                  <c:v>60</c:v>
                </c:pt>
                <c:pt idx="2">
                  <c:v>40</c:v>
                </c:pt>
                <c:pt idx="3">
                  <c:v>45</c:v>
                </c:pt>
                <c:pt idx="4">
                  <c:v>50</c:v>
                </c:pt>
                <c:pt idx="5">
                  <c:v>40</c:v>
                </c:pt>
                <c:pt idx="6">
                  <c:v>40</c:v>
                </c:pt>
                <c:pt idx="7">
                  <c:v>20</c:v>
                </c:pt>
                <c:pt idx="8">
                  <c:v>32</c:v>
                </c:pt>
                <c:pt idx="9">
                  <c:v>35</c:v>
                </c:pt>
                <c:pt idx="10">
                  <c:v>40</c:v>
                </c:pt>
                <c:pt idx="11">
                  <c:v>40</c:v>
                </c:pt>
                <c:pt idx="12">
                  <c:v>30</c:v>
                </c:pt>
                <c:pt idx="13">
                  <c:v>40</c:v>
                </c:pt>
                <c:pt idx="14">
                  <c:v>40</c:v>
                </c:pt>
                <c:pt idx="15">
                  <c:v>40</c:v>
                </c:pt>
                <c:pt idx="16">
                  <c:v>40</c:v>
                </c:pt>
                <c:pt idx="17">
                  <c:v>50</c:v>
                </c:pt>
                <c:pt idx="18">
                  <c:v>35</c:v>
                </c:pt>
                <c:pt idx="19">
                  <c:v>50</c:v>
                </c:pt>
                <c:pt idx="20">
                  <c:v>40</c:v>
                </c:pt>
                <c:pt idx="21">
                  <c:v>30</c:v>
                </c:pt>
                <c:pt idx="22">
                  <c:v>40</c:v>
                </c:pt>
                <c:pt idx="23">
                  <c:v>60</c:v>
                </c:pt>
                <c:pt idx="24">
                  <c:v>20</c:v>
                </c:pt>
                <c:pt idx="25">
                  <c:v>24</c:v>
                </c:pt>
                <c:pt idx="26">
                  <c:v>50</c:v>
                </c:pt>
                <c:pt idx="27">
                  <c:v>40</c:v>
                </c:pt>
                <c:pt idx="28">
                  <c:v>40</c:v>
                </c:pt>
                <c:pt idx="29">
                  <c:v>40</c:v>
                </c:pt>
                <c:pt idx="30">
                  <c:v>50</c:v>
                </c:pt>
                <c:pt idx="31">
                  <c:v>40</c:v>
                </c:pt>
                <c:pt idx="32">
                  <c:v>35</c:v>
                </c:pt>
                <c:pt idx="33">
                  <c:v>8</c:v>
                </c:pt>
                <c:pt idx="34">
                  <c:v>40</c:v>
                </c:pt>
                <c:pt idx="35">
                  <c:v>38</c:v>
                </c:pt>
                <c:pt idx="36">
                  <c:v>38</c:v>
                </c:pt>
                <c:pt idx="37">
                  <c:v>30</c:v>
                </c:pt>
                <c:pt idx="38">
                  <c:v>17</c:v>
                </c:pt>
                <c:pt idx="39">
                  <c:v>40</c:v>
                </c:pt>
                <c:pt idx="40">
                  <c:v>40</c:v>
                </c:pt>
                <c:pt idx="41">
                  <c:v>40</c:v>
                </c:pt>
                <c:pt idx="42">
                  <c:v>40</c:v>
                </c:pt>
                <c:pt idx="43">
                  <c:v>40</c:v>
                </c:pt>
                <c:pt idx="44">
                  <c:v>40</c:v>
                </c:pt>
                <c:pt idx="45">
                  <c:v>37</c:v>
                </c:pt>
                <c:pt idx="46">
                  <c:v>25</c:v>
                </c:pt>
                <c:pt idx="47">
                  <c:v>50</c:v>
                </c:pt>
                <c:pt idx="48">
                  <c:v>55</c:v>
                </c:pt>
                <c:pt idx="49">
                  <c:v>40</c:v>
                </c:pt>
                <c:pt idx="50">
                  <c:v>35</c:v>
                </c:pt>
                <c:pt idx="51">
                  <c:v>20</c:v>
                </c:pt>
                <c:pt idx="52">
                  <c:v>40</c:v>
                </c:pt>
                <c:pt idx="53">
                  <c:v>13</c:v>
                </c:pt>
                <c:pt idx="54">
                  <c:v>40</c:v>
                </c:pt>
                <c:pt idx="55">
                  <c:v>25</c:v>
                </c:pt>
                <c:pt idx="56">
                  <c:v>40</c:v>
                </c:pt>
                <c:pt idx="57">
                  <c:v>40</c:v>
                </c:pt>
                <c:pt idx="58">
                  <c:v>40</c:v>
                </c:pt>
                <c:pt idx="59">
                  <c:v>25</c:v>
                </c:pt>
                <c:pt idx="60">
                  <c:v>40</c:v>
                </c:pt>
                <c:pt idx="61">
                  <c:v>45</c:v>
                </c:pt>
                <c:pt idx="62">
                  <c:v>40</c:v>
                </c:pt>
                <c:pt idx="63">
                  <c:v>40</c:v>
                </c:pt>
                <c:pt idx="64">
                  <c:v>50</c:v>
                </c:pt>
                <c:pt idx="65">
                  <c:v>40</c:v>
                </c:pt>
                <c:pt idx="66">
                  <c:v>40</c:v>
                </c:pt>
                <c:pt idx="67">
                  <c:v>20</c:v>
                </c:pt>
                <c:pt idx="68">
                  <c:v>65</c:v>
                </c:pt>
                <c:pt idx="69">
                  <c:v>40</c:v>
                </c:pt>
                <c:pt idx="70">
                  <c:v>10</c:v>
                </c:pt>
                <c:pt idx="71">
                  <c:v>40</c:v>
                </c:pt>
                <c:pt idx="72">
                  <c:v>50</c:v>
                </c:pt>
                <c:pt idx="73">
                  <c:v>40</c:v>
                </c:pt>
                <c:pt idx="74">
                  <c:v>40</c:v>
                </c:pt>
                <c:pt idx="75">
                  <c:v>20</c:v>
                </c:pt>
                <c:pt idx="76">
                  <c:v>44</c:v>
                </c:pt>
                <c:pt idx="77">
                  <c:v>40</c:v>
                </c:pt>
                <c:pt idx="78">
                  <c:v>30</c:v>
                </c:pt>
                <c:pt idx="79">
                  <c:v>5</c:v>
                </c:pt>
                <c:pt idx="80">
                  <c:v>40</c:v>
                </c:pt>
                <c:pt idx="81">
                  <c:v>66</c:v>
                </c:pt>
                <c:pt idx="82">
                  <c:v>40</c:v>
                </c:pt>
                <c:pt idx="83">
                  <c:v>50</c:v>
                </c:pt>
                <c:pt idx="84">
                  <c:v>40</c:v>
                </c:pt>
                <c:pt idx="85">
                  <c:v>40</c:v>
                </c:pt>
                <c:pt idx="86">
                  <c:v>54</c:v>
                </c:pt>
                <c:pt idx="87">
                  <c:v>40</c:v>
                </c:pt>
                <c:pt idx="88">
                  <c:v>40</c:v>
                </c:pt>
                <c:pt idx="89">
                  <c:v>50</c:v>
                </c:pt>
                <c:pt idx="90">
                  <c:v>40</c:v>
                </c:pt>
                <c:pt idx="91">
                  <c:v>45</c:v>
                </c:pt>
                <c:pt idx="92">
                  <c:v>20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54</c:v>
                </c:pt>
                <c:pt idx="98">
                  <c:v>38</c:v>
                </c:pt>
                <c:pt idx="99">
                  <c:v>50</c:v>
                </c:pt>
                <c:pt idx="100">
                  <c:v>40</c:v>
                </c:pt>
                <c:pt idx="101">
                  <c:v>8</c:v>
                </c:pt>
                <c:pt idx="102">
                  <c:v>60</c:v>
                </c:pt>
                <c:pt idx="103">
                  <c:v>40</c:v>
                </c:pt>
                <c:pt idx="104">
                  <c:v>40</c:v>
                </c:pt>
                <c:pt idx="105">
                  <c:v>55</c:v>
                </c:pt>
                <c:pt idx="106">
                  <c:v>52</c:v>
                </c:pt>
                <c:pt idx="107">
                  <c:v>48</c:v>
                </c:pt>
                <c:pt idx="108">
                  <c:v>40</c:v>
                </c:pt>
                <c:pt idx="109">
                  <c:v>40</c:v>
                </c:pt>
                <c:pt idx="110">
                  <c:v>40</c:v>
                </c:pt>
                <c:pt idx="111">
                  <c:v>40</c:v>
                </c:pt>
                <c:pt idx="112">
                  <c:v>35</c:v>
                </c:pt>
                <c:pt idx="113">
                  <c:v>40</c:v>
                </c:pt>
                <c:pt idx="114">
                  <c:v>48</c:v>
                </c:pt>
                <c:pt idx="115">
                  <c:v>40</c:v>
                </c:pt>
                <c:pt idx="116">
                  <c:v>40</c:v>
                </c:pt>
                <c:pt idx="117">
                  <c:v>25</c:v>
                </c:pt>
                <c:pt idx="118">
                  <c:v>20</c:v>
                </c:pt>
                <c:pt idx="119">
                  <c:v>48</c:v>
                </c:pt>
                <c:pt idx="120">
                  <c:v>60</c:v>
                </c:pt>
                <c:pt idx="121">
                  <c:v>40</c:v>
                </c:pt>
                <c:pt idx="122">
                  <c:v>35</c:v>
                </c:pt>
                <c:pt idx="123">
                  <c:v>40</c:v>
                </c:pt>
                <c:pt idx="124">
                  <c:v>18</c:v>
                </c:pt>
                <c:pt idx="125">
                  <c:v>40</c:v>
                </c:pt>
                <c:pt idx="126">
                  <c:v>40</c:v>
                </c:pt>
                <c:pt idx="127">
                  <c:v>60</c:v>
                </c:pt>
                <c:pt idx="128">
                  <c:v>50</c:v>
                </c:pt>
                <c:pt idx="129">
                  <c:v>42</c:v>
                </c:pt>
                <c:pt idx="130">
                  <c:v>60</c:v>
                </c:pt>
                <c:pt idx="131">
                  <c:v>40</c:v>
                </c:pt>
                <c:pt idx="132">
                  <c:v>60</c:v>
                </c:pt>
                <c:pt idx="133">
                  <c:v>60</c:v>
                </c:pt>
                <c:pt idx="134">
                  <c:v>50</c:v>
                </c:pt>
                <c:pt idx="135">
                  <c:v>40</c:v>
                </c:pt>
                <c:pt idx="136">
                  <c:v>40</c:v>
                </c:pt>
                <c:pt idx="137">
                  <c:v>40</c:v>
                </c:pt>
                <c:pt idx="138">
                  <c:v>50</c:v>
                </c:pt>
                <c:pt idx="139">
                  <c:v>40</c:v>
                </c:pt>
                <c:pt idx="140">
                  <c:v>55</c:v>
                </c:pt>
                <c:pt idx="141">
                  <c:v>50</c:v>
                </c:pt>
                <c:pt idx="142">
                  <c:v>70</c:v>
                </c:pt>
                <c:pt idx="143">
                  <c:v>40</c:v>
                </c:pt>
                <c:pt idx="144">
                  <c:v>50</c:v>
                </c:pt>
                <c:pt idx="145">
                  <c:v>40</c:v>
                </c:pt>
                <c:pt idx="146">
                  <c:v>40</c:v>
                </c:pt>
                <c:pt idx="147">
                  <c:v>40</c:v>
                </c:pt>
                <c:pt idx="148">
                  <c:v>45</c:v>
                </c:pt>
                <c:pt idx="149">
                  <c:v>40</c:v>
                </c:pt>
                <c:pt idx="150">
                  <c:v>24</c:v>
                </c:pt>
                <c:pt idx="151">
                  <c:v>40</c:v>
                </c:pt>
                <c:pt idx="152">
                  <c:v>40</c:v>
                </c:pt>
                <c:pt idx="153">
                  <c:v>40</c:v>
                </c:pt>
                <c:pt idx="154">
                  <c:v>40</c:v>
                </c:pt>
                <c:pt idx="155">
                  <c:v>40</c:v>
                </c:pt>
                <c:pt idx="156">
                  <c:v>40</c:v>
                </c:pt>
                <c:pt idx="157">
                  <c:v>50</c:v>
                </c:pt>
                <c:pt idx="158">
                  <c:v>45</c:v>
                </c:pt>
                <c:pt idx="159">
                  <c:v>43</c:v>
                </c:pt>
                <c:pt idx="160">
                  <c:v>40</c:v>
                </c:pt>
                <c:pt idx="161">
                  <c:v>36</c:v>
                </c:pt>
                <c:pt idx="162">
                  <c:v>40</c:v>
                </c:pt>
                <c:pt idx="163">
                  <c:v>42</c:v>
                </c:pt>
                <c:pt idx="164">
                  <c:v>40</c:v>
                </c:pt>
                <c:pt idx="165">
                  <c:v>40</c:v>
                </c:pt>
                <c:pt idx="166">
                  <c:v>20</c:v>
                </c:pt>
                <c:pt idx="167">
                  <c:v>40</c:v>
                </c:pt>
                <c:pt idx="168">
                  <c:v>60</c:v>
                </c:pt>
                <c:pt idx="169">
                  <c:v>50</c:v>
                </c:pt>
                <c:pt idx="170">
                  <c:v>50</c:v>
                </c:pt>
                <c:pt idx="171">
                  <c:v>40</c:v>
                </c:pt>
                <c:pt idx="172">
                  <c:v>40</c:v>
                </c:pt>
                <c:pt idx="173">
                  <c:v>40</c:v>
                </c:pt>
                <c:pt idx="174">
                  <c:v>40</c:v>
                </c:pt>
                <c:pt idx="175">
                  <c:v>30</c:v>
                </c:pt>
                <c:pt idx="176">
                  <c:v>35</c:v>
                </c:pt>
                <c:pt idx="177">
                  <c:v>40</c:v>
                </c:pt>
                <c:pt idx="178">
                  <c:v>80</c:v>
                </c:pt>
                <c:pt idx="179">
                  <c:v>65</c:v>
                </c:pt>
                <c:pt idx="180">
                  <c:v>40</c:v>
                </c:pt>
                <c:pt idx="181">
                  <c:v>35</c:v>
                </c:pt>
                <c:pt idx="182">
                  <c:v>40</c:v>
                </c:pt>
                <c:pt idx="183">
                  <c:v>45</c:v>
                </c:pt>
                <c:pt idx="184">
                  <c:v>44</c:v>
                </c:pt>
                <c:pt idx="185">
                  <c:v>40</c:v>
                </c:pt>
                <c:pt idx="186">
                  <c:v>40</c:v>
                </c:pt>
                <c:pt idx="187">
                  <c:v>40</c:v>
                </c:pt>
                <c:pt idx="188">
                  <c:v>45</c:v>
                </c:pt>
                <c:pt idx="189">
                  <c:v>40</c:v>
                </c:pt>
                <c:pt idx="190">
                  <c:v>60</c:v>
                </c:pt>
                <c:pt idx="191">
                  <c:v>12</c:v>
                </c:pt>
                <c:pt idx="192">
                  <c:v>40</c:v>
                </c:pt>
                <c:pt idx="193">
                  <c:v>56</c:v>
                </c:pt>
                <c:pt idx="194">
                  <c:v>25</c:v>
                </c:pt>
                <c:pt idx="195">
                  <c:v>45</c:v>
                </c:pt>
                <c:pt idx="196">
                  <c:v>35</c:v>
                </c:pt>
                <c:pt idx="197">
                  <c:v>56</c:v>
                </c:pt>
                <c:pt idx="198">
                  <c:v>40</c:v>
                </c:pt>
                <c:pt idx="199">
                  <c:v>35</c:v>
                </c:pt>
                <c:pt idx="200">
                  <c:v>40</c:v>
                </c:pt>
                <c:pt idx="201">
                  <c:v>40</c:v>
                </c:pt>
                <c:pt idx="202">
                  <c:v>50</c:v>
                </c:pt>
                <c:pt idx="203">
                  <c:v>53</c:v>
                </c:pt>
                <c:pt idx="204">
                  <c:v>40</c:v>
                </c:pt>
                <c:pt idx="205">
                  <c:v>40</c:v>
                </c:pt>
                <c:pt idx="206">
                  <c:v>70</c:v>
                </c:pt>
                <c:pt idx="207">
                  <c:v>40</c:v>
                </c:pt>
                <c:pt idx="208">
                  <c:v>60</c:v>
                </c:pt>
                <c:pt idx="209">
                  <c:v>99</c:v>
                </c:pt>
                <c:pt idx="210">
                  <c:v>40</c:v>
                </c:pt>
                <c:pt idx="211">
                  <c:v>49</c:v>
                </c:pt>
                <c:pt idx="212">
                  <c:v>15</c:v>
                </c:pt>
                <c:pt idx="213">
                  <c:v>20</c:v>
                </c:pt>
                <c:pt idx="214">
                  <c:v>40</c:v>
                </c:pt>
                <c:pt idx="215">
                  <c:v>35</c:v>
                </c:pt>
                <c:pt idx="216">
                  <c:v>25</c:v>
                </c:pt>
                <c:pt idx="217">
                  <c:v>40</c:v>
                </c:pt>
                <c:pt idx="218">
                  <c:v>45</c:v>
                </c:pt>
                <c:pt idx="219">
                  <c:v>20</c:v>
                </c:pt>
                <c:pt idx="220">
                  <c:v>40</c:v>
                </c:pt>
                <c:pt idx="221">
                  <c:v>40</c:v>
                </c:pt>
                <c:pt idx="222">
                  <c:v>40</c:v>
                </c:pt>
                <c:pt idx="223">
                  <c:v>10</c:v>
                </c:pt>
                <c:pt idx="224">
                  <c:v>40</c:v>
                </c:pt>
                <c:pt idx="225">
                  <c:v>35</c:v>
                </c:pt>
                <c:pt idx="226">
                  <c:v>40</c:v>
                </c:pt>
                <c:pt idx="227">
                  <c:v>40</c:v>
                </c:pt>
                <c:pt idx="228">
                  <c:v>40</c:v>
                </c:pt>
                <c:pt idx="229">
                  <c:v>40</c:v>
                </c:pt>
                <c:pt idx="230">
                  <c:v>35</c:v>
                </c:pt>
                <c:pt idx="231">
                  <c:v>45</c:v>
                </c:pt>
                <c:pt idx="232">
                  <c:v>40</c:v>
                </c:pt>
                <c:pt idx="233">
                  <c:v>55</c:v>
                </c:pt>
                <c:pt idx="234">
                  <c:v>50</c:v>
                </c:pt>
                <c:pt idx="235">
                  <c:v>12</c:v>
                </c:pt>
                <c:pt idx="236">
                  <c:v>40</c:v>
                </c:pt>
                <c:pt idx="237">
                  <c:v>15</c:v>
                </c:pt>
                <c:pt idx="238">
                  <c:v>45</c:v>
                </c:pt>
                <c:pt idx="239">
                  <c:v>40</c:v>
                </c:pt>
                <c:pt idx="240">
                  <c:v>4</c:v>
                </c:pt>
                <c:pt idx="241">
                  <c:v>40</c:v>
                </c:pt>
                <c:pt idx="242">
                  <c:v>15</c:v>
                </c:pt>
                <c:pt idx="243">
                  <c:v>40</c:v>
                </c:pt>
                <c:pt idx="244">
                  <c:v>45</c:v>
                </c:pt>
                <c:pt idx="245">
                  <c:v>40</c:v>
                </c:pt>
                <c:pt idx="246">
                  <c:v>40</c:v>
                </c:pt>
                <c:pt idx="247">
                  <c:v>50</c:v>
                </c:pt>
                <c:pt idx="248">
                  <c:v>45</c:v>
                </c:pt>
                <c:pt idx="249">
                  <c:v>35</c:v>
                </c:pt>
                <c:pt idx="250">
                  <c:v>40</c:v>
                </c:pt>
                <c:pt idx="251">
                  <c:v>16</c:v>
                </c:pt>
                <c:pt idx="252">
                  <c:v>20</c:v>
                </c:pt>
                <c:pt idx="253">
                  <c:v>35</c:v>
                </c:pt>
                <c:pt idx="254">
                  <c:v>45</c:v>
                </c:pt>
                <c:pt idx="255">
                  <c:v>60</c:v>
                </c:pt>
                <c:pt idx="256">
                  <c:v>24</c:v>
                </c:pt>
                <c:pt idx="257">
                  <c:v>40</c:v>
                </c:pt>
                <c:pt idx="258">
                  <c:v>40</c:v>
                </c:pt>
                <c:pt idx="259">
                  <c:v>40</c:v>
                </c:pt>
                <c:pt idx="260">
                  <c:v>65</c:v>
                </c:pt>
                <c:pt idx="261">
                  <c:v>40</c:v>
                </c:pt>
                <c:pt idx="262">
                  <c:v>50</c:v>
                </c:pt>
                <c:pt idx="263">
                  <c:v>40</c:v>
                </c:pt>
                <c:pt idx="264">
                  <c:v>50</c:v>
                </c:pt>
                <c:pt idx="265">
                  <c:v>40</c:v>
                </c:pt>
                <c:pt idx="266">
                  <c:v>40</c:v>
                </c:pt>
                <c:pt idx="267">
                  <c:v>60</c:v>
                </c:pt>
                <c:pt idx="268">
                  <c:v>40</c:v>
                </c:pt>
                <c:pt idx="269">
                  <c:v>40</c:v>
                </c:pt>
                <c:pt idx="270">
                  <c:v>45</c:v>
                </c:pt>
                <c:pt idx="271">
                  <c:v>38</c:v>
                </c:pt>
                <c:pt idx="272">
                  <c:v>40</c:v>
                </c:pt>
                <c:pt idx="273">
                  <c:v>40</c:v>
                </c:pt>
                <c:pt idx="274">
                  <c:v>40</c:v>
                </c:pt>
                <c:pt idx="275">
                  <c:v>40</c:v>
                </c:pt>
                <c:pt idx="276">
                  <c:v>40</c:v>
                </c:pt>
                <c:pt idx="277">
                  <c:v>50</c:v>
                </c:pt>
                <c:pt idx="278">
                  <c:v>40</c:v>
                </c:pt>
                <c:pt idx="279">
                  <c:v>40</c:v>
                </c:pt>
                <c:pt idx="280">
                  <c:v>30</c:v>
                </c:pt>
                <c:pt idx="281">
                  <c:v>40</c:v>
                </c:pt>
                <c:pt idx="282">
                  <c:v>65</c:v>
                </c:pt>
                <c:pt idx="283">
                  <c:v>50</c:v>
                </c:pt>
                <c:pt idx="284">
                  <c:v>40</c:v>
                </c:pt>
                <c:pt idx="285">
                  <c:v>40</c:v>
                </c:pt>
                <c:pt idx="286">
                  <c:v>40</c:v>
                </c:pt>
                <c:pt idx="287">
                  <c:v>40</c:v>
                </c:pt>
                <c:pt idx="288">
                  <c:v>26</c:v>
                </c:pt>
                <c:pt idx="289">
                  <c:v>40</c:v>
                </c:pt>
                <c:pt idx="290">
                  <c:v>40</c:v>
                </c:pt>
                <c:pt idx="291">
                  <c:v>20</c:v>
                </c:pt>
                <c:pt idx="292">
                  <c:v>40</c:v>
                </c:pt>
                <c:pt idx="293">
                  <c:v>40</c:v>
                </c:pt>
                <c:pt idx="294">
                  <c:v>35</c:v>
                </c:pt>
                <c:pt idx="295">
                  <c:v>12</c:v>
                </c:pt>
                <c:pt idx="296">
                  <c:v>38</c:v>
                </c:pt>
                <c:pt idx="297">
                  <c:v>40</c:v>
                </c:pt>
                <c:pt idx="298">
                  <c:v>60</c:v>
                </c:pt>
                <c:pt idx="299">
                  <c:v>45</c:v>
                </c:pt>
                <c:pt idx="300">
                  <c:v>40</c:v>
                </c:pt>
                <c:pt idx="301">
                  <c:v>40</c:v>
                </c:pt>
                <c:pt idx="302">
                  <c:v>45</c:v>
                </c:pt>
                <c:pt idx="303">
                  <c:v>20</c:v>
                </c:pt>
                <c:pt idx="304">
                  <c:v>40</c:v>
                </c:pt>
                <c:pt idx="305">
                  <c:v>40</c:v>
                </c:pt>
                <c:pt idx="306">
                  <c:v>45</c:v>
                </c:pt>
                <c:pt idx="307">
                  <c:v>40</c:v>
                </c:pt>
                <c:pt idx="308">
                  <c:v>20</c:v>
                </c:pt>
                <c:pt idx="309">
                  <c:v>55</c:v>
                </c:pt>
                <c:pt idx="310">
                  <c:v>99</c:v>
                </c:pt>
                <c:pt idx="311">
                  <c:v>40</c:v>
                </c:pt>
                <c:pt idx="312">
                  <c:v>47</c:v>
                </c:pt>
                <c:pt idx="313">
                  <c:v>30</c:v>
                </c:pt>
                <c:pt idx="314">
                  <c:v>15</c:v>
                </c:pt>
                <c:pt idx="315">
                  <c:v>40</c:v>
                </c:pt>
                <c:pt idx="316">
                  <c:v>35</c:v>
                </c:pt>
                <c:pt idx="317">
                  <c:v>33</c:v>
                </c:pt>
                <c:pt idx="318">
                  <c:v>30</c:v>
                </c:pt>
                <c:pt idx="319">
                  <c:v>38</c:v>
                </c:pt>
                <c:pt idx="320">
                  <c:v>40</c:v>
                </c:pt>
                <c:pt idx="321">
                  <c:v>40</c:v>
                </c:pt>
                <c:pt idx="322">
                  <c:v>40</c:v>
                </c:pt>
                <c:pt idx="323">
                  <c:v>40</c:v>
                </c:pt>
                <c:pt idx="324">
                  <c:v>40</c:v>
                </c:pt>
                <c:pt idx="325">
                  <c:v>50</c:v>
                </c:pt>
                <c:pt idx="326">
                  <c:v>40</c:v>
                </c:pt>
                <c:pt idx="327">
                  <c:v>50</c:v>
                </c:pt>
                <c:pt idx="328">
                  <c:v>20</c:v>
                </c:pt>
                <c:pt idx="329">
                  <c:v>40</c:v>
                </c:pt>
                <c:pt idx="330">
                  <c:v>50</c:v>
                </c:pt>
                <c:pt idx="331">
                  <c:v>40</c:v>
                </c:pt>
                <c:pt idx="332">
                  <c:v>40</c:v>
                </c:pt>
                <c:pt idx="333">
                  <c:v>80</c:v>
                </c:pt>
                <c:pt idx="334">
                  <c:v>15</c:v>
                </c:pt>
                <c:pt idx="335">
                  <c:v>40</c:v>
                </c:pt>
                <c:pt idx="336">
                  <c:v>38</c:v>
                </c:pt>
                <c:pt idx="337">
                  <c:v>42</c:v>
                </c:pt>
                <c:pt idx="338">
                  <c:v>38</c:v>
                </c:pt>
                <c:pt idx="339">
                  <c:v>40</c:v>
                </c:pt>
                <c:pt idx="340">
                  <c:v>40</c:v>
                </c:pt>
                <c:pt idx="341">
                  <c:v>50</c:v>
                </c:pt>
                <c:pt idx="342">
                  <c:v>40</c:v>
                </c:pt>
                <c:pt idx="343">
                  <c:v>40</c:v>
                </c:pt>
                <c:pt idx="344">
                  <c:v>40</c:v>
                </c:pt>
                <c:pt idx="345">
                  <c:v>45</c:v>
                </c:pt>
                <c:pt idx="346">
                  <c:v>42</c:v>
                </c:pt>
                <c:pt idx="347">
                  <c:v>40</c:v>
                </c:pt>
                <c:pt idx="348">
                  <c:v>28</c:v>
                </c:pt>
                <c:pt idx="349">
                  <c:v>50</c:v>
                </c:pt>
                <c:pt idx="350">
                  <c:v>45</c:v>
                </c:pt>
                <c:pt idx="351">
                  <c:v>65</c:v>
                </c:pt>
                <c:pt idx="352">
                  <c:v>44</c:v>
                </c:pt>
                <c:pt idx="353">
                  <c:v>36</c:v>
                </c:pt>
                <c:pt idx="354">
                  <c:v>25</c:v>
                </c:pt>
                <c:pt idx="355">
                  <c:v>50</c:v>
                </c:pt>
                <c:pt idx="356">
                  <c:v>50</c:v>
                </c:pt>
                <c:pt idx="357">
                  <c:v>40</c:v>
                </c:pt>
                <c:pt idx="358">
                  <c:v>40</c:v>
                </c:pt>
                <c:pt idx="359">
                  <c:v>40</c:v>
                </c:pt>
                <c:pt idx="360">
                  <c:v>30</c:v>
                </c:pt>
                <c:pt idx="361">
                  <c:v>35</c:v>
                </c:pt>
                <c:pt idx="362">
                  <c:v>18</c:v>
                </c:pt>
                <c:pt idx="363">
                  <c:v>40</c:v>
                </c:pt>
                <c:pt idx="364">
                  <c:v>30</c:v>
                </c:pt>
                <c:pt idx="365">
                  <c:v>35</c:v>
                </c:pt>
                <c:pt idx="366">
                  <c:v>18</c:v>
                </c:pt>
                <c:pt idx="367">
                  <c:v>30</c:v>
                </c:pt>
                <c:pt idx="368">
                  <c:v>40</c:v>
                </c:pt>
                <c:pt idx="369">
                  <c:v>40</c:v>
                </c:pt>
                <c:pt idx="370">
                  <c:v>37</c:v>
                </c:pt>
                <c:pt idx="371">
                  <c:v>65</c:v>
                </c:pt>
                <c:pt idx="372">
                  <c:v>40</c:v>
                </c:pt>
                <c:pt idx="373">
                  <c:v>40</c:v>
                </c:pt>
                <c:pt idx="374">
                  <c:v>60</c:v>
                </c:pt>
                <c:pt idx="375">
                  <c:v>37</c:v>
                </c:pt>
                <c:pt idx="376">
                  <c:v>45</c:v>
                </c:pt>
                <c:pt idx="377">
                  <c:v>30</c:v>
                </c:pt>
                <c:pt idx="378">
                  <c:v>25</c:v>
                </c:pt>
                <c:pt idx="379">
                  <c:v>40</c:v>
                </c:pt>
                <c:pt idx="380">
                  <c:v>40</c:v>
                </c:pt>
                <c:pt idx="381">
                  <c:v>99</c:v>
                </c:pt>
                <c:pt idx="382">
                  <c:v>50</c:v>
                </c:pt>
                <c:pt idx="383">
                  <c:v>10</c:v>
                </c:pt>
                <c:pt idx="384">
                  <c:v>40</c:v>
                </c:pt>
                <c:pt idx="385">
                  <c:v>25</c:v>
                </c:pt>
                <c:pt idx="386">
                  <c:v>20</c:v>
                </c:pt>
                <c:pt idx="387">
                  <c:v>40</c:v>
                </c:pt>
                <c:pt idx="388">
                  <c:v>50</c:v>
                </c:pt>
                <c:pt idx="389">
                  <c:v>60</c:v>
                </c:pt>
                <c:pt idx="390">
                  <c:v>40</c:v>
                </c:pt>
                <c:pt idx="391">
                  <c:v>60</c:v>
                </c:pt>
                <c:pt idx="392">
                  <c:v>55</c:v>
                </c:pt>
                <c:pt idx="393">
                  <c:v>45</c:v>
                </c:pt>
                <c:pt idx="394">
                  <c:v>40</c:v>
                </c:pt>
                <c:pt idx="395">
                  <c:v>40</c:v>
                </c:pt>
                <c:pt idx="396">
                  <c:v>40</c:v>
                </c:pt>
                <c:pt idx="397">
                  <c:v>40</c:v>
                </c:pt>
                <c:pt idx="398">
                  <c:v>32</c:v>
                </c:pt>
                <c:pt idx="399">
                  <c:v>40</c:v>
                </c:pt>
                <c:pt idx="400">
                  <c:v>40</c:v>
                </c:pt>
                <c:pt idx="401">
                  <c:v>40</c:v>
                </c:pt>
                <c:pt idx="402">
                  <c:v>48</c:v>
                </c:pt>
                <c:pt idx="403">
                  <c:v>44</c:v>
                </c:pt>
                <c:pt idx="404">
                  <c:v>40</c:v>
                </c:pt>
                <c:pt idx="405">
                  <c:v>30</c:v>
                </c:pt>
                <c:pt idx="406">
                  <c:v>24</c:v>
                </c:pt>
                <c:pt idx="407">
                  <c:v>60</c:v>
                </c:pt>
                <c:pt idx="408">
                  <c:v>40</c:v>
                </c:pt>
                <c:pt idx="409">
                  <c:v>40</c:v>
                </c:pt>
                <c:pt idx="410">
                  <c:v>40</c:v>
                </c:pt>
                <c:pt idx="411">
                  <c:v>20</c:v>
                </c:pt>
                <c:pt idx="412">
                  <c:v>50</c:v>
                </c:pt>
                <c:pt idx="413">
                  <c:v>80</c:v>
                </c:pt>
                <c:pt idx="414">
                  <c:v>50</c:v>
                </c:pt>
                <c:pt idx="415">
                  <c:v>40</c:v>
                </c:pt>
                <c:pt idx="416">
                  <c:v>15</c:v>
                </c:pt>
                <c:pt idx="417">
                  <c:v>40</c:v>
                </c:pt>
                <c:pt idx="418">
                  <c:v>40</c:v>
                </c:pt>
                <c:pt idx="419">
                  <c:v>30</c:v>
                </c:pt>
                <c:pt idx="420">
                  <c:v>40</c:v>
                </c:pt>
                <c:pt idx="421">
                  <c:v>40</c:v>
                </c:pt>
                <c:pt idx="422">
                  <c:v>40</c:v>
                </c:pt>
                <c:pt idx="423">
                  <c:v>40</c:v>
                </c:pt>
                <c:pt idx="424">
                  <c:v>45</c:v>
                </c:pt>
                <c:pt idx="425">
                  <c:v>80</c:v>
                </c:pt>
                <c:pt idx="426">
                  <c:v>40</c:v>
                </c:pt>
                <c:pt idx="427">
                  <c:v>45</c:v>
                </c:pt>
                <c:pt idx="428">
                  <c:v>50</c:v>
                </c:pt>
                <c:pt idx="429">
                  <c:v>40</c:v>
                </c:pt>
                <c:pt idx="430">
                  <c:v>50</c:v>
                </c:pt>
                <c:pt idx="431">
                  <c:v>40</c:v>
                </c:pt>
                <c:pt idx="432">
                  <c:v>40</c:v>
                </c:pt>
                <c:pt idx="433">
                  <c:v>24</c:v>
                </c:pt>
                <c:pt idx="434">
                  <c:v>40</c:v>
                </c:pt>
                <c:pt idx="435">
                  <c:v>42</c:v>
                </c:pt>
                <c:pt idx="436">
                  <c:v>20</c:v>
                </c:pt>
                <c:pt idx="437">
                  <c:v>40</c:v>
                </c:pt>
                <c:pt idx="438">
                  <c:v>60</c:v>
                </c:pt>
                <c:pt idx="439">
                  <c:v>40</c:v>
                </c:pt>
                <c:pt idx="440">
                  <c:v>55</c:v>
                </c:pt>
                <c:pt idx="441">
                  <c:v>10</c:v>
                </c:pt>
                <c:pt idx="442">
                  <c:v>35</c:v>
                </c:pt>
                <c:pt idx="443">
                  <c:v>35</c:v>
                </c:pt>
                <c:pt idx="444">
                  <c:v>65</c:v>
                </c:pt>
                <c:pt idx="445">
                  <c:v>40</c:v>
                </c:pt>
                <c:pt idx="446">
                  <c:v>40</c:v>
                </c:pt>
                <c:pt idx="447">
                  <c:v>50</c:v>
                </c:pt>
                <c:pt idx="448">
                  <c:v>55</c:v>
                </c:pt>
                <c:pt idx="449">
                  <c:v>40</c:v>
                </c:pt>
                <c:pt idx="450">
                  <c:v>40</c:v>
                </c:pt>
                <c:pt idx="451">
                  <c:v>30</c:v>
                </c:pt>
                <c:pt idx="452">
                  <c:v>25</c:v>
                </c:pt>
                <c:pt idx="453">
                  <c:v>50</c:v>
                </c:pt>
                <c:pt idx="454">
                  <c:v>40</c:v>
                </c:pt>
                <c:pt idx="455">
                  <c:v>55</c:v>
                </c:pt>
                <c:pt idx="456">
                  <c:v>40</c:v>
                </c:pt>
                <c:pt idx="457">
                  <c:v>40</c:v>
                </c:pt>
                <c:pt idx="458">
                  <c:v>37</c:v>
                </c:pt>
                <c:pt idx="459">
                  <c:v>40</c:v>
                </c:pt>
                <c:pt idx="460">
                  <c:v>70</c:v>
                </c:pt>
                <c:pt idx="461">
                  <c:v>40</c:v>
                </c:pt>
                <c:pt idx="462">
                  <c:v>30</c:v>
                </c:pt>
                <c:pt idx="463">
                  <c:v>40</c:v>
                </c:pt>
                <c:pt idx="464">
                  <c:v>50</c:v>
                </c:pt>
                <c:pt idx="465">
                  <c:v>40</c:v>
                </c:pt>
                <c:pt idx="466">
                  <c:v>40</c:v>
                </c:pt>
                <c:pt idx="467">
                  <c:v>20</c:v>
                </c:pt>
                <c:pt idx="468">
                  <c:v>50</c:v>
                </c:pt>
                <c:pt idx="469">
                  <c:v>35</c:v>
                </c:pt>
                <c:pt idx="470">
                  <c:v>38</c:v>
                </c:pt>
                <c:pt idx="471">
                  <c:v>15</c:v>
                </c:pt>
                <c:pt idx="472">
                  <c:v>45</c:v>
                </c:pt>
                <c:pt idx="473">
                  <c:v>40</c:v>
                </c:pt>
                <c:pt idx="474">
                  <c:v>40</c:v>
                </c:pt>
                <c:pt idx="475">
                  <c:v>4</c:v>
                </c:pt>
                <c:pt idx="476">
                  <c:v>30</c:v>
                </c:pt>
                <c:pt idx="477">
                  <c:v>40</c:v>
                </c:pt>
                <c:pt idx="478">
                  <c:v>65</c:v>
                </c:pt>
                <c:pt idx="479">
                  <c:v>40</c:v>
                </c:pt>
                <c:pt idx="480">
                  <c:v>40</c:v>
                </c:pt>
                <c:pt idx="481">
                  <c:v>40</c:v>
                </c:pt>
                <c:pt idx="482">
                  <c:v>20</c:v>
                </c:pt>
                <c:pt idx="483">
                  <c:v>99</c:v>
                </c:pt>
                <c:pt idx="484">
                  <c:v>40</c:v>
                </c:pt>
                <c:pt idx="485">
                  <c:v>20</c:v>
                </c:pt>
                <c:pt idx="486">
                  <c:v>40</c:v>
                </c:pt>
                <c:pt idx="487">
                  <c:v>60</c:v>
                </c:pt>
                <c:pt idx="488">
                  <c:v>50</c:v>
                </c:pt>
                <c:pt idx="489">
                  <c:v>70</c:v>
                </c:pt>
                <c:pt idx="490">
                  <c:v>40</c:v>
                </c:pt>
                <c:pt idx="491">
                  <c:v>40</c:v>
                </c:pt>
                <c:pt idx="492">
                  <c:v>60</c:v>
                </c:pt>
                <c:pt idx="493">
                  <c:v>20</c:v>
                </c:pt>
                <c:pt idx="494">
                  <c:v>45</c:v>
                </c:pt>
                <c:pt idx="495">
                  <c:v>50</c:v>
                </c:pt>
                <c:pt idx="496">
                  <c:v>48</c:v>
                </c:pt>
                <c:pt idx="497">
                  <c:v>40</c:v>
                </c:pt>
                <c:pt idx="498">
                  <c:v>40</c:v>
                </c:pt>
                <c:pt idx="499">
                  <c:v>40</c:v>
                </c:pt>
                <c:pt idx="500">
                  <c:v>40</c:v>
                </c:pt>
                <c:pt idx="501">
                  <c:v>60</c:v>
                </c:pt>
                <c:pt idx="502">
                  <c:v>65</c:v>
                </c:pt>
                <c:pt idx="503">
                  <c:v>40</c:v>
                </c:pt>
                <c:pt idx="504">
                  <c:v>70</c:v>
                </c:pt>
                <c:pt idx="505">
                  <c:v>20</c:v>
                </c:pt>
                <c:pt idx="506">
                  <c:v>40</c:v>
                </c:pt>
                <c:pt idx="507">
                  <c:v>60</c:v>
                </c:pt>
                <c:pt idx="508">
                  <c:v>45</c:v>
                </c:pt>
                <c:pt idx="509">
                  <c:v>50</c:v>
                </c:pt>
                <c:pt idx="510">
                  <c:v>20</c:v>
                </c:pt>
                <c:pt idx="511">
                  <c:v>40</c:v>
                </c:pt>
                <c:pt idx="512">
                  <c:v>50</c:v>
                </c:pt>
                <c:pt idx="513">
                  <c:v>30</c:v>
                </c:pt>
                <c:pt idx="514">
                  <c:v>45</c:v>
                </c:pt>
                <c:pt idx="515">
                  <c:v>75</c:v>
                </c:pt>
                <c:pt idx="516">
                  <c:v>40</c:v>
                </c:pt>
                <c:pt idx="517">
                  <c:v>45</c:v>
                </c:pt>
                <c:pt idx="518">
                  <c:v>38</c:v>
                </c:pt>
                <c:pt idx="519">
                  <c:v>40</c:v>
                </c:pt>
                <c:pt idx="520">
                  <c:v>44</c:v>
                </c:pt>
                <c:pt idx="521">
                  <c:v>53</c:v>
                </c:pt>
                <c:pt idx="522">
                  <c:v>40</c:v>
                </c:pt>
                <c:pt idx="523">
                  <c:v>20</c:v>
                </c:pt>
                <c:pt idx="524">
                  <c:v>40</c:v>
                </c:pt>
                <c:pt idx="525">
                  <c:v>20</c:v>
                </c:pt>
                <c:pt idx="526">
                  <c:v>40</c:v>
                </c:pt>
                <c:pt idx="527">
                  <c:v>24</c:v>
                </c:pt>
                <c:pt idx="528">
                  <c:v>40</c:v>
                </c:pt>
                <c:pt idx="529">
                  <c:v>40</c:v>
                </c:pt>
                <c:pt idx="530">
                  <c:v>50</c:v>
                </c:pt>
                <c:pt idx="531">
                  <c:v>40</c:v>
                </c:pt>
                <c:pt idx="532">
                  <c:v>40</c:v>
                </c:pt>
                <c:pt idx="533">
                  <c:v>20</c:v>
                </c:pt>
                <c:pt idx="534">
                  <c:v>40</c:v>
                </c:pt>
                <c:pt idx="535">
                  <c:v>84</c:v>
                </c:pt>
                <c:pt idx="536">
                  <c:v>40</c:v>
                </c:pt>
                <c:pt idx="537">
                  <c:v>30</c:v>
                </c:pt>
                <c:pt idx="538">
                  <c:v>50</c:v>
                </c:pt>
                <c:pt idx="539">
                  <c:v>45</c:v>
                </c:pt>
                <c:pt idx="540">
                  <c:v>36</c:v>
                </c:pt>
                <c:pt idx="541">
                  <c:v>40</c:v>
                </c:pt>
                <c:pt idx="542">
                  <c:v>50</c:v>
                </c:pt>
                <c:pt idx="543">
                  <c:v>40</c:v>
                </c:pt>
                <c:pt idx="544">
                  <c:v>60</c:v>
                </c:pt>
                <c:pt idx="545">
                  <c:v>30</c:v>
                </c:pt>
                <c:pt idx="546">
                  <c:v>60</c:v>
                </c:pt>
                <c:pt idx="547">
                  <c:v>33</c:v>
                </c:pt>
                <c:pt idx="548">
                  <c:v>45</c:v>
                </c:pt>
                <c:pt idx="549">
                  <c:v>40</c:v>
                </c:pt>
                <c:pt idx="550">
                  <c:v>40</c:v>
                </c:pt>
                <c:pt idx="551">
                  <c:v>40</c:v>
                </c:pt>
                <c:pt idx="552">
                  <c:v>40</c:v>
                </c:pt>
                <c:pt idx="553">
                  <c:v>40</c:v>
                </c:pt>
                <c:pt idx="554">
                  <c:v>50</c:v>
                </c:pt>
                <c:pt idx="555">
                  <c:v>55</c:v>
                </c:pt>
                <c:pt idx="556">
                  <c:v>70</c:v>
                </c:pt>
                <c:pt idx="557">
                  <c:v>45</c:v>
                </c:pt>
                <c:pt idx="558">
                  <c:v>56</c:v>
                </c:pt>
                <c:pt idx="559">
                  <c:v>25</c:v>
                </c:pt>
                <c:pt idx="560">
                  <c:v>40</c:v>
                </c:pt>
                <c:pt idx="561">
                  <c:v>38</c:v>
                </c:pt>
                <c:pt idx="562">
                  <c:v>40</c:v>
                </c:pt>
                <c:pt idx="563">
                  <c:v>40</c:v>
                </c:pt>
                <c:pt idx="564">
                  <c:v>40</c:v>
                </c:pt>
                <c:pt idx="565">
                  <c:v>40</c:v>
                </c:pt>
                <c:pt idx="566">
                  <c:v>40</c:v>
                </c:pt>
                <c:pt idx="567">
                  <c:v>40</c:v>
                </c:pt>
                <c:pt idx="568">
                  <c:v>35</c:v>
                </c:pt>
                <c:pt idx="569">
                  <c:v>50</c:v>
                </c:pt>
                <c:pt idx="570">
                  <c:v>35</c:v>
                </c:pt>
                <c:pt idx="571">
                  <c:v>30</c:v>
                </c:pt>
                <c:pt idx="572">
                  <c:v>30</c:v>
                </c:pt>
                <c:pt idx="573">
                  <c:v>20</c:v>
                </c:pt>
                <c:pt idx="574">
                  <c:v>40</c:v>
                </c:pt>
                <c:pt idx="575">
                  <c:v>60</c:v>
                </c:pt>
                <c:pt idx="576">
                  <c:v>46</c:v>
                </c:pt>
                <c:pt idx="577">
                  <c:v>30</c:v>
                </c:pt>
                <c:pt idx="578">
                  <c:v>40</c:v>
                </c:pt>
                <c:pt idx="579">
                  <c:v>40</c:v>
                </c:pt>
                <c:pt idx="580">
                  <c:v>55</c:v>
                </c:pt>
                <c:pt idx="581">
                  <c:v>50</c:v>
                </c:pt>
                <c:pt idx="582">
                  <c:v>15</c:v>
                </c:pt>
                <c:pt idx="583">
                  <c:v>40</c:v>
                </c:pt>
                <c:pt idx="584">
                  <c:v>50</c:v>
                </c:pt>
                <c:pt idx="585">
                  <c:v>32</c:v>
                </c:pt>
                <c:pt idx="586">
                  <c:v>38</c:v>
                </c:pt>
                <c:pt idx="587">
                  <c:v>20</c:v>
                </c:pt>
                <c:pt idx="588">
                  <c:v>40</c:v>
                </c:pt>
                <c:pt idx="589">
                  <c:v>25</c:v>
                </c:pt>
                <c:pt idx="590">
                  <c:v>60</c:v>
                </c:pt>
                <c:pt idx="591">
                  <c:v>55</c:v>
                </c:pt>
                <c:pt idx="592">
                  <c:v>50</c:v>
                </c:pt>
                <c:pt idx="593">
                  <c:v>40</c:v>
                </c:pt>
                <c:pt idx="594">
                  <c:v>40</c:v>
                </c:pt>
                <c:pt idx="595">
                  <c:v>40</c:v>
                </c:pt>
                <c:pt idx="596">
                  <c:v>40</c:v>
                </c:pt>
                <c:pt idx="597">
                  <c:v>24</c:v>
                </c:pt>
                <c:pt idx="598">
                  <c:v>40</c:v>
                </c:pt>
                <c:pt idx="599">
                  <c:v>35</c:v>
                </c:pt>
                <c:pt idx="600">
                  <c:v>50</c:v>
                </c:pt>
                <c:pt idx="601">
                  <c:v>40</c:v>
                </c:pt>
                <c:pt idx="602">
                  <c:v>40</c:v>
                </c:pt>
                <c:pt idx="603">
                  <c:v>40</c:v>
                </c:pt>
                <c:pt idx="604">
                  <c:v>20</c:v>
                </c:pt>
                <c:pt idx="605">
                  <c:v>40</c:v>
                </c:pt>
                <c:pt idx="606">
                  <c:v>20</c:v>
                </c:pt>
                <c:pt idx="607">
                  <c:v>40</c:v>
                </c:pt>
                <c:pt idx="608">
                  <c:v>40</c:v>
                </c:pt>
                <c:pt idx="609">
                  <c:v>40</c:v>
                </c:pt>
                <c:pt idx="610">
                  <c:v>30</c:v>
                </c:pt>
                <c:pt idx="611">
                  <c:v>40</c:v>
                </c:pt>
                <c:pt idx="612">
                  <c:v>60</c:v>
                </c:pt>
                <c:pt idx="613">
                  <c:v>15</c:v>
                </c:pt>
                <c:pt idx="614">
                  <c:v>40</c:v>
                </c:pt>
                <c:pt idx="615">
                  <c:v>10</c:v>
                </c:pt>
                <c:pt idx="616">
                  <c:v>70</c:v>
                </c:pt>
                <c:pt idx="617">
                  <c:v>40</c:v>
                </c:pt>
                <c:pt idx="618">
                  <c:v>45</c:v>
                </c:pt>
                <c:pt idx="619">
                  <c:v>40</c:v>
                </c:pt>
                <c:pt idx="620">
                  <c:v>35</c:v>
                </c:pt>
                <c:pt idx="621">
                  <c:v>50</c:v>
                </c:pt>
                <c:pt idx="622">
                  <c:v>20</c:v>
                </c:pt>
                <c:pt idx="623">
                  <c:v>50</c:v>
                </c:pt>
                <c:pt idx="624">
                  <c:v>20</c:v>
                </c:pt>
                <c:pt idx="625">
                  <c:v>40</c:v>
                </c:pt>
                <c:pt idx="626">
                  <c:v>40</c:v>
                </c:pt>
                <c:pt idx="627">
                  <c:v>40</c:v>
                </c:pt>
                <c:pt idx="628">
                  <c:v>40</c:v>
                </c:pt>
                <c:pt idx="629">
                  <c:v>60</c:v>
                </c:pt>
                <c:pt idx="630">
                  <c:v>60</c:v>
                </c:pt>
                <c:pt idx="631">
                  <c:v>24</c:v>
                </c:pt>
                <c:pt idx="632">
                  <c:v>55</c:v>
                </c:pt>
                <c:pt idx="633">
                  <c:v>50</c:v>
                </c:pt>
                <c:pt idx="634">
                  <c:v>25</c:v>
                </c:pt>
                <c:pt idx="635">
                  <c:v>55</c:v>
                </c:pt>
                <c:pt idx="636">
                  <c:v>40</c:v>
                </c:pt>
                <c:pt idx="637">
                  <c:v>48</c:v>
                </c:pt>
                <c:pt idx="638">
                  <c:v>40</c:v>
                </c:pt>
                <c:pt idx="639">
                  <c:v>40</c:v>
                </c:pt>
                <c:pt idx="640">
                  <c:v>40</c:v>
                </c:pt>
                <c:pt idx="641">
                  <c:v>60</c:v>
                </c:pt>
                <c:pt idx="642">
                  <c:v>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2B-42C3-9D52-5C93A9508D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2612624"/>
        <c:axId val="492631344"/>
      </c:scatterChart>
      <c:valAx>
        <c:axId val="492612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education-num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631344"/>
        <c:crosses val="autoZero"/>
        <c:crossBetween val="midCat"/>
      </c:valAx>
      <c:valAx>
        <c:axId val="492631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hours-per-week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6126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8a. </a:t>
            </a:r>
            <a:r>
              <a:rPr lang="en-US" sz="1400" b="0" i="0" u="none" strike="noStrike" baseline="0"/>
              <a:t>Age vs education-num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Scatter!$F$1</c:f>
              <c:strCache>
                <c:ptCount val="1"/>
                <c:pt idx="0">
                  <c:v>3education-num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Scatter!$E$2:$E$644</c:f>
              <c:numCache>
                <c:formatCode>General</c:formatCode>
                <c:ptCount val="643"/>
                <c:pt idx="0">
                  <c:v>18</c:v>
                </c:pt>
                <c:pt idx="1">
                  <c:v>28</c:v>
                </c:pt>
                <c:pt idx="2">
                  <c:v>35</c:v>
                </c:pt>
                <c:pt idx="3">
                  <c:v>46</c:v>
                </c:pt>
                <c:pt idx="4">
                  <c:v>35</c:v>
                </c:pt>
                <c:pt idx="5">
                  <c:v>34</c:v>
                </c:pt>
                <c:pt idx="6">
                  <c:v>44</c:v>
                </c:pt>
                <c:pt idx="7">
                  <c:v>28</c:v>
                </c:pt>
                <c:pt idx="8">
                  <c:v>34</c:v>
                </c:pt>
                <c:pt idx="9">
                  <c:v>54</c:v>
                </c:pt>
                <c:pt idx="10">
                  <c:v>30</c:v>
                </c:pt>
                <c:pt idx="11">
                  <c:v>42</c:v>
                </c:pt>
                <c:pt idx="12">
                  <c:v>21</c:v>
                </c:pt>
                <c:pt idx="13">
                  <c:v>36</c:v>
                </c:pt>
                <c:pt idx="14">
                  <c:v>31</c:v>
                </c:pt>
                <c:pt idx="15">
                  <c:v>55</c:v>
                </c:pt>
                <c:pt idx="16">
                  <c:v>45</c:v>
                </c:pt>
                <c:pt idx="17">
                  <c:v>23</c:v>
                </c:pt>
                <c:pt idx="18">
                  <c:v>40</c:v>
                </c:pt>
                <c:pt idx="19">
                  <c:v>37</c:v>
                </c:pt>
                <c:pt idx="20">
                  <c:v>43</c:v>
                </c:pt>
                <c:pt idx="21">
                  <c:v>31</c:v>
                </c:pt>
                <c:pt idx="22">
                  <c:v>28</c:v>
                </c:pt>
                <c:pt idx="23">
                  <c:v>29</c:v>
                </c:pt>
                <c:pt idx="24">
                  <c:v>17</c:v>
                </c:pt>
                <c:pt idx="25">
                  <c:v>17</c:v>
                </c:pt>
                <c:pt idx="26">
                  <c:v>66</c:v>
                </c:pt>
                <c:pt idx="27">
                  <c:v>69</c:v>
                </c:pt>
                <c:pt idx="28">
                  <c:v>27</c:v>
                </c:pt>
                <c:pt idx="29">
                  <c:v>26</c:v>
                </c:pt>
                <c:pt idx="30">
                  <c:v>50</c:v>
                </c:pt>
                <c:pt idx="31">
                  <c:v>59</c:v>
                </c:pt>
                <c:pt idx="32">
                  <c:v>37</c:v>
                </c:pt>
                <c:pt idx="33">
                  <c:v>18</c:v>
                </c:pt>
                <c:pt idx="34">
                  <c:v>21</c:v>
                </c:pt>
                <c:pt idx="35">
                  <c:v>64</c:v>
                </c:pt>
                <c:pt idx="36">
                  <c:v>50</c:v>
                </c:pt>
                <c:pt idx="37">
                  <c:v>19</c:v>
                </c:pt>
                <c:pt idx="38">
                  <c:v>28</c:v>
                </c:pt>
                <c:pt idx="39">
                  <c:v>47</c:v>
                </c:pt>
                <c:pt idx="40">
                  <c:v>56</c:v>
                </c:pt>
                <c:pt idx="41">
                  <c:v>26</c:v>
                </c:pt>
                <c:pt idx="42">
                  <c:v>51</c:v>
                </c:pt>
                <c:pt idx="43">
                  <c:v>20</c:v>
                </c:pt>
                <c:pt idx="44">
                  <c:v>25</c:v>
                </c:pt>
                <c:pt idx="45">
                  <c:v>46</c:v>
                </c:pt>
                <c:pt idx="46">
                  <c:v>22</c:v>
                </c:pt>
                <c:pt idx="47">
                  <c:v>37</c:v>
                </c:pt>
                <c:pt idx="48">
                  <c:v>22</c:v>
                </c:pt>
                <c:pt idx="49">
                  <c:v>27</c:v>
                </c:pt>
                <c:pt idx="50">
                  <c:v>55</c:v>
                </c:pt>
                <c:pt idx="51">
                  <c:v>39</c:v>
                </c:pt>
                <c:pt idx="52">
                  <c:v>53</c:v>
                </c:pt>
                <c:pt idx="53">
                  <c:v>24</c:v>
                </c:pt>
                <c:pt idx="54">
                  <c:v>24</c:v>
                </c:pt>
                <c:pt idx="55">
                  <c:v>21</c:v>
                </c:pt>
                <c:pt idx="56">
                  <c:v>30</c:v>
                </c:pt>
                <c:pt idx="57">
                  <c:v>58</c:v>
                </c:pt>
                <c:pt idx="58">
                  <c:v>41</c:v>
                </c:pt>
                <c:pt idx="59">
                  <c:v>17</c:v>
                </c:pt>
                <c:pt idx="60">
                  <c:v>31</c:v>
                </c:pt>
                <c:pt idx="61">
                  <c:v>48</c:v>
                </c:pt>
                <c:pt idx="62">
                  <c:v>42</c:v>
                </c:pt>
                <c:pt idx="63">
                  <c:v>26</c:v>
                </c:pt>
                <c:pt idx="64">
                  <c:v>33</c:v>
                </c:pt>
                <c:pt idx="65">
                  <c:v>40</c:v>
                </c:pt>
                <c:pt idx="66">
                  <c:v>51</c:v>
                </c:pt>
                <c:pt idx="67">
                  <c:v>35</c:v>
                </c:pt>
                <c:pt idx="68">
                  <c:v>44</c:v>
                </c:pt>
                <c:pt idx="69">
                  <c:v>58</c:v>
                </c:pt>
                <c:pt idx="70">
                  <c:v>73</c:v>
                </c:pt>
                <c:pt idx="71">
                  <c:v>36</c:v>
                </c:pt>
                <c:pt idx="72">
                  <c:v>23</c:v>
                </c:pt>
                <c:pt idx="73">
                  <c:v>59</c:v>
                </c:pt>
                <c:pt idx="74">
                  <c:v>24</c:v>
                </c:pt>
                <c:pt idx="75">
                  <c:v>39</c:v>
                </c:pt>
                <c:pt idx="76">
                  <c:v>43</c:v>
                </c:pt>
                <c:pt idx="77">
                  <c:v>51</c:v>
                </c:pt>
                <c:pt idx="78">
                  <c:v>70</c:v>
                </c:pt>
                <c:pt idx="79">
                  <c:v>70</c:v>
                </c:pt>
                <c:pt idx="80">
                  <c:v>28</c:v>
                </c:pt>
                <c:pt idx="81">
                  <c:v>19</c:v>
                </c:pt>
                <c:pt idx="82">
                  <c:v>51</c:v>
                </c:pt>
                <c:pt idx="83">
                  <c:v>47</c:v>
                </c:pt>
                <c:pt idx="84">
                  <c:v>28</c:v>
                </c:pt>
                <c:pt idx="85">
                  <c:v>41</c:v>
                </c:pt>
                <c:pt idx="86">
                  <c:v>31</c:v>
                </c:pt>
                <c:pt idx="87">
                  <c:v>38</c:v>
                </c:pt>
                <c:pt idx="88">
                  <c:v>21</c:v>
                </c:pt>
                <c:pt idx="89">
                  <c:v>44</c:v>
                </c:pt>
                <c:pt idx="90">
                  <c:v>29</c:v>
                </c:pt>
                <c:pt idx="91">
                  <c:v>25</c:v>
                </c:pt>
                <c:pt idx="92">
                  <c:v>20</c:v>
                </c:pt>
                <c:pt idx="93">
                  <c:v>43</c:v>
                </c:pt>
                <c:pt idx="94">
                  <c:v>27</c:v>
                </c:pt>
                <c:pt idx="95">
                  <c:v>32</c:v>
                </c:pt>
                <c:pt idx="96">
                  <c:v>29</c:v>
                </c:pt>
                <c:pt idx="97">
                  <c:v>34</c:v>
                </c:pt>
                <c:pt idx="98">
                  <c:v>42</c:v>
                </c:pt>
                <c:pt idx="99">
                  <c:v>39</c:v>
                </c:pt>
                <c:pt idx="100">
                  <c:v>42</c:v>
                </c:pt>
                <c:pt idx="101">
                  <c:v>25</c:v>
                </c:pt>
                <c:pt idx="102">
                  <c:v>52</c:v>
                </c:pt>
                <c:pt idx="103">
                  <c:v>26</c:v>
                </c:pt>
                <c:pt idx="104">
                  <c:v>57</c:v>
                </c:pt>
                <c:pt idx="105">
                  <c:v>28</c:v>
                </c:pt>
                <c:pt idx="106">
                  <c:v>28</c:v>
                </c:pt>
                <c:pt idx="107">
                  <c:v>59</c:v>
                </c:pt>
                <c:pt idx="108">
                  <c:v>61</c:v>
                </c:pt>
                <c:pt idx="109">
                  <c:v>21</c:v>
                </c:pt>
                <c:pt idx="110">
                  <c:v>19</c:v>
                </c:pt>
                <c:pt idx="111">
                  <c:v>28</c:v>
                </c:pt>
                <c:pt idx="112">
                  <c:v>39</c:v>
                </c:pt>
                <c:pt idx="113">
                  <c:v>64</c:v>
                </c:pt>
                <c:pt idx="114">
                  <c:v>28</c:v>
                </c:pt>
                <c:pt idx="115">
                  <c:v>42</c:v>
                </c:pt>
                <c:pt idx="116">
                  <c:v>35</c:v>
                </c:pt>
                <c:pt idx="117">
                  <c:v>23</c:v>
                </c:pt>
                <c:pt idx="118">
                  <c:v>63</c:v>
                </c:pt>
                <c:pt idx="119">
                  <c:v>53</c:v>
                </c:pt>
                <c:pt idx="120">
                  <c:v>56</c:v>
                </c:pt>
                <c:pt idx="121">
                  <c:v>49</c:v>
                </c:pt>
                <c:pt idx="122">
                  <c:v>47</c:v>
                </c:pt>
                <c:pt idx="123">
                  <c:v>22</c:v>
                </c:pt>
                <c:pt idx="124">
                  <c:v>20</c:v>
                </c:pt>
                <c:pt idx="125">
                  <c:v>18</c:v>
                </c:pt>
                <c:pt idx="126">
                  <c:v>31</c:v>
                </c:pt>
                <c:pt idx="127">
                  <c:v>51</c:v>
                </c:pt>
                <c:pt idx="128">
                  <c:v>90</c:v>
                </c:pt>
                <c:pt idx="129">
                  <c:v>26</c:v>
                </c:pt>
                <c:pt idx="130">
                  <c:v>51</c:v>
                </c:pt>
                <c:pt idx="131">
                  <c:v>34</c:v>
                </c:pt>
                <c:pt idx="132">
                  <c:v>48</c:v>
                </c:pt>
                <c:pt idx="133">
                  <c:v>64</c:v>
                </c:pt>
                <c:pt idx="134">
                  <c:v>33</c:v>
                </c:pt>
                <c:pt idx="135">
                  <c:v>20</c:v>
                </c:pt>
                <c:pt idx="136">
                  <c:v>37</c:v>
                </c:pt>
                <c:pt idx="137">
                  <c:v>23</c:v>
                </c:pt>
                <c:pt idx="138">
                  <c:v>30</c:v>
                </c:pt>
                <c:pt idx="139">
                  <c:v>45</c:v>
                </c:pt>
                <c:pt idx="140">
                  <c:v>41</c:v>
                </c:pt>
                <c:pt idx="141">
                  <c:v>32</c:v>
                </c:pt>
                <c:pt idx="142">
                  <c:v>39</c:v>
                </c:pt>
                <c:pt idx="143">
                  <c:v>45</c:v>
                </c:pt>
                <c:pt idx="144">
                  <c:v>46</c:v>
                </c:pt>
                <c:pt idx="145">
                  <c:v>34</c:v>
                </c:pt>
                <c:pt idx="146">
                  <c:v>54</c:v>
                </c:pt>
                <c:pt idx="147">
                  <c:v>64</c:v>
                </c:pt>
                <c:pt idx="148">
                  <c:v>36</c:v>
                </c:pt>
                <c:pt idx="149">
                  <c:v>38</c:v>
                </c:pt>
                <c:pt idx="150">
                  <c:v>62</c:v>
                </c:pt>
                <c:pt idx="151">
                  <c:v>56</c:v>
                </c:pt>
                <c:pt idx="152">
                  <c:v>26</c:v>
                </c:pt>
                <c:pt idx="153">
                  <c:v>63</c:v>
                </c:pt>
                <c:pt idx="154">
                  <c:v>38</c:v>
                </c:pt>
                <c:pt idx="155">
                  <c:v>43</c:v>
                </c:pt>
                <c:pt idx="156">
                  <c:v>30</c:v>
                </c:pt>
                <c:pt idx="157">
                  <c:v>26</c:v>
                </c:pt>
                <c:pt idx="158">
                  <c:v>42</c:v>
                </c:pt>
                <c:pt idx="159">
                  <c:v>43</c:v>
                </c:pt>
                <c:pt idx="160">
                  <c:v>29</c:v>
                </c:pt>
                <c:pt idx="161">
                  <c:v>23</c:v>
                </c:pt>
                <c:pt idx="162">
                  <c:v>31</c:v>
                </c:pt>
                <c:pt idx="163">
                  <c:v>40</c:v>
                </c:pt>
                <c:pt idx="164">
                  <c:v>50</c:v>
                </c:pt>
                <c:pt idx="165">
                  <c:v>32</c:v>
                </c:pt>
                <c:pt idx="166">
                  <c:v>17</c:v>
                </c:pt>
                <c:pt idx="167">
                  <c:v>23</c:v>
                </c:pt>
                <c:pt idx="168">
                  <c:v>34</c:v>
                </c:pt>
                <c:pt idx="169">
                  <c:v>48</c:v>
                </c:pt>
                <c:pt idx="170">
                  <c:v>40</c:v>
                </c:pt>
                <c:pt idx="171">
                  <c:v>21</c:v>
                </c:pt>
                <c:pt idx="172">
                  <c:v>43</c:v>
                </c:pt>
                <c:pt idx="173">
                  <c:v>39</c:v>
                </c:pt>
                <c:pt idx="174">
                  <c:v>27</c:v>
                </c:pt>
                <c:pt idx="175">
                  <c:v>17</c:v>
                </c:pt>
                <c:pt idx="176">
                  <c:v>25</c:v>
                </c:pt>
                <c:pt idx="177">
                  <c:v>33</c:v>
                </c:pt>
                <c:pt idx="178">
                  <c:v>51</c:v>
                </c:pt>
                <c:pt idx="179">
                  <c:v>27</c:v>
                </c:pt>
                <c:pt idx="180">
                  <c:v>36</c:v>
                </c:pt>
                <c:pt idx="181">
                  <c:v>52</c:v>
                </c:pt>
                <c:pt idx="182">
                  <c:v>43</c:v>
                </c:pt>
                <c:pt idx="183">
                  <c:v>56</c:v>
                </c:pt>
                <c:pt idx="184">
                  <c:v>25</c:v>
                </c:pt>
                <c:pt idx="185">
                  <c:v>55</c:v>
                </c:pt>
                <c:pt idx="186">
                  <c:v>37</c:v>
                </c:pt>
                <c:pt idx="187">
                  <c:v>34</c:v>
                </c:pt>
                <c:pt idx="188">
                  <c:v>27</c:v>
                </c:pt>
                <c:pt idx="189">
                  <c:v>50</c:v>
                </c:pt>
                <c:pt idx="190">
                  <c:v>34</c:v>
                </c:pt>
                <c:pt idx="191">
                  <c:v>20</c:v>
                </c:pt>
                <c:pt idx="192">
                  <c:v>41</c:v>
                </c:pt>
                <c:pt idx="193">
                  <c:v>38</c:v>
                </c:pt>
                <c:pt idx="194">
                  <c:v>39</c:v>
                </c:pt>
                <c:pt idx="195">
                  <c:v>36</c:v>
                </c:pt>
                <c:pt idx="196">
                  <c:v>64</c:v>
                </c:pt>
                <c:pt idx="197">
                  <c:v>18</c:v>
                </c:pt>
                <c:pt idx="198">
                  <c:v>46</c:v>
                </c:pt>
                <c:pt idx="199">
                  <c:v>18</c:v>
                </c:pt>
                <c:pt idx="200">
                  <c:v>63</c:v>
                </c:pt>
                <c:pt idx="201">
                  <c:v>56</c:v>
                </c:pt>
                <c:pt idx="202">
                  <c:v>59</c:v>
                </c:pt>
                <c:pt idx="203">
                  <c:v>37</c:v>
                </c:pt>
                <c:pt idx="204">
                  <c:v>21</c:v>
                </c:pt>
                <c:pt idx="205">
                  <c:v>23</c:v>
                </c:pt>
                <c:pt idx="206">
                  <c:v>30</c:v>
                </c:pt>
                <c:pt idx="207">
                  <c:v>42</c:v>
                </c:pt>
                <c:pt idx="208">
                  <c:v>48</c:v>
                </c:pt>
                <c:pt idx="209">
                  <c:v>56</c:v>
                </c:pt>
                <c:pt idx="210">
                  <c:v>25</c:v>
                </c:pt>
                <c:pt idx="211">
                  <c:v>46</c:v>
                </c:pt>
                <c:pt idx="212">
                  <c:v>18</c:v>
                </c:pt>
                <c:pt idx="213">
                  <c:v>74</c:v>
                </c:pt>
                <c:pt idx="214">
                  <c:v>32</c:v>
                </c:pt>
                <c:pt idx="215">
                  <c:v>20</c:v>
                </c:pt>
                <c:pt idx="216">
                  <c:v>23</c:v>
                </c:pt>
                <c:pt idx="217">
                  <c:v>57</c:v>
                </c:pt>
                <c:pt idx="218">
                  <c:v>47</c:v>
                </c:pt>
                <c:pt idx="219">
                  <c:v>55</c:v>
                </c:pt>
                <c:pt idx="220">
                  <c:v>26</c:v>
                </c:pt>
                <c:pt idx="221">
                  <c:v>47</c:v>
                </c:pt>
                <c:pt idx="222">
                  <c:v>24</c:v>
                </c:pt>
                <c:pt idx="223">
                  <c:v>28</c:v>
                </c:pt>
                <c:pt idx="224">
                  <c:v>23</c:v>
                </c:pt>
                <c:pt idx="225">
                  <c:v>40</c:v>
                </c:pt>
                <c:pt idx="226">
                  <c:v>60</c:v>
                </c:pt>
                <c:pt idx="227">
                  <c:v>28</c:v>
                </c:pt>
                <c:pt idx="228">
                  <c:v>43</c:v>
                </c:pt>
                <c:pt idx="229">
                  <c:v>42</c:v>
                </c:pt>
                <c:pt idx="230">
                  <c:v>67</c:v>
                </c:pt>
                <c:pt idx="231">
                  <c:v>25</c:v>
                </c:pt>
                <c:pt idx="232">
                  <c:v>30</c:v>
                </c:pt>
                <c:pt idx="233">
                  <c:v>37</c:v>
                </c:pt>
                <c:pt idx="234">
                  <c:v>62</c:v>
                </c:pt>
                <c:pt idx="235">
                  <c:v>41</c:v>
                </c:pt>
                <c:pt idx="236">
                  <c:v>40</c:v>
                </c:pt>
                <c:pt idx="237">
                  <c:v>58</c:v>
                </c:pt>
                <c:pt idx="238">
                  <c:v>35</c:v>
                </c:pt>
                <c:pt idx="239">
                  <c:v>49</c:v>
                </c:pt>
                <c:pt idx="240">
                  <c:v>90</c:v>
                </c:pt>
                <c:pt idx="241">
                  <c:v>54</c:v>
                </c:pt>
                <c:pt idx="242">
                  <c:v>18</c:v>
                </c:pt>
                <c:pt idx="243">
                  <c:v>25</c:v>
                </c:pt>
                <c:pt idx="244">
                  <c:v>31</c:v>
                </c:pt>
                <c:pt idx="245">
                  <c:v>22</c:v>
                </c:pt>
                <c:pt idx="246">
                  <c:v>25</c:v>
                </c:pt>
                <c:pt idx="247">
                  <c:v>36</c:v>
                </c:pt>
                <c:pt idx="248">
                  <c:v>26</c:v>
                </c:pt>
                <c:pt idx="249">
                  <c:v>37</c:v>
                </c:pt>
                <c:pt idx="250">
                  <c:v>27</c:v>
                </c:pt>
                <c:pt idx="251">
                  <c:v>18</c:v>
                </c:pt>
                <c:pt idx="252">
                  <c:v>24</c:v>
                </c:pt>
                <c:pt idx="253">
                  <c:v>47</c:v>
                </c:pt>
                <c:pt idx="254">
                  <c:v>48</c:v>
                </c:pt>
                <c:pt idx="255">
                  <c:v>39</c:v>
                </c:pt>
                <c:pt idx="256">
                  <c:v>26</c:v>
                </c:pt>
                <c:pt idx="257">
                  <c:v>51</c:v>
                </c:pt>
                <c:pt idx="258">
                  <c:v>32</c:v>
                </c:pt>
                <c:pt idx="259">
                  <c:v>38</c:v>
                </c:pt>
                <c:pt idx="260">
                  <c:v>41</c:v>
                </c:pt>
                <c:pt idx="261">
                  <c:v>27</c:v>
                </c:pt>
                <c:pt idx="262">
                  <c:v>52</c:v>
                </c:pt>
                <c:pt idx="263">
                  <c:v>28</c:v>
                </c:pt>
                <c:pt idx="264">
                  <c:v>54</c:v>
                </c:pt>
                <c:pt idx="265">
                  <c:v>71</c:v>
                </c:pt>
                <c:pt idx="266">
                  <c:v>57</c:v>
                </c:pt>
                <c:pt idx="267">
                  <c:v>33</c:v>
                </c:pt>
                <c:pt idx="268">
                  <c:v>50</c:v>
                </c:pt>
                <c:pt idx="269">
                  <c:v>66</c:v>
                </c:pt>
                <c:pt idx="270">
                  <c:v>41</c:v>
                </c:pt>
                <c:pt idx="271">
                  <c:v>25</c:v>
                </c:pt>
                <c:pt idx="272">
                  <c:v>31</c:v>
                </c:pt>
                <c:pt idx="273">
                  <c:v>47</c:v>
                </c:pt>
                <c:pt idx="274">
                  <c:v>21</c:v>
                </c:pt>
                <c:pt idx="275">
                  <c:v>64</c:v>
                </c:pt>
                <c:pt idx="276">
                  <c:v>39</c:v>
                </c:pt>
                <c:pt idx="277">
                  <c:v>26</c:v>
                </c:pt>
                <c:pt idx="278">
                  <c:v>22</c:v>
                </c:pt>
                <c:pt idx="279">
                  <c:v>30</c:v>
                </c:pt>
                <c:pt idx="280">
                  <c:v>30</c:v>
                </c:pt>
                <c:pt idx="281">
                  <c:v>49</c:v>
                </c:pt>
                <c:pt idx="282">
                  <c:v>22</c:v>
                </c:pt>
                <c:pt idx="283">
                  <c:v>46</c:v>
                </c:pt>
                <c:pt idx="284">
                  <c:v>55</c:v>
                </c:pt>
                <c:pt idx="285">
                  <c:v>41</c:v>
                </c:pt>
                <c:pt idx="286">
                  <c:v>65</c:v>
                </c:pt>
                <c:pt idx="287">
                  <c:v>38</c:v>
                </c:pt>
                <c:pt idx="288">
                  <c:v>75</c:v>
                </c:pt>
                <c:pt idx="289">
                  <c:v>68</c:v>
                </c:pt>
                <c:pt idx="290">
                  <c:v>43</c:v>
                </c:pt>
                <c:pt idx="291">
                  <c:v>20</c:v>
                </c:pt>
                <c:pt idx="292">
                  <c:v>32</c:v>
                </c:pt>
                <c:pt idx="293">
                  <c:v>31</c:v>
                </c:pt>
                <c:pt idx="294">
                  <c:v>45</c:v>
                </c:pt>
                <c:pt idx="295">
                  <c:v>23</c:v>
                </c:pt>
                <c:pt idx="296">
                  <c:v>34</c:v>
                </c:pt>
                <c:pt idx="297">
                  <c:v>36</c:v>
                </c:pt>
                <c:pt idx="298">
                  <c:v>42</c:v>
                </c:pt>
                <c:pt idx="299">
                  <c:v>63</c:v>
                </c:pt>
                <c:pt idx="300">
                  <c:v>44</c:v>
                </c:pt>
                <c:pt idx="301">
                  <c:v>35</c:v>
                </c:pt>
                <c:pt idx="302">
                  <c:v>30</c:v>
                </c:pt>
                <c:pt idx="303">
                  <c:v>47</c:v>
                </c:pt>
                <c:pt idx="304">
                  <c:v>34</c:v>
                </c:pt>
                <c:pt idx="305">
                  <c:v>38</c:v>
                </c:pt>
                <c:pt idx="306">
                  <c:v>31</c:v>
                </c:pt>
                <c:pt idx="307">
                  <c:v>60</c:v>
                </c:pt>
                <c:pt idx="308">
                  <c:v>22</c:v>
                </c:pt>
                <c:pt idx="309">
                  <c:v>53</c:v>
                </c:pt>
                <c:pt idx="310">
                  <c:v>90</c:v>
                </c:pt>
                <c:pt idx="311">
                  <c:v>39</c:v>
                </c:pt>
                <c:pt idx="312">
                  <c:v>51</c:v>
                </c:pt>
                <c:pt idx="313">
                  <c:v>51</c:v>
                </c:pt>
                <c:pt idx="314">
                  <c:v>42</c:v>
                </c:pt>
                <c:pt idx="315">
                  <c:v>36</c:v>
                </c:pt>
                <c:pt idx="316">
                  <c:v>57</c:v>
                </c:pt>
                <c:pt idx="317">
                  <c:v>71</c:v>
                </c:pt>
                <c:pt idx="318">
                  <c:v>53</c:v>
                </c:pt>
                <c:pt idx="319">
                  <c:v>23</c:v>
                </c:pt>
                <c:pt idx="320">
                  <c:v>45</c:v>
                </c:pt>
                <c:pt idx="321">
                  <c:v>19</c:v>
                </c:pt>
                <c:pt idx="322">
                  <c:v>49</c:v>
                </c:pt>
                <c:pt idx="323">
                  <c:v>36</c:v>
                </c:pt>
                <c:pt idx="324">
                  <c:v>32</c:v>
                </c:pt>
                <c:pt idx="325">
                  <c:v>43</c:v>
                </c:pt>
                <c:pt idx="326">
                  <c:v>23</c:v>
                </c:pt>
                <c:pt idx="327">
                  <c:v>32</c:v>
                </c:pt>
                <c:pt idx="328">
                  <c:v>35</c:v>
                </c:pt>
                <c:pt idx="329">
                  <c:v>30</c:v>
                </c:pt>
                <c:pt idx="330">
                  <c:v>59</c:v>
                </c:pt>
                <c:pt idx="331">
                  <c:v>37</c:v>
                </c:pt>
                <c:pt idx="332">
                  <c:v>36</c:v>
                </c:pt>
                <c:pt idx="333">
                  <c:v>34</c:v>
                </c:pt>
                <c:pt idx="334">
                  <c:v>25</c:v>
                </c:pt>
                <c:pt idx="335">
                  <c:v>32</c:v>
                </c:pt>
                <c:pt idx="336">
                  <c:v>43</c:v>
                </c:pt>
                <c:pt idx="337">
                  <c:v>58</c:v>
                </c:pt>
                <c:pt idx="338">
                  <c:v>23</c:v>
                </c:pt>
                <c:pt idx="339">
                  <c:v>25</c:v>
                </c:pt>
                <c:pt idx="340">
                  <c:v>28</c:v>
                </c:pt>
                <c:pt idx="341">
                  <c:v>34</c:v>
                </c:pt>
                <c:pt idx="342">
                  <c:v>44</c:v>
                </c:pt>
                <c:pt idx="343">
                  <c:v>22</c:v>
                </c:pt>
                <c:pt idx="344">
                  <c:v>25</c:v>
                </c:pt>
                <c:pt idx="345">
                  <c:v>52</c:v>
                </c:pt>
                <c:pt idx="346">
                  <c:v>32</c:v>
                </c:pt>
                <c:pt idx="347">
                  <c:v>41</c:v>
                </c:pt>
                <c:pt idx="348">
                  <c:v>18</c:v>
                </c:pt>
                <c:pt idx="349">
                  <c:v>37</c:v>
                </c:pt>
                <c:pt idx="350">
                  <c:v>41</c:v>
                </c:pt>
                <c:pt idx="351">
                  <c:v>28</c:v>
                </c:pt>
                <c:pt idx="352">
                  <c:v>40</c:v>
                </c:pt>
                <c:pt idx="353">
                  <c:v>44</c:v>
                </c:pt>
                <c:pt idx="354">
                  <c:v>48</c:v>
                </c:pt>
                <c:pt idx="355">
                  <c:v>38</c:v>
                </c:pt>
                <c:pt idx="356">
                  <c:v>35</c:v>
                </c:pt>
                <c:pt idx="357">
                  <c:v>22</c:v>
                </c:pt>
                <c:pt idx="358">
                  <c:v>35</c:v>
                </c:pt>
                <c:pt idx="359">
                  <c:v>28</c:v>
                </c:pt>
                <c:pt idx="360">
                  <c:v>61</c:v>
                </c:pt>
                <c:pt idx="361">
                  <c:v>39</c:v>
                </c:pt>
                <c:pt idx="362">
                  <c:v>18</c:v>
                </c:pt>
                <c:pt idx="363">
                  <c:v>57</c:v>
                </c:pt>
                <c:pt idx="364">
                  <c:v>37</c:v>
                </c:pt>
                <c:pt idx="365">
                  <c:v>33</c:v>
                </c:pt>
                <c:pt idx="366">
                  <c:v>17</c:v>
                </c:pt>
                <c:pt idx="367">
                  <c:v>64</c:v>
                </c:pt>
                <c:pt idx="368">
                  <c:v>33</c:v>
                </c:pt>
                <c:pt idx="369">
                  <c:v>20</c:v>
                </c:pt>
                <c:pt idx="370">
                  <c:v>44</c:v>
                </c:pt>
                <c:pt idx="371">
                  <c:v>42</c:v>
                </c:pt>
                <c:pt idx="372">
                  <c:v>28</c:v>
                </c:pt>
                <c:pt idx="373">
                  <c:v>39</c:v>
                </c:pt>
                <c:pt idx="374">
                  <c:v>32</c:v>
                </c:pt>
                <c:pt idx="375">
                  <c:v>22</c:v>
                </c:pt>
                <c:pt idx="376">
                  <c:v>54</c:v>
                </c:pt>
                <c:pt idx="377">
                  <c:v>44</c:v>
                </c:pt>
                <c:pt idx="378">
                  <c:v>62</c:v>
                </c:pt>
                <c:pt idx="379">
                  <c:v>29</c:v>
                </c:pt>
                <c:pt idx="380">
                  <c:v>31</c:v>
                </c:pt>
                <c:pt idx="381">
                  <c:v>33</c:v>
                </c:pt>
                <c:pt idx="382">
                  <c:v>33</c:v>
                </c:pt>
                <c:pt idx="383">
                  <c:v>21</c:v>
                </c:pt>
                <c:pt idx="384">
                  <c:v>44</c:v>
                </c:pt>
                <c:pt idx="385">
                  <c:v>37</c:v>
                </c:pt>
                <c:pt idx="386">
                  <c:v>19</c:v>
                </c:pt>
                <c:pt idx="387">
                  <c:v>32</c:v>
                </c:pt>
                <c:pt idx="388">
                  <c:v>58</c:v>
                </c:pt>
                <c:pt idx="389">
                  <c:v>44</c:v>
                </c:pt>
                <c:pt idx="390">
                  <c:v>25</c:v>
                </c:pt>
                <c:pt idx="391">
                  <c:v>45</c:v>
                </c:pt>
                <c:pt idx="392">
                  <c:v>46</c:v>
                </c:pt>
                <c:pt idx="393">
                  <c:v>38</c:v>
                </c:pt>
                <c:pt idx="394">
                  <c:v>47</c:v>
                </c:pt>
                <c:pt idx="395">
                  <c:v>39</c:v>
                </c:pt>
                <c:pt idx="396">
                  <c:v>28</c:v>
                </c:pt>
                <c:pt idx="397">
                  <c:v>41</c:v>
                </c:pt>
                <c:pt idx="398">
                  <c:v>23</c:v>
                </c:pt>
                <c:pt idx="399">
                  <c:v>37</c:v>
                </c:pt>
                <c:pt idx="400">
                  <c:v>34</c:v>
                </c:pt>
                <c:pt idx="401">
                  <c:v>46</c:v>
                </c:pt>
                <c:pt idx="402">
                  <c:v>30</c:v>
                </c:pt>
                <c:pt idx="403">
                  <c:v>30</c:v>
                </c:pt>
                <c:pt idx="404">
                  <c:v>27</c:v>
                </c:pt>
                <c:pt idx="405">
                  <c:v>29</c:v>
                </c:pt>
                <c:pt idx="406">
                  <c:v>25</c:v>
                </c:pt>
                <c:pt idx="407">
                  <c:v>23</c:v>
                </c:pt>
                <c:pt idx="408">
                  <c:v>27</c:v>
                </c:pt>
                <c:pt idx="409">
                  <c:v>40</c:v>
                </c:pt>
                <c:pt idx="410">
                  <c:v>41</c:v>
                </c:pt>
                <c:pt idx="411">
                  <c:v>56</c:v>
                </c:pt>
                <c:pt idx="412">
                  <c:v>34</c:v>
                </c:pt>
                <c:pt idx="413">
                  <c:v>23</c:v>
                </c:pt>
                <c:pt idx="414">
                  <c:v>33</c:v>
                </c:pt>
                <c:pt idx="415">
                  <c:v>64</c:v>
                </c:pt>
                <c:pt idx="416">
                  <c:v>21</c:v>
                </c:pt>
                <c:pt idx="417">
                  <c:v>59</c:v>
                </c:pt>
                <c:pt idx="418">
                  <c:v>27</c:v>
                </c:pt>
                <c:pt idx="419">
                  <c:v>40</c:v>
                </c:pt>
                <c:pt idx="420">
                  <c:v>36</c:v>
                </c:pt>
                <c:pt idx="421">
                  <c:v>49</c:v>
                </c:pt>
                <c:pt idx="422">
                  <c:v>57</c:v>
                </c:pt>
                <c:pt idx="423">
                  <c:v>55</c:v>
                </c:pt>
                <c:pt idx="424">
                  <c:v>59</c:v>
                </c:pt>
                <c:pt idx="425">
                  <c:v>35</c:v>
                </c:pt>
                <c:pt idx="426">
                  <c:v>42</c:v>
                </c:pt>
                <c:pt idx="427">
                  <c:v>42</c:v>
                </c:pt>
                <c:pt idx="428">
                  <c:v>41</c:v>
                </c:pt>
                <c:pt idx="429">
                  <c:v>43</c:v>
                </c:pt>
                <c:pt idx="430">
                  <c:v>26</c:v>
                </c:pt>
                <c:pt idx="431">
                  <c:v>27</c:v>
                </c:pt>
                <c:pt idx="432">
                  <c:v>51</c:v>
                </c:pt>
                <c:pt idx="433">
                  <c:v>19</c:v>
                </c:pt>
                <c:pt idx="434">
                  <c:v>43</c:v>
                </c:pt>
                <c:pt idx="435">
                  <c:v>33</c:v>
                </c:pt>
                <c:pt idx="436">
                  <c:v>18</c:v>
                </c:pt>
                <c:pt idx="437">
                  <c:v>45</c:v>
                </c:pt>
                <c:pt idx="438">
                  <c:v>58</c:v>
                </c:pt>
                <c:pt idx="439">
                  <c:v>47</c:v>
                </c:pt>
                <c:pt idx="440">
                  <c:v>34</c:v>
                </c:pt>
                <c:pt idx="441">
                  <c:v>34</c:v>
                </c:pt>
                <c:pt idx="442">
                  <c:v>23</c:v>
                </c:pt>
                <c:pt idx="443">
                  <c:v>25</c:v>
                </c:pt>
                <c:pt idx="444">
                  <c:v>36</c:v>
                </c:pt>
                <c:pt idx="445">
                  <c:v>25</c:v>
                </c:pt>
                <c:pt idx="446">
                  <c:v>25</c:v>
                </c:pt>
                <c:pt idx="447">
                  <c:v>38</c:v>
                </c:pt>
                <c:pt idx="448">
                  <c:v>37</c:v>
                </c:pt>
                <c:pt idx="449">
                  <c:v>54</c:v>
                </c:pt>
                <c:pt idx="450">
                  <c:v>40</c:v>
                </c:pt>
                <c:pt idx="451">
                  <c:v>21</c:v>
                </c:pt>
                <c:pt idx="452">
                  <c:v>76</c:v>
                </c:pt>
                <c:pt idx="453">
                  <c:v>28</c:v>
                </c:pt>
                <c:pt idx="454">
                  <c:v>47</c:v>
                </c:pt>
                <c:pt idx="455">
                  <c:v>58</c:v>
                </c:pt>
                <c:pt idx="456">
                  <c:v>19</c:v>
                </c:pt>
                <c:pt idx="457">
                  <c:v>42</c:v>
                </c:pt>
                <c:pt idx="458">
                  <c:v>48</c:v>
                </c:pt>
                <c:pt idx="459">
                  <c:v>33</c:v>
                </c:pt>
                <c:pt idx="460">
                  <c:v>45</c:v>
                </c:pt>
                <c:pt idx="461">
                  <c:v>46</c:v>
                </c:pt>
                <c:pt idx="462">
                  <c:v>23</c:v>
                </c:pt>
                <c:pt idx="463">
                  <c:v>59</c:v>
                </c:pt>
                <c:pt idx="464">
                  <c:v>56</c:v>
                </c:pt>
                <c:pt idx="465">
                  <c:v>44</c:v>
                </c:pt>
                <c:pt idx="466">
                  <c:v>47</c:v>
                </c:pt>
                <c:pt idx="467">
                  <c:v>55</c:v>
                </c:pt>
                <c:pt idx="468">
                  <c:v>32</c:v>
                </c:pt>
                <c:pt idx="469">
                  <c:v>26</c:v>
                </c:pt>
                <c:pt idx="470">
                  <c:v>25</c:v>
                </c:pt>
                <c:pt idx="471">
                  <c:v>18</c:v>
                </c:pt>
                <c:pt idx="472">
                  <c:v>60</c:v>
                </c:pt>
                <c:pt idx="473">
                  <c:v>25</c:v>
                </c:pt>
                <c:pt idx="474">
                  <c:v>54</c:v>
                </c:pt>
                <c:pt idx="475">
                  <c:v>17</c:v>
                </c:pt>
                <c:pt idx="476">
                  <c:v>40</c:v>
                </c:pt>
                <c:pt idx="477">
                  <c:v>62</c:v>
                </c:pt>
                <c:pt idx="478">
                  <c:v>56</c:v>
                </c:pt>
                <c:pt idx="479">
                  <c:v>23</c:v>
                </c:pt>
                <c:pt idx="480">
                  <c:v>48</c:v>
                </c:pt>
                <c:pt idx="481">
                  <c:v>50</c:v>
                </c:pt>
                <c:pt idx="482">
                  <c:v>18</c:v>
                </c:pt>
                <c:pt idx="483">
                  <c:v>31</c:v>
                </c:pt>
                <c:pt idx="484">
                  <c:v>24</c:v>
                </c:pt>
                <c:pt idx="485">
                  <c:v>38</c:v>
                </c:pt>
                <c:pt idx="486">
                  <c:v>20</c:v>
                </c:pt>
                <c:pt idx="487">
                  <c:v>45</c:v>
                </c:pt>
                <c:pt idx="488">
                  <c:v>45</c:v>
                </c:pt>
                <c:pt idx="489">
                  <c:v>63</c:v>
                </c:pt>
                <c:pt idx="490">
                  <c:v>40</c:v>
                </c:pt>
                <c:pt idx="491">
                  <c:v>32</c:v>
                </c:pt>
                <c:pt idx="492">
                  <c:v>37</c:v>
                </c:pt>
                <c:pt idx="493">
                  <c:v>34</c:v>
                </c:pt>
                <c:pt idx="494">
                  <c:v>35</c:v>
                </c:pt>
                <c:pt idx="495">
                  <c:v>35</c:v>
                </c:pt>
                <c:pt idx="496">
                  <c:v>59</c:v>
                </c:pt>
                <c:pt idx="497">
                  <c:v>25</c:v>
                </c:pt>
                <c:pt idx="498">
                  <c:v>27</c:v>
                </c:pt>
                <c:pt idx="499">
                  <c:v>22</c:v>
                </c:pt>
                <c:pt idx="500">
                  <c:v>40</c:v>
                </c:pt>
                <c:pt idx="501">
                  <c:v>29</c:v>
                </c:pt>
                <c:pt idx="502">
                  <c:v>42</c:v>
                </c:pt>
                <c:pt idx="503">
                  <c:v>19</c:v>
                </c:pt>
                <c:pt idx="504">
                  <c:v>31</c:v>
                </c:pt>
                <c:pt idx="505">
                  <c:v>62</c:v>
                </c:pt>
                <c:pt idx="506">
                  <c:v>38</c:v>
                </c:pt>
                <c:pt idx="507">
                  <c:v>47</c:v>
                </c:pt>
                <c:pt idx="508">
                  <c:v>37</c:v>
                </c:pt>
                <c:pt idx="509">
                  <c:v>36</c:v>
                </c:pt>
                <c:pt idx="510">
                  <c:v>18</c:v>
                </c:pt>
                <c:pt idx="511">
                  <c:v>20</c:v>
                </c:pt>
                <c:pt idx="512">
                  <c:v>45</c:v>
                </c:pt>
                <c:pt idx="513">
                  <c:v>63</c:v>
                </c:pt>
                <c:pt idx="514">
                  <c:v>55</c:v>
                </c:pt>
                <c:pt idx="515">
                  <c:v>40</c:v>
                </c:pt>
                <c:pt idx="516">
                  <c:v>33</c:v>
                </c:pt>
                <c:pt idx="517">
                  <c:v>27</c:v>
                </c:pt>
                <c:pt idx="518">
                  <c:v>47</c:v>
                </c:pt>
                <c:pt idx="519">
                  <c:v>40</c:v>
                </c:pt>
                <c:pt idx="520">
                  <c:v>54</c:v>
                </c:pt>
                <c:pt idx="521">
                  <c:v>19</c:v>
                </c:pt>
                <c:pt idx="522">
                  <c:v>29</c:v>
                </c:pt>
                <c:pt idx="523">
                  <c:v>61</c:v>
                </c:pt>
                <c:pt idx="524">
                  <c:v>22</c:v>
                </c:pt>
                <c:pt idx="525">
                  <c:v>19</c:v>
                </c:pt>
                <c:pt idx="526">
                  <c:v>40</c:v>
                </c:pt>
                <c:pt idx="527">
                  <c:v>62</c:v>
                </c:pt>
                <c:pt idx="528">
                  <c:v>42</c:v>
                </c:pt>
                <c:pt idx="529">
                  <c:v>30</c:v>
                </c:pt>
                <c:pt idx="530">
                  <c:v>65</c:v>
                </c:pt>
                <c:pt idx="531">
                  <c:v>41</c:v>
                </c:pt>
                <c:pt idx="532">
                  <c:v>28</c:v>
                </c:pt>
                <c:pt idx="533">
                  <c:v>26</c:v>
                </c:pt>
                <c:pt idx="534">
                  <c:v>23</c:v>
                </c:pt>
                <c:pt idx="535">
                  <c:v>45</c:v>
                </c:pt>
                <c:pt idx="536">
                  <c:v>61</c:v>
                </c:pt>
                <c:pt idx="537">
                  <c:v>76</c:v>
                </c:pt>
                <c:pt idx="538">
                  <c:v>60</c:v>
                </c:pt>
                <c:pt idx="539">
                  <c:v>33</c:v>
                </c:pt>
                <c:pt idx="540">
                  <c:v>35</c:v>
                </c:pt>
                <c:pt idx="541">
                  <c:v>23</c:v>
                </c:pt>
                <c:pt idx="542">
                  <c:v>36</c:v>
                </c:pt>
                <c:pt idx="543">
                  <c:v>33</c:v>
                </c:pt>
                <c:pt idx="544">
                  <c:v>36</c:v>
                </c:pt>
                <c:pt idx="545">
                  <c:v>51</c:v>
                </c:pt>
                <c:pt idx="546">
                  <c:v>27</c:v>
                </c:pt>
                <c:pt idx="547">
                  <c:v>47</c:v>
                </c:pt>
                <c:pt idx="548">
                  <c:v>26</c:v>
                </c:pt>
                <c:pt idx="549">
                  <c:v>49</c:v>
                </c:pt>
                <c:pt idx="550">
                  <c:v>25</c:v>
                </c:pt>
                <c:pt idx="551">
                  <c:v>62</c:v>
                </c:pt>
                <c:pt idx="552">
                  <c:v>59</c:v>
                </c:pt>
                <c:pt idx="553">
                  <c:v>45</c:v>
                </c:pt>
                <c:pt idx="554">
                  <c:v>43</c:v>
                </c:pt>
                <c:pt idx="555">
                  <c:v>36</c:v>
                </c:pt>
                <c:pt idx="556">
                  <c:v>49</c:v>
                </c:pt>
                <c:pt idx="557">
                  <c:v>61</c:v>
                </c:pt>
                <c:pt idx="558">
                  <c:v>32</c:v>
                </c:pt>
                <c:pt idx="559">
                  <c:v>30</c:v>
                </c:pt>
                <c:pt idx="560">
                  <c:v>22</c:v>
                </c:pt>
                <c:pt idx="561">
                  <c:v>41</c:v>
                </c:pt>
                <c:pt idx="562">
                  <c:v>60</c:v>
                </c:pt>
                <c:pt idx="563">
                  <c:v>28</c:v>
                </c:pt>
                <c:pt idx="564">
                  <c:v>66</c:v>
                </c:pt>
                <c:pt idx="565">
                  <c:v>51</c:v>
                </c:pt>
                <c:pt idx="566">
                  <c:v>46</c:v>
                </c:pt>
                <c:pt idx="567">
                  <c:v>29</c:v>
                </c:pt>
                <c:pt idx="568">
                  <c:v>32</c:v>
                </c:pt>
                <c:pt idx="569">
                  <c:v>25</c:v>
                </c:pt>
                <c:pt idx="570">
                  <c:v>27</c:v>
                </c:pt>
                <c:pt idx="571">
                  <c:v>24</c:v>
                </c:pt>
                <c:pt idx="572">
                  <c:v>51</c:v>
                </c:pt>
                <c:pt idx="573">
                  <c:v>22</c:v>
                </c:pt>
                <c:pt idx="574">
                  <c:v>60</c:v>
                </c:pt>
                <c:pt idx="575">
                  <c:v>38</c:v>
                </c:pt>
                <c:pt idx="576">
                  <c:v>49</c:v>
                </c:pt>
                <c:pt idx="577">
                  <c:v>50</c:v>
                </c:pt>
                <c:pt idx="578">
                  <c:v>47</c:v>
                </c:pt>
                <c:pt idx="579">
                  <c:v>80</c:v>
                </c:pt>
                <c:pt idx="580">
                  <c:v>45</c:v>
                </c:pt>
                <c:pt idx="581">
                  <c:v>29</c:v>
                </c:pt>
                <c:pt idx="582">
                  <c:v>20</c:v>
                </c:pt>
                <c:pt idx="583">
                  <c:v>39</c:v>
                </c:pt>
                <c:pt idx="584">
                  <c:v>28</c:v>
                </c:pt>
                <c:pt idx="585">
                  <c:v>32</c:v>
                </c:pt>
                <c:pt idx="586">
                  <c:v>41</c:v>
                </c:pt>
                <c:pt idx="587">
                  <c:v>22</c:v>
                </c:pt>
                <c:pt idx="588">
                  <c:v>36</c:v>
                </c:pt>
                <c:pt idx="589">
                  <c:v>19</c:v>
                </c:pt>
                <c:pt idx="590">
                  <c:v>31</c:v>
                </c:pt>
                <c:pt idx="591">
                  <c:v>33</c:v>
                </c:pt>
                <c:pt idx="592">
                  <c:v>32</c:v>
                </c:pt>
                <c:pt idx="593">
                  <c:v>25</c:v>
                </c:pt>
                <c:pt idx="594">
                  <c:v>60</c:v>
                </c:pt>
                <c:pt idx="595">
                  <c:v>45</c:v>
                </c:pt>
                <c:pt idx="596">
                  <c:v>34</c:v>
                </c:pt>
                <c:pt idx="597">
                  <c:v>81</c:v>
                </c:pt>
                <c:pt idx="598">
                  <c:v>29</c:v>
                </c:pt>
                <c:pt idx="599">
                  <c:v>38</c:v>
                </c:pt>
                <c:pt idx="600">
                  <c:v>32</c:v>
                </c:pt>
                <c:pt idx="601">
                  <c:v>33</c:v>
                </c:pt>
                <c:pt idx="602">
                  <c:v>33</c:v>
                </c:pt>
                <c:pt idx="603">
                  <c:v>34</c:v>
                </c:pt>
                <c:pt idx="604">
                  <c:v>26</c:v>
                </c:pt>
                <c:pt idx="605">
                  <c:v>30</c:v>
                </c:pt>
                <c:pt idx="606">
                  <c:v>33</c:v>
                </c:pt>
                <c:pt idx="607">
                  <c:v>37</c:v>
                </c:pt>
                <c:pt idx="608">
                  <c:v>37</c:v>
                </c:pt>
                <c:pt idx="609">
                  <c:v>38</c:v>
                </c:pt>
                <c:pt idx="610">
                  <c:v>21</c:v>
                </c:pt>
                <c:pt idx="611">
                  <c:v>62</c:v>
                </c:pt>
                <c:pt idx="612">
                  <c:v>46</c:v>
                </c:pt>
                <c:pt idx="613">
                  <c:v>38</c:v>
                </c:pt>
                <c:pt idx="614">
                  <c:v>21</c:v>
                </c:pt>
                <c:pt idx="615">
                  <c:v>23</c:v>
                </c:pt>
                <c:pt idx="616">
                  <c:v>41</c:v>
                </c:pt>
                <c:pt idx="617">
                  <c:v>28</c:v>
                </c:pt>
                <c:pt idx="618">
                  <c:v>39</c:v>
                </c:pt>
                <c:pt idx="619">
                  <c:v>43</c:v>
                </c:pt>
                <c:pt idx="620">
                  <c:v>37</c:v>
                </c:pt>
                <c:pt idx="621">
                  <c:v>25</c:v>
                </c:pt>
                <c:pt idx="622">
                  <c:v>41</c:v>
                </c:pt>
                <c:pt idx="623">
                  <c:v>48</c:v>
                </c:pt>
                <c:pt idx="624">
                  <c:v>28</c:v>
                </c:pt>
                <c:pt idx="625">
                  <c:v>42</c:v>
                </c:pt>
                <c:pt idx="626">
                  <c:v>42</c:v>
                </c:pt>
                <c:pt idx="627">
                  <c:v>57</c:v>
                </c:pt>
                <c:pt idx="628">
                  <c:v>36</c:v>
                </c:pt>
                <c:pt idx="629">
                  <c:v>34</c:v>
                </c:pt>
                <c:pt idx="630">
                  <c:v>18</c:v>
                </c:pt>
                <c:pt idx="631">
                  <c:v>17</c:v>
                </c:pt>
                <c:pt idx="632">
                  <c:v>34</c:v>
                </c:pt>
                <c:pt idx="633">
                  <c:v>40</c:v>
                </c:pt>
                <c:pt idx="634">
                  <c:v>26</c:v>
                </c:pt>
                <c:pt idx="635">
                  <c:v>66</c:v>
                </c:pt>
                <c:pt idx="636">
                  <c:v>37</c:v>
                </c:pt>
                <c:pt idx="637">
                  <c:v>41</c:v>
                </c:pt>
                <c:pt idx="638">
                  <c:v>65</c:v>
                </c:pt>
                <c:pt idx="639">
                  <c:v>54</c:v>
                </c:pt>
                <c:pt idx="640">
                  <c:v>42</c:v>
                </c:pt>
                <c:pt idx="641">
                  <c:v>30</c:v>
                </c:pt>
                <c:pt idx="642">
                  <c:v>30</c:v>
                </c:pt>
              </c:numCache>
            </c:numRef>
          </c:xVal>
          <c:yVal>
            <c:numRef>
              <c:f>Scatter!$F$2:$F$644</c:f>
              <c:numCache>
                <c:formatCode>General</c:formatCode>
                <c:ptCount val="643"/>
                <c:pt idx="0">
                  <c:v>7</c:v>
                </c:pt>
                <c:pt idx="1">
                  <c:v>12</c:v>
                </c:pt>
                <c:pt idx="2">
                  <c:v>10</c:v>
                </c:pt>
                <c:pt idx="3">
                  <c:v>3</c:v>
                </c:pt>
                <c:pt idx="4">
                  <c:v>8</c:v>
                </c:pt>
                <c:pt idx="5">
                  <c:v>7</c:v>
                </c:pt>
                <c:pt idx="6">
                  <c:v>12</c:v>
                </c:pt>
                <c:pt idx="7">
                  <c:v>13</c:v>
                </c:pt>
                <c:pt idx="8">
                  <c:v>9</c:v>
                </c:pt>
                <c:pt idx="9">
                  <c:v>13</c:v>
                </c:pt>
                <c:pt idx="10">
                  <c:v>13</c:v>
                </c:pt>
                <c:pt idx="11">
                  <c:v>9</c:v>
                </c:pt>
                <c:pt idx="12">
                  <c:v>10</c:v>
                </c:pt>
                <c:pt idx="13">
                  <c:v>10</c:v>
                </c:pt>
                <c:pt idx="14">
                  <c:v>9</c:v>
                </c:pt>
                <c:pt idx="15">
                  <c:v>10</c:v>
                </c:pt>
                <c:pt idx="16">
                  <c:v>10</c:v>
                </c:pt>
                <c:pt idx="17">
                  <c:v>9</c:v>
                </c:pt>
                <c:pt idx="18">
                  <c:v>14</c:v>
                </c:pt>
                <c:pt idx="19">
                  <c:v>9</c:v>
                </c:pt>
                <c:pt idx="20">
                  <c:v>13</c:v>
                </c:pt>
                <c:pt idx="21">
                  <c:v>9</c:v>
                </c:pt>
                <c:pt idx="22">
                  <c:v>10</c:v>
                </c:pt>
                <c:pt idx="23">
                  <c:v>10</c:v>
                </c:pt>
                <c:pt idx="24">
                  <c:v>6</c:v>
                </c:pt>
                <c:pt idx="25">
                  <c:v>7</c:v>
                </c:pt>
                <c:pt idx="26">
                  <c:v>11</c:v>
                </c:pt>
                <c:pt idx="27">
                  <c:v>3</c:v>
                </c:pt>
                <c:pt idx="28">
                  <c:v>13</c:v>
                </c:pt>
                <c:pt idx="29">
                  <c:v>13</c:v>
                </c:pt>
                <c:pt idx="30">
                  <c:v>10</c:v>
                </c:pt>
                <c:pt idx="31">
                  <c:v>7</c:v>
                </c:pt>
                <c:pt idx="32">
                  <c:v>9</c:v>
                </c:pt>
                <c:pt idx="33">
                  <c:v>9</c:v>
                </c:pt>
                <c:pt idx="34">
                  <c:v>9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11</c:v>
                </c:pt>
                <c:pt idx="40">
                  <c:v>10</c:v>
                </c:pt>
                <c:pt idx="41">
                  <c:v>10</c:v>
                </c:pt>
                <c:pt idx="42">
                  <c:v>11</c:v>
                </c:pt>
                <c:pt idx="43">
                  <c:v>10</c:v>
                </c:pt>
                <c:pt idx="44">
                  <c:v>9</c:v>
                </c:pt>
                <c:pt idx="45">
                  <c:v>9</c:v>
                </c:pt>
                <c:pt idx="46">
                  <c:v>6</c:v>
                </c:pt>
                <c:pt idx="47">
                  <c:v>13</c:v>
                </c:pt>
                <c:pt idx="48">
                  <c:v>13</c:v>
                </c:pt>
                <c:pt idx="49">
                  <c:v>10</c:v>
                </c:pt>
                <c:pt idx="50">
                  <c:v>15</c:v>
                </c:pt>
                <c:pt idx="51">
                  <c:v>11</c:v>
                </c:pt>
                <c:pt idx="52">
                  <c:v>9</c:v>
                </c:pt>
                <c:pt idx="53">
                  <c:v>14</c:v>
                </c:pt>
                <c:pt idx="54">
                  <c:v>13</c:v>
                </c:pt>
                <c:pt idx="55">
                  <c:v>10</c:v>
                </c:pt>
                <c:pt idx="56">
                  <c:v>13</c:v>
                </c:pt>
                <c:pt idx="57">
                  <c:v>9</c:v>
                </c:pt>
                <c:pt idx="58">
                  <c:v>9</c:v>
                </c:pt>
                <c:pt idx="59">
                  <c:v>7</c:v>
                </c:pt>
                <c:pt idx="60">
                  <c:v>9</c:v>
                </c:pt>
                <c:pt idx="61">
                  <c:v>13</c:v>
                </c:pt>
                <c:pt idx="62">
                  <c:v>10</c:v>
                </c:pt>
                <c:pt idx="63">
                  <c:v>14</c:v>
                </c:pt>
                <c:pt idx="64">
                  <c:v>13</c:v>
                </c:pt>
                <c:pt idx="65">
                  <c:v>10</c:v>
                </c:pt>
                <c:pt idx="66">
                  <c:v>13</c:v>
                </c:pt>
                <c:pt idx="67">
                  <c:v>13</c:v>
                </c:pt>
                <c:pt idx="68">
                  <c:v>13</c:v>
                </c:pt>
                <c:pt idx="69">
                  <c:v>6</c:v>
                </c:pt>
                <c:pt idx="70">
                  <c:v>6</c:v>
                </c:pt>
                <c:pt idx="71">
                  <c:v>13</c:v>
                </c:pt>
                <c:pt idx="72">
                  <c:v>10</c:v>
                </c:pt>
                <c:pt idx="73">
                  <c:v>11</c:v>
                </c:pt>
                <c:pt idx="74">
                  <c:v>9</c:v>
                </c:pt>
                <c:pt idx="75">
                  <c:v>1</c:v>
                </c:pt>
                <c:pt idx="76">
                  <c:v>9</c:v>
                </c:pt>
                <c:pt idx="77">
                  <c:v>9</c:v>
                </c:pt>
                <c:pt idx="78">
                  <c:v>9</c:v>
                </c:pt>
                <c:pt idx="79">
                  <c:v>9</c:v>
                </c:pt>
                <c:pt idx="80">
                  <c:v>9</c:v>
                </c:pt>
                <c:pt idx="81">
                  <c:v>10</c:v>
                </c:pt>
                <c:pt idx="82">
                  <c:v>9</c:v>
                </c:pt>
                <c:pt idx="83">
                  <c:v>9</c:v>
                </c:pt>
                <c:pt idx="84">
                  <c:v>7</c:v>
                </c:pt>
                <c:pt idx="85">
                  <c:v>10</c:v>
                </c:pt>
                <c:pt idx="86">
                  <c:v>9</c:v>
                </c:pt>
                <c:pt idx="87">
                  <c:v>10</c:v>
                </c:pt>
                <c:pt idx="88">
                  <c:v>9</c:v>
                </c:pt>
                <c:pt idx="89">
                  <c:v>9</c:v>
                </c:pt>
                <c:pt idx="90">
                  <c:v>9</c:v>
                </c:pt>
                <c:pt idx="91">
                  <c:v>11</c:v>
                </c:pt>
                <c:pt idx="92">
                  <c:v>10</c:v>
                </c:pt>
                <c:pt idx="93">
                  <c:v>9</c:v>
                </c:pt>
                <c:pt idx="94">
                  <c:v>12</c:v>
                </c:pt>
                <c:pt idx="95">
                  <c:v>9</c:v>
                </c:pt>
                <c:pt idx="96">
                  <c:v>13</c:v>
                </c:pt>
                <c:pt idx="97">
                  <c:v>9</c:v>
                </c:pt>
                <c:pt idx="98">
                  <c:v>15</c:v>
                </c:pt>
                <c:pt idx="99">
                  <c:v>9</c:v>
                </c:pt>
                <c:pt idx="100">
                  <c:v>12</c:v>
                </c:pt>
                <c:pt idx="101">
                  <c:v>10</c:v>
                </c:pt>
                <c:pt idx="102">
                  <c:v>11</c:v>
                </c:pt>
                <c:pt idx="103">
                  <c:v>9</c:v>
                </c:pt>
                <c:pt idx="104">
                  <c:v>9</c:v>
                </c:pt>
                <c:pt idx="105">
                  <c:v>10</c:v>
                </c:pt>
                <c:pt idx="106">
                  <c:v>9</c:v>
                </c:pt>
                <c:pt idx="107">
                  <c:v>9</c:v>
                </c:pt>
                <c:pt idx="108">
                  <c:v>10</c:v>
                </c:pt>
                <c:pt idx="109">
                  <c:v>11</c:v>
                </c:pt>
                <c:pt idx="110">
                  <c:v>6</c:v>
                </c:pt>
                <c:pt idx="111">
                  <c:v>10</c:v>
                </c:pt>
                <c:pt idx="112">
                  <c:v>13</c:v>
                </c:pt>
                <c:pt idx="113">
                  <c:v>4</c:v>
                </c:pt>
                <c:pt idx="114">
                  <c:v>13</c:v>
                </c:pt>
                <c:pt idx="115">
                  <c:v>3</c:v>
                </c:pt>
                <c:pt idx="116">
                  <c:v>14</c:v>
                </c:pt>
                <c:pt idx="117">
                  <c:v>10</c:v>
                </c:pt>
                <c:pt idx="118">
                  <c:v>9</c:v>
                </c:pt>
                <c:pt idx="119">
                  <c:v>10</c:v>
                </c:pt>
                <c:pt idx="120">
                  <c:v>13</c:v>
                </c:pt>
                <c:pt idx="121">
                  <c:v>9</c:v>
                </c:pt>
                <c:pt idx="122">
                  <c:v>10</c:v>
                </c:pt>
                <c:pt idx="123">
                  <c:v>6</c:v>
                </c:pt>
                <c:pt idx="124">
                  <c:v>10</c:v>
                </c:pt>
                <c:pt idx="125">
                  <c:v>9</c:v>
                </c:pt>
                <c:pt idx="126">
                  <c:v>11</c:v>
                </c:pt>
                <c:pt idx="127">
                  <c:v>9</c:v>
                </c:pt>
                <c:pt idx="128">
                  <c:v>13</c:v>
                </c:pt>
                <c:pt idx="129">
                  <c:v>10</c:v>
                </c:pt>
                <c:pt idx="130">
                  <c:v>10</c:v>
                </c:pt>
                <c:pt idx="131">
                  <c:v>9</c:v>
                </c:pt>
                <c:pt idx="132">
                  <c:v>15</c:v>
                </c:pt>
                <c:pt idx="133">
                  <c:v>14</c:v>
                </c:pt>
                <c:pt idx="134">
                  <c:v>9</c:v>
                </c:pt>
                <c:pt idx="135">
                  <c:v>7</c:v>
                </c:pt>
                <c:pt idx="136">
                  <c:v>10</c:v>
                </c:pt>
                <c:pt idx="137">
                  <c:v>10</c:v>
                </c:pt>
                <c:pt idx="138">
                  <c:v>13</c:v>
                </c:pt>
                <c:pt idx="139">
                  <c:v>9</c:v>
                </c:pt>
                <c:pt idx="140">
                  <c:v>10</c:v>
                </c:pt>
                <c:pt idx="141">
                  <c:v>9</c:v>
                </c:pt>
                <c:pt idx="142">
                  <c:v>13</c:v>
                </c:pt>
                <c:pt idx="143">
                  <c:v>15</c:v>
                </c:pt>
                <c:pt idx="144">
                  <c:v>11</c:v>
                </c:pt>
                <c:pt idx="145">
                  <c:v>9</c:v>
                </c:pt>
                <c:pt idx="146">
                  <c:v>13</c:v>
                </c:pt>
                <c:pt idx="147">
                  <c:v>9</c:v>
                </c:pt>
                <c:pt idx="148">
                  <c:v>10</c:v>
                </c:pt>
                <c:pt idx="149">
                  <c:v>9</c:v>
                </c:pt>
                <c:pt idx="150">
                  <c:v>9</c:v>
                </c:pt>
                <c:pt idx="151">
                  <c:v>9</c:v>
                </c:pt>
                <c:pt idx="152">
                  <c:v>9</c:v>
                </c:pt>
                <c:pt idx="153">
                  <c:v>9</c:v>
                </c:pt>
                <c:pt idx="154">
                  <c:v>13</c:v>
                </c:pt>
                <c:pt idx="155">
                  <c:v>9</c:v>
                </c:pt>
                <c:pt idx="156">
                  <c:v>13</c:v>
                </c:pt>
                <c:pt idx="157">
                  <c:v>13</c:v>
                </c:pt>
                <c:pt idx="158">
                  <c:v>9</c:v>
                </c:pt>
                <c:pt idx="159">
                  <c:v>10</c:v>
                </c:pt>
                <c:pt idx="160">
                  <c:v>9</c:v>
                </c:pt>
                <c:pt idx="161">
                  <c:v>11</c:v>
                </c:pt>
                <c:pt idx="162">
                  <c:v>13</c:v>
                </c:pt>
                <c:pt idx="163">
                  <c:v>4</c:v>
                </c:pt>
                <c:pt idx="164">
                  <c:v>13</c:v>
                </c:pt>
                <c:pt idx="165">
                  <c:v>15</c:v>
                </c:pt>
                <c:pt idx="166">
                  <c:v>7</c:v>
                </c:pt>
                <c:pt idx="167">
                  <c:v>9</c:v>
                </c:pt>
                <c:pt idx="168">
                  <c:v>11</c:v>
                </c:pt>
                <c:pt idx="169">
                  <c:v>13</c:v>
                </c:pt>
                <c:pt idx="170">
                  <c:v>9</c:v>
                </c:pt>
                <c:pt idx="171">
                  <c:v>10</c:v>
                </c:pt>
                <c:pt idx="172">
                  <c:v>13</c:v>
                </c:pt>
                <c:pt idx="173">
                  <c:v>13</c:v>
                </c:pt>
                <c:pt idx="174">
                  <c:v>10</c:v>
                </c:pt>
                <c:pt idx="175">
                  <c:v>6</c:v>
                </c:pt>
                <c:pt idx="176">
                  <c:v>13</c:v>
                </c:pt>
                <c:pt idx="177">
                  <c:v>11</c:v>
                </c:pt>
                <c:pt idx="178">
                  <c:v>9</c:v>
                </c:pt>
                <c:pt idx="179">
                  <c:v>9</c:v>
                </c:pt>
                <c:pt idx="180">
                  <c:v>9</c:v>
                </c:pt>
                <c:pt idx="181">
                  <c:v>6</c:v>
                </c:pt>
                <c:pt idx="182">
                  <c:v>9</c:v>
                </c:pt>
                <c:pt idx="183">
                  <c:v>13</c:v>
                </c:pt>
                <c:pt idx="184">
                  <c:v>9</c:v>
                </c:pt>
                <c:pt idx="185">
                  <c:v>9</c:v>
                </c:pt>
                <c:pt idx="186">
                  <c:v>9</c:v>
                </c:pt>
                <c:pt idx="187">
                  <c:v>10</c:v>
                </c:pt>
                <c:pt idx="188">
                  <c:v>7</c:v>
                </c:pt>
                <c:pt idx="189">
                  <c:v>9</c:v>
                </c:pt>
                <c:pt idx="190">
                  <c:v>9</c:v>
                </c:pt>
                <c:pt idx="191">
                  <c:v>10</c:v>
                </c:pt>
                <c:pt idx="192">
                  <c:v>16</c:v>
                </c:pt>
                <c:pt idx="193">
                  <c:v>4</c:v>
                </c:pt>
                <c:pt idx="194">
                  <c:v>5</c:v>
                </c:pt>
                <c:pt idx="195">
                  <c:v>9</c:v>
                </c:pt>
                <c:pt idx="196">
                  <c:v>9</c:v>
                </c:pt>
                <c:pt idx="197">
                  <c:v>6</c:v>
                </c:pt>
                <c:pt idx="198">
                  <c:v>9</c:v>
                </c:pt>
                <c:pt idx="199">
                  <c:v>10</c:v>
                </c:pt>
                <c:pt idx="200">
                  <c:v>9</c:v>
                </c:pt>
                <c:pt idx="201">
                  <c:v>13</c:v>
                </c:pt>
                <c:pt idx="202">
                  <c:v>10</c:v>
                </c:pt>
                <c:pt idx="203">
                  <c:v>2</c:v>
                </c:pt>
                <c:pt idx="204">
                  <c:v>9</c:v>
                </c:pt>
                <c:pt idx="205">
                  <c:v>12</c:v>
                </c:pt>
                <c:pt idx="206">
                  <c:v>13</c:v>
                </c:pt>
                <c:pt idx="207">
                  <c:v>13</c:v>
                </c:pt>
                <c:pt idx="208">
                  <c:v>10</c:v>
                </c:pt>
                <c:pt idx="209">
                  <c:v>5</c:v>
                </c:pt>
                <c:pt idx="210">
                  <c:v>9</c:v>
                </c:pt>
                <c:pt idx="211">
                  <c:v>12</c:v>
                </c:pt>
                <c:pt idx="212">
                  <c:v>9</c:v>
                </c:pt>
                <c:pt idx="213">
                  <c:v>9</c:v>
                </c:pt>
                <c:pt idx="214">
                  <c:v>13</c:v>
                </c:pt>
                <c:pt idx="215">
                  <c:v>10</c:v>
                </c:pt>
                <c:pt idx="216">
                  <c:v>10</c:v>
                </c:pt>
                <c:pt idx="217">
                  <c:v>13</c:v>
                </c:pt>
                <c:pt idx="218">
                  <c:v>9</c:v>
                </c:pt>
                <c:pt idx="219">
                  <c:v>14</c:v>
                </c:pt>
                <c:pt idx="220">
                  <c:v>9</c:v>
                </c:pt>
                <c:pt idx="221">
                  <c:v>9</c:v>
                </c:pt>
                <c:pt idx="222">
                  <c:v>13</c:v>
                </c:pt>
                <c:pt idx="223">
                  <c:v>9</c:v>
                </c:pt>
                <c:pt idx="224">
                  <c:v>9</c:v>
                </c:pt>
                <c:pt idx="225">
                  <c:v>9</c:v>
                </c:pt>
                <c:pt idx="226">
                  <c:v>9</c:v>
                </c:pt>
                <c:pt idx="227">
                  <c:v>13</c:v>
                </c:pt>
                <c:pt idx="228">
                  <c:v>12</c:v>
                </c:pt>
                <c:pt idx="229">
                  <c:v>10</c:v>
                </c:pt>
                <c:pt idx="230">
                  <c:v>9</c:v>
                </c:pt>
                <c:pt idx="231">
                  <c:v>12</c:v>
                </c:pt>
                <c:pt idx="232">
                  <c:v>9</c:v>
                </c:pt>
                <c:pt idx="233">
                  <c:v>13</c:v>
                </c:pt>
                <c:pt idx="234">
                  <c:v>13</c:v>
                </c:pt>
                <c:pt idx="235">
                  <c:v>11</c:v>
                </c:pt>
                <c:pt idx="236">
                  <c:v>10</c:v>
                </c:pt>
                <c:pt idx="237">
                  <c:v>7</c:v>
                </c:pt>
                <c:pt idx="238">
                  <c:v>13</c:v>
                </c:pt>
                <c:pt idx="239">
                  <c:v>9</c:v>
                </c:pt>
                <c:pt idx="240">
                  <c:v>9</c:v>
                </c:pt>
                <c:pt idx="241">
                  <c:v>10</c:v>
                </c:pt>
                <c:pt idx="242">
                  <c:v>6</c:v>
                </c:pt>
                <c:pt idx="243">
                  <c:v>13</c:v>
                </c:pt>
                <c:pt idx="244">
                  <c:v>9</c:v>
                </c:pt>
                <c:pt idx="245">
                  <c:v>9</c:v>
                </c:pt>
                <c:pt idx="246">
                  <c:v>10</c:v>
                </c:pt>
                <c:pt idx="247">
                  <c:v>9</c:v>
                </c:pt>
                <c:pt idx="248">
                  <c:v>13</c:v>
                </c:pt>
                <c:pt idx="249">
                  <c:v>9</c:v>
                </c:pt>
                <c:pt idx="250">
                  <c:v>13</c:v>
                </c:pt>
                <c:pt idx="251">
                  <c:v>7</c:v>
                </c:pt>
                <c:pt idx="252">
                  <c:v>10</c:v>
                </c:pt>
                <c:pt idx="253">
                  <c:v>10</c:v>
                </c:pt>
                <c:pt idx="254">
                  <c:v>13</c:v>
                </c:pt>
                <c:pt idx="255">
                  <c:v>13</c:v>
                </c:pt>
                <c:pt idx="256">
                  <c:v>13</c:v>
                </c:pt>
                <c:pt idx="257">
                  <c:v>9</c:v>
                </c:pt>
                <c:pt idx="258">
                  <c:v>9</c:v>
                </c:pt>
                <c:pt idx="259">
                  <c:v>10</c:v>
                </c:pt>
                <c:pt idx="260">
                  <c:v>14</c:v>
                </c:pt>
                <c:pt idx="261">
                  <c:v>10</c:v>
                </c:pt>
                <c:pt idx="262">
                  <c:v>15</c:v>
                </c:pt>
                <c:pt idx="263">
                  <c:v>9</c:v>
                </c:pt>
                <c:pt idx="264">
                  <c:v>14</c:v>
                </c:pt>
                <c:pt idx="265">
                  <c:v>11</c:v>
                </c:pt>
                <c:pt idx="266">
                  <c:v>9</c:v>
                </c:pt>
                <c:pt idx="267">
                  <c:v>12</c:v>
                </c:pt>
                <c:pt idx="268">
                  <c:v>10</c:v>
                </c:pt>
                <c:pt idx="269">
                  <c:v>9</c:v>
                </c:pt>
                <c:pt idx="270">
                  <c:v>10</c:v>
                </c:pt>
                <c:pt idx="271">
                  <c:v>13</c:v>
                </c:pt>
                <c:pt idx="272">
                  <c:v>9</c:v>
                </c:pt>
                <c:pt idx="273">
                  <c:v>13</c:v>
                </c:pt>
                <c:pt idx="274">
                  <c:v>10</c:v>
                </c:pt>
                <c:pt idx="275">
                  <c:v>9</c:v>
                </c:pt>
                <c:pt idx="276">
                  <c:v>9</c:v>
                </c:pt>
                <c:pt idx="277">
                  <c:v>13</c:v>
                </c:pt>
                <c:pt idx="278">
                  <c:v>9</c:v>
                </c:pt>
                <c:pt idx="279">
                  <c:v>9</c:v>
                </c:pt>
                <c:pt idx="280">
                  <c:v>9</c:v>
                </c:pt>
                <c:pt idx="281">
                  <c:v>9</c:v>
                </c:pt>
                <c:pt idx="282">
                  <c:v>7</c:v>
                </c:pt>
                <c:pt idx="283">
                  <c:v>13</c:v>
                </c:pt>
                <c:pt idx="284">
                  <c:v>9</c:v>
                </c:pt>
                <c:pt idx="285">
                  <c:v>9</c:v>
                </c:pt>
                <c:pt idx="286">
                  <c:v>13</c:v>
                </c:pt>
                <c:pt idx="287">
                  <c:v>9</c:v>
                </c:pt>
                <c:pt idx="288">
                  <c:v>9</c:v>
                </c:pt>
                <c:pt idx="289">
                  <c:v>9</c:v>
                </c:pt>
                <c:pt idx="290">
                  <c:v>11</c:v>
                </c:pt>
                <c:pt idx="291">
                  <c:v>10</c:v>
                </c:pt>
                <c:pt idx="292">
                  <c:v>11</c:v>
                </c:pt>
                <c:pt idx="293">
                  <c:v>9</c:v>
                </c:pt>
                <c:pt idx="294">
                  <c:v>9</c:v>
                </c:pt>
                <c:pt idx="295">
                  <c:v>10</c:v>
                </c:pt>
                <c:pt idx="296">
                  <c:v>9</c:v>
                </c:pt>
                <c:pt idx="297">
                  <c:v>7</c:v>
                </c:pt>
                <c:pt idx="298">
                  <c:v>9</c:v>
                </c:pt>
                <c:pt idx="299">
                  <c:v>11</c:v>
                </c:pt>
                <c:pt idx="300">
                  <c:v>9</c:v>
                </c:pt>
                <c:pt idx="301">
                  <c:v>13</c:v>
                </c:pt>
                <c:pt idx="302">
                  <c:v>5</c:v>
                </c:pt>
                <c:pt idx="303">
                  <c:v>6</c:v>
                </c:pt>
                <c:pt idx="304">
                  <c:v>9</c:v>
                </c:pt>
                <c:pt idx="305">
                  <c:v>11</c:v>
                </c:pt>
                <c:pt idx="306">
                  <c:v>12</c:v>
                </c:pt>
                <c:pt idx="307">
                  <c:v>13</c:v>
                </c:pt>
                <c:pt idx="308">
                  <c:v>12</c:v>
                </c:pt>
                <c:pt idx="309">
                  <c:v>16</c:v>
                </c:pt>
                <c:pt idx="310">
                  <c:v>9</c:v>
                </c:pt>
                <c:pt idx="311">
                  <c:v>9</c:v>
                </c:pt>
                <c:pt idx="312">
                  <c:v>14</c:v>
                </c:pt>
                <c:pt idx="313">
                  <c:v>12</c:v>
                </c:pt>
                <c:pt idx="314">
                  <c:v>9</c:v>
                </c:pt>
                <c:pt idx="315">
                  <c:v>9</c:v>
                </c:pt>
                <c:pt idx="316">
                  <c:v>13</c:v>
                </c:pt>
                <c:pt idx="317">
                  <c:v>9</c:v>
                </c:pt>
                <c:pt idx="318">
                  <c:v>9</c:v>
                </c:pt>
                <c:pt idx="319">
                  <c:v>9</c:v>
                </c:pt>
                <c:pt idx="320">
                  <c:v>9</c:v>
                </c:pt>
                <c:pt idx="321">
                  <c:v>10</c:v>
                </c:pt>
                <c:pt idx="322">
                  <c:v>13</c:v>
                </c:pt>
                <c:pt idx="323">
                  <c:v>9</c:v>
                </c:pt>
                <c:pt idx="324">
                  <c:v>8</c:v>
                </c:pt>
                <c:pt idx="325">
                  <c:v>14</c:v>
                </c:pt>
                <c:pt idx="326">
                  <c:v>9</c:v>
                </c:pt>
                <c:pt idx="327">
                  <c:v>9</c:v>
                </c:pt>
                <c:pt idx="328">
                  <c:v>9</c:v>
                </c:pt>
                <c:pt idx="329">
                  <c:v>9</c:v>
                </c:pt>
                <c:pt idx="330">
                  <c:v>5</c:v>
                </c:pt>
                <c:pt idx="331">
                  <c:v>12</c:v>
                </c:pt>
                <c:pt idx="332">
                  <c:v>9</c:v>
                </c:pt>
                <c:pt idx="333">
                  <c:v>9</c:v>
                </c:pt>
                <c:pt idx="334">
                  <c:v>13</c:v>
                </c:pt>
                <c:pt idx="335">
                  <c:v>11</c:v>
                </c:pt>
                <c:pt idx="336">
                  <c:v>13</c:v>
                </c:pt>
                <c:pt idx="337">
                  <c:v>10</c:v>
                </c:pt>
                <c:pt idx="338">
                  <c:v>8</c:v>
                </c:pt>
                <c:pt idx="339">
                  <c:v>4</c:v>
                </c:pt>
                <c:pt idx="340">
                  <c:v>12</c:v>
                </c:pt>
                <c:pt idx="341">
                  <c:v>16</c:v>
                </c:pt>
                <c:pt idx="342">
                  <c:v>11</c:v>
                </c:pt>
                <c:pt idx="343">
                  <c:v>9</c:v>
                </c:pt>
                <c:pt idx="344">
                  <c:v>9</c:v>
                </c:pt>
                <c:pt idx="345">
                  <c:v>9</c:v>
                </c:pt>
                <c:pt idx="346">
                  <c:v>12</c:v>
                </c:pt>
                <c:pt idx="347">
                  <c:v>10</c:v>
                </c:pt>
                <c:pt idx="348">
                  <c:v>9</c:v>
                </c:pt>
                <c:pt idx="349">
                  <c:v>13</c:v>
                </c:pt>
                <c:pt idx="350">
                  <c:v>10</c:v>
                </c:pt>
                <c:pt idx="351">
                  <c:v>12</c:v>
                </c:pt>
                <c:pt idx="352">
                  <c:v>11</c:v>
                </c:pt>
                <c:pt idx="353">
                  <c:v>7</c:v>
                </c:pt>
                <c:pt idx="354">
                  <c:v>9</c:v>
                </c:pt>
                <c:pt idx="355">
                  <c:v>9</c:v>
                </c:pt>
                <c:pt idx="356">
                  <c:v>9</c:v>
                </c:pt>
                <c:pt idx="357">
                  <c:v>13</c:v>
                </c:pt>
                <c:pt idx="358">
                  <c:v>13</c:v>
                </c:pt>
                <c:pt idx="359">
                  <c:v>13</c:v>
                </c:pt>
                <c:pt idx="360">
                  <c:v>10</c:v>
                </c:pt>
                <c:pt idx="361">
                  <c:v>12</c:v>
                </c:pt>
                <c:pt idx="362">
                  <c:v>7</c:v>
                </c:pt>
                <c:pt idx="363">
                  <c:v>9</c:v>
                </c:pt>
                <c:pt idx="364">
                  <c:v>9</c:v>
                </c:pt>
                <c:pt idx="365">
                  <c:v>6</c:v>
                </c:pt>
                <c:pt idx="366">
                  <c:v>7</c:v>
                </c:pt>
                <c:pt idx="367">
                  <c:v>13</c:v>
                </c:pt>
                <c:pt idx="368">
                  <c:v>14</c:v>
                </c:pt>
                <c:pt idx="369">
                  <c:v>10</c:v>
                </c:pt>
                <c:pt idx="370">
                  <c:v>10</c:v>
                </c:pt>
                <c:pt idx="371">
                  <c:v>13</c:v>
                </c:pt>
                <c:pt idx="372">
                  <c:v>13</c:v>
                </c:pt>
                <c:pt idx="373">
                  <c:v>9</c:v>
                </c:pt>
                <c:pt idx="374">
                  <c:v>3</c:v>
                </c:pt>
                <c:pt idx="375">
                  <c:v>10</c:v>
                </c:pt>
                <c:pt idx="376">
                  <c:v>6</c:v>
                </c:pt>
                <c:pt idx="377">
                  <c:v>7</c:v>
                </c:pt>
                <c:pt idx="378">
                  <c:v>5</c:v>
                </c:pt>
                <c:pt idx="379">
                  <c:v>13</c:v>
                </c:pt>
                <c:pt idx="380">
                  <c:v>9</c:v>
                </c:pt>
                <c:pt idx="381">
                  <c:v>11</c:v>
                </c:pt>
                <c:pt idx="382">
                  <c:v>11</c:v>
                </c:pt>
                <c:pt idx="383">
                  <c:v>10</c:v>
                </c:pt>
                <c:pt idx="384">
                  <c:v>9</c:v>
                </c:pt>
                <c:pt idx="385">
                  <c:v>4</c:v>
                </c:pt>
                <c:pt idx="386">
                  <c:v>10</c:v>
                </c:pt>
                <c:pt idx="387">
                  <c:v>9</c:v>
                </c:pt>
                <c:pt idx="388">
                  <c:v>13</c:v>
                </c:pt>
                <c:pt idx="389">
                  <c:v>9</c:v>
                </c:pt>
                <c:pt idx="390">
                  <c:v>9</c:v>
                </c:pt>
                <c:pt idx="391">
                  <c:v>13</c:v>
                </c:pt>
                <c:pt idx="392">
                  <c:v>14</c:v>
                </c:pt>
                <c:pt idx="393">
                  <c:v>10</c:v>
                </c:pt>
                <c:pt idx="394">
                  <c:v>9</c:v>
                </c:pt>
                <c:pt idx="395">
                  <c:v>10</c:v>
                </c:pt>
                <c:pt idx="396">
                  <c:v>9</c:v>
                </c:pt>
                <c:pt idx="397">
                  <c:v>9</c:v>
                </c:pt>
                <c:pt idx="398">
                  <c:v>12</c:v>
                </c:pt>
                <c:pt idx="399">
                  <c:v>9</c:v>
                </c:pt>
                <c:pt idx="400">
                  <c:v>13</c:v>
                </c:pt>
                <c:pt idx="401">
                  <c:v>2</c:v>
                </c:pt>
                <c:pt idx="402">
                  <c:v>10</c:v>
                </c:pt>
                <c:pt idx="403">
                  <c:v>9</c:v>
                </c:pt>
                <c:pt idx="404">
                  <c:v>7</c:v>
                </c:pt>
                <c:pt idx="405">
                  <c:v>10</c:v>
                </c:pt>
                <c:pt idx="406">
                  <c:v>6</c:v>
                </c:pt>
                <c:pt idx="407">
                  <c:v>6</c:v>
                </c:pt>
                <c:pt idx="408">
                  <c:v>10</c:v>
                </c:pt>
                <c:pt idx="409">
                  <c:v>12</c:v>
                </c:pt>
                <c:pt idx="410">
                  <c:v>9</c:v>
                </c:pt>
                <c:pt idx="411">
                  <c:v>10</c:v>
                </c:pt>
                <c:pt idx="412">
                  <c:v>9</c:v>
                </c:pt>
                <c:pt idx="413">
                  <c:v>9</c:v>
                </c:pt>
                <c:pt idx="414">
                  <c:v>13</c:v>
                </c:pt>
                <c:pt idx="415">
                  <c:v>15</c:v>
                </c:pt>
                <c:pt idx="416">
                  <c:v>10</c:v>
                </c:pt>
                <c:pt idx="417">
                  <c:v>6</c:v>
                </c:pt>
                <c:pt idx="418">
                  <c:v>14</c:v>
                </c:pt>
                <c:pt idx="419">
                  <c:v>15</c:v>
                </c:pt>
                <c:pt idx="420">
                  <c:v>10</c:v>
                </c:pt>
                <c:pt idx="421">
                  <c:v>9</c:v>
                </c:pt>
                <c:pt idx="422">
                  <c:v>9</c:v>
                </c:pt>
                <c:pt idx="423">
                  <c:v>4</c:v>
                </c:pt>
                <c:pt idx="424">
                  <c:v>6</c:v>
                </c:pt>
                <c:pt idx="425">
                  <c:v>9</c:v>
                </c:pt>
                <c:pt idx="426">
                  <c:v>13</c:v>
                </c:pt>
                <c:pt idx="427">
                  <c:v>10</c:v>
                </c:pt>
                <c:pt idx="428">
                  <c:v>10</c:v>
                </c:pt>
                <c:pt idx="429">
                  <c:v>9</c:v>
                </c:pt>
                <c:pt idx="430">
                  <c:v>10</c:v>
                </c:pt>
                <c:pt idx="431">
                  <c:v>10</c:v>
                </c:pt>
                <c:pt idx="432">
                  <c:v>9</c:v>
                </c:pt>
                <c:pt idx="433">
                  <c:v>7</c:v>
                </c:pt>
                <c:pt idx="434">
                  <c:v>9</c:v>
                </c:pt>
                <c:pt idx="435">
                  <c:v>8</c:v>
                </c:pt>
                <c:pt idx="436">
                  <c:v>6</c:v>
                </c:pt>
                <c:pt idx="437">
                  <c:v>16</c:v>
                </c:pt>
                <c:pt idx="438">
                  <c:v>9</c:v>
                </c:pt>
                <c:pt idx="439">
                  <c:v>4</c:v>
                </c:pt>
                <c:pt idx="440">
                  <c:v>12</c:v>
                </c:pt>
                <c:pt idx="441">
                  <c:v>13</c:v>
                </c:pt>
                <c:pt idx="442">
                  <c:v>10</c:v>
                </c:pt>
                <c:pt idx="443">
                  <c:v>10</c:v>
                </c:pt>
                <c:pt idx="444">
                  <c:v>9</c:v>
                </c:pt>
                <c:pt idx="445">
                  <c:v>13</c:v>
                </c:pt>
                <c:pt idx="446">
                  <c:v>14</c:v>
                </c:pt>
                <c:pt idx="447">
                  <c:v>13</c:v>
                </c:pt>
                <c:pt idx="448">
                  <c:v>6</c:v>
                </c:pt>
                <c:pt idx="449">
                  <c:v>8</c:v>
                </c:pt>
                <c:pt idx="450">
                  <c:v>10</c:v>
                </c:pt>
                <c:pt idx="451">
                  <c:v>8</c:v>
                </c:pt>
                <c:pt idx="452">
                  <c:v>5</c:v>
                </c:pt>
                <c:pt idx="453">
                  <c:v>10</c:v>
                </c:pt>
                <c:pt idx="454">
                  <c:v>13</c:v>
                </c:pt>
                <c:pt idx="455">
                  <c:v>9</c:v>
                </c:pt>
                <c:pt idx="456">
                  <c:v>10</c:v>
                </c:pt>
                <c:pt idx="457">
                  <c:v>9</c:v>
                </c:pt>
                <c:pt idx="458">
                  <c:v>13</c:v>
                </c:pt>
                <c:pt idx="459">
                  <c:v>6</c:v>
                </c:pt>
                <c:pt idx="460">
                  <c:v>10</c:v>
                </c:pt>
                <c:pt idx="461">
                  <c:v>9</c:v>
                </c:pt>
                <c:pt idx="462">
                  <c:v>9</c:v>
                </c:pt>
                <c:pt idx="463">
                  <c:v>9</c:v>
                </c:pt>
                <c:pt idx="464">
                  <c:v>10</c:v>
                </c:pt>
                <c:pt idx="465">
                  <c:v>10</c:v>
                </c:pt>
                <c:pt idx="466">
                  <c:v>10</c:v>
                </c:pt>
                <c:pt idx="467">
                  <c:v>9</c:v>
                </c:pt>
                <c:pt idx="468">
                  <c:v>10</c:v>
                </c:pt>
                <c:pt idx="469">
                  <c:v>10</c:v>
                </c:pt>
                <c:pt idx="470">
                  <c:v>13</c:v>
                </c:pt>
                <c:pt idx="471">
                  <c:v>7</c:v>
                </c:pt>
                <c:pt idx="472">
                  <c:v>9</c:v>
                </c:pt>
                <c:pt idx="473">
                  <c:v>9</c:v>
                </c:pt>
                <c:pt idx="474">
                  <c:v>9</c:v>
                </c:pt>
                <c:pt idx="475">
                  <c:v>6</c:v>
                </c:pt>
                <c:pt idx="476">
                  <c:v>9</c:v>
                </c:pt>
                <c:pt idx="477">
                  <c:v>13</c:v>
                </c:pt>
                <c:pt idx="478">
                  <c:v>13</c:v>
                </c:pt>
                <c:pt idx="479">
                  <c:v>6</c:v>
                </c:pt>
                <c:pt idx="480">
                  <c:v>9</c:v>
                </c:pt>
                <c:pt idx="481">
                  <c:v>8</c:v>
                </c:pt>
                <c:pt idx="482">
                  <c:v>9</c:v>
                </c:pt>
                <c:pt idx="483">
                  <c:v>9</c:v>
                </c:pt>
                <c:pt idx="484">
                  <c:v>9</c:v>
                </c:pt>
                <c:pt idx="485">
                  <c:v>11</c:v>
                </c:pt>
                <c:pt idx="486">
                  <c:v>10</c:v>
                </c:pt>
                <c:pt idx="487">
                  <c:v>13</c:v>
                </c:pt>
                <c:pt idx="488">
                  <c:v>14</c:v>
                </c:pt>
                <c:pt idx="489">
                  <c:v>9</c:v>
                </c:pt>
                <c:pt idx="490">
                  <c:v>16</c:v>
                </c:pt>
                <c:pt idx="491">
                  <c:v>13</c:v>
                </c:pt>
                <c:pt idx="492">
                  <c:v>13</c:v>
                </c:pt>
                <c:pt idx="493">
                  <c:v>9</c:v>
                </c:pt>
                <c:pt idx="494">
                  <c:v>13</c:v>
                </c:pt>
                <c:pt idx="495">
                  <c:v>9</c:v>
                </c:pt>
                <c:pt idx="496">
                  <c:v>13</c:v>
                </c:pt>
                <c:pt idx="497">
                  <c:v>9</c:v>
                </c:pt>
                <c:pt idx="498">
                  <c:v>13</c:v>
                </c:pt>
                <c:pt idx="499">
                  <c:v>9</c:v>
                </c:pt>
                <c:pt idx="500">
                  <c:v>10</c:v>
                </c:pt>
                <c:pt idx="501">
                  <c:v>9</c:v>
                </c:pt>
                <c:pt idx="502">
                  <c:v>15</c:v>
                </c:pt>
                <c:pt idx="503">
                  <c:v>9</c:v>
                </c:pt>
                <c:pt idx="504">
                  <c:v>13</c:v>
                </c:pt>
                <c:pt idx="505">
                  <c:v>10</c:v>
                </c:pt>
                <c:pt idx="506">
                  <c:v>10</c:v>
                </c:pt>
                <c:pt idx="507">
                  <c:v>11</c:v>
                </c:pt>
                <c:pt idx="508">
                  <c:v>13</c:v>
                </c:pt>
                <c:pt idx="509">
                  <c:v>10</c:v>
                </c:pt>
                <c:pt idx="510">
                  <c:v>9</c:v>
                </c:pt>
                <c:pt idx="511">
                  <c:v>9</c:v>
                </c:pt>
                <c:pt idx="512">
                  <c:v>13</c:v>
                </c:pt>
                <c:pt idx="513">
                  <c:v>10</c:v>
                </c:pt>
                <c:pt idx="514">
                  <c:v>6</c:v>
                </c:pt>
                <c:pt idx="515">
                  <c:v>13</c:v>
                </c:pt>
                <c:pt idx="516">
                  <c:v>5</c:v>
                </c:pt>
                <c:pt idx="517">
                  <c:v>13</c:v>
                </c:pt>
                <c:pt idx="518">
                  <c:v>9</c:v>
                </c:pt>
                <c:pt idx="519">
                  <c:v>9</c:v>
                </c:pt>
                <c:pt idx="520">
                  <c:v>14</c:v>
                </c:pt>
                <c:pt idx="521">
                  <c:v>9</c:v>
                </c:pt>
                <c:pt idx="522">
                  <c:v>9</c:v>
                </c:pt>
                <c:pt idx="523">
                  <c:v>7</c:v>
                </c:pt>
                <c:pt idx="524">
                  <c:v>12</c:v>
                </c:pt>
                <c:pt idx="525">
                  <c:v>10</c:v>
                </c:pt>
                <c:pt idx="526">
                  <c:v>13</c:v>
                </c:pt>
                <c:pt idx="527">
                  <c:v>5</c:v>
                </c:pt>
                <c:pt idx="528">
                  <c:v>10</c:v>
                </c:pt>
                <c:pt idx="529">
                  <c:v>9</c:v>
                </c:pt>
                <c:pt idx="530">
                  <c:v>14</c:v>
                </c:pt>
                <c:pt idx="531">
                  <c:v>13</c:v>
                </c:pt>
                <c:pt idx="532">
                  <c:v>9</c:v>
                </c:pt>
                <c:pt idx="533">
                  <c:v>14</c:v>
                </c:pt>
                <c:pt idx="534">
                  <c:v>10</c:v>
                </c:pt>
                <c:pt idx="535">
                  <c:v>10</c:v>
                </c:pt>
                <c:pt idx="536">
                  <c:v>10</c:v>
                </c:pt>
                <c:pt idx="537">
                  <c:v>4</c:v>
                </c:pt>
                <c:pt idx="538">
                  <c:v>10</c:v>
                </c:pt>
                <c:pt idx="539">
                  <c:v>10</c:v>
                </c:pt>
                <c:pt idx="540">
                  <c:v>7</c:v>
                </c:pt>
                <c:pt idx="541">
                  <c:v>13</c:v>
                </c:pt>
                <c:pt idx="542">
                  <c:v>9</c:v>
                </c:pt>
                <c:pt idx="543">
                  <c:v>9</c:v>
                </c:pt>
                <c:pt idx="544">
                  <c:v>9</c:v>
                </c:pt>
                <c:pt idx="545">
                  <c:v>12</c:v>
                </c:pt>
                <c:pt idx="546">
                  <c:v>13</c:v>
                </c:pt>
                <c:pt idx="547">
                  <c:v>10</c:v>
                </c:pt>
                <c:pt idx="548">
                  <c:v>9</c:v>
                </c:pt>
                <c:pt idx="549">
                  <c:v>9</c:v>
                </c:pt>
                <c:pt idx="550">
                  <c:v>9</c:v>
                </c:pt>
                <c:pt idx="551">
                  <c:v>13</c:v>
                </c:pt>
                <c:pt idx="552">
                  <c:v>10</c:v>
                </c:pt>
                <c:pt idx="553">
                  <c:v>13</c:v>
                </c:pt>
                <c:pt idx="554">
                  <c:v>13</c:v>
                </c:pt>
                <c:pt idx="555">
                  <c:v>13</c:v>
                </c:pt>
                <c:pt idx="556">
                  <c:v>4</c:v>
                </c:pt>
                <c:pt idx="557">
                  <c:v>13</c:v>
                </c:pt>
                <c:pt idx="558">
                  <c:v>12</c:v>
                </c:pt>
                <c:pt idx="559">
                  <c:v>12</c:v>
                </c:pt>
                <c:pt idx="560">
                  <c:v>9</c:v>
                </c:pt>
                <c:pt idx="561">
                  <c:v>15</c:v>
                </c:pt>
                <c:pt idx="562">
                  <c:v>4</c:v>
                </c:pt>
                <c:pt idx="563">
                  <c:v>9</c:v>
                </c:pt>
                <c:pt idx="564">
                  <c:v>5</c:v>
                </c:pt>
                <c:pt idx="565">
                  <c:v>10</c:v>
                </c:pt>
                <c:pt idx="566">
                  <c:v>11</c:v>
                </c:pt>
                <c:pt idx="567">
                  <c:v>9</c:v>
                </c:pt>
                <c:pt idx="568">
                  <c:v>9</c:v>
                </c:pt>
                <c:pt idx="569">
                  <c:v>10</c:v>
                </c:pt>
                <c:pt idx="570">
                  <c:v>13</c:v>
                </c:pt>
                <c:pt idx="571">
                  <c:v>13</c:v>
                </c:pt>
                <c:pt idx="572">
                  <c:v>7</c:v>
                </c:pt>
                <c:pt idx="573">
                  <c:v>10</c:v>
                </c:pt>
                <c:pt idx="574">
                  <c:v>11</c:v>
                </c:pt>
                <c:pt idx="575">
                  <c:v>10</c:v>
                </c:pt>
                <c:pt idx="576">
                  <c:v>9</c:v>
                </c:pt>
                <c:pt idx="577">
                  <c:v>15</c:v>
                </c:pt>
                <c:pt idx="578">
                  <c:v>9</c:v>
                </c:pt>
                <c:pt idx="579">
                  <c:v>9</c:v>
                </c:pt>
                <c:pt idx="580">
                  <c:v>11</c:v>
                </c:pt>
                <c:pt idx="581">
                  <c:v>9</c:v>
                </c:pt>
                <c:pt idx="582">
                  <c:v>10</c:v>
                </c:pt>
                <c:pt idx="583">
                  <c:v>10</c:v>
                </c:pt>
                <c:pt idx="584">
                  <c:v>9</c:v>
                </c:pt>
                <c:pt idx="585">
                  <c:v>10</c:v>
                </c:pt>
                <c:pt idx="586">
                  <c:v>9</c:v>
                </c:pt>
                <c:pt idx="587">
                  <c:v>10</c:v>
                </c:pt>
                <c:pt idx="588">
                  <c:v>9</c:v>
                </c:pt>
                <c:pt idx="589">
                  <c:v>5</c:v>
                </c:pt>
                <c:pt idx="590">
                  <c:v>10</c:v>
                </c:pt>
                <c:pt idx="591">
                  <c:v>10</c:v>
                </c:pt>
                <c:pt idx="592">
                  <c:v>9</c:v>
                </c:pt>
                <c:pt idx="593">
                  <c:v>9</c:v>
                </c:pt>
                <c:pt idx="594">
                  <c:v>3</c:v>
                </c:pt>
                <c:pt idx="595">
                  <c:v>13</c:v>
                </c:pt>
                <c:pt idx="596">
                  <c:v>10</c:v>
                </c:pt>
                <c:pt idx="597">
                  <c:v>15</c:v>
                </c:pt>
                <c:pt idx="598">
                  <c:v>9</c:v>
                </c:pt>
                <c:pt idx="599">
                  <c:v>14</c:v>
                </c:pt>
                <c:pt idx="600">
                  <c:v>13</c:v>
                </c:pt>
                <c:pt idx="601">
                  <c:v>13</c:v>
                </c:pt>
                <c:pt idx="602">
                  <c:v>14</c:v>
                </c:pt>
                <c:pt idx="603">
                  <c:v>11</c:v>
                </c:pt>
                <c:pt idx="604">
                  <c:v>9</c:v>
                </c:pt>
                <c:pt idx="605">
                  <c:v>9</c:v>
                </c:pt>
                <c:pt idx="606">
                  <c:v>9</c:v>
                </c:pt>
                <c:pt idx="607">
                  <c:v>9</c:v>
                </c:pt>
                <c:pt idx="608">
                  <c:v>12</c:v>
                </c:pt>
                <c:pt idx="609">
                  <c:v>9</c:v>
                </c:pt>
                <c:pt idx="610">
                  <c:v>9</c:v>
                </c:pt>
                <c:pt idx="611">
                  <c:v>9</c:v>
                </c:pt>
                <c:pt idx="612">
                  <c:v>10</c:v>
                </c:pt>
                <c:pt idx="613">
                  <c:v>11</c:v>
                </c:pt>
                <c:pt idx="614">
                  <c:v>9</c:v>
                </c:pt>
                <c:pt idx="615">
                  <c:v>10</c:v>
                </c:pt>
                <c:pt idx="616">
                  <c:v>13</c:v>
                </c:pt>
                <c:pt idx="617">
                  <c:v>13</c:v>
                </c:pt>
                <c:pt idx="618">
                  <c:v>12</c:v>
                </c:pt>
                <c:pt idx="619">
                  <c:v>14</c:v>
                </c:pt>
                <c:pt idx="620">
                  <c:v>10</c:v>
                </c:pt>
                <c:pt idx="621">
                  <c:v>6</c:v>
                </c:pt>
                <c:pt idx="622">
                  <c:v>10</c:v>
                </c:pt>
                <c:pt idx="623">
                  <c:v>9</c:v>
                </c:pt>
                <c:pt idx="624">
                  <c:v>9</c:v>
                </c:pt>
                <c:pt idx="625">
                  <c:v>9</c:v>
                </c:pt>
                <c:pt idx="626">
                  <c:v>10</c:v>
                </c:pt>
                <c:pt idx="627">
                  <c:v>16</c:v>
                </c:pt>
                <c:pt idx="628">
                  <c:v>11</c:v>
                </c:pt>
                <c:pt idx="629">
                  <c:v>13</c:v>
                </c:pt>
                <c:pt idx="630">
                  <c:v>9</c:v>
                </c:pt>
                <c:pt idx="631">
                  <c:v>6</c:v>
                </c:pt>
                <c:pt idx="632">
                  <c:v>9</c:v>
                </c:pt>
                <c:pt idx="633">
                  <c:v>10</c:v>
                </c:pt>
                <c:pt idx="634">
                  <c:v>9</c:v>
                </c:pt>
                <c:pt idx="635">
                  <c:v>13</c:v>
                </c:pt>
                <c:pt idx="636">
                  <c:v>9</c:v>
                </c:pt>
                <c:pt idx="637">
                  <c:v>10</c:v>
                </c:pt>
                <c:pt idx="638">
                  <c:v>4</c:v>
                </c:pt>
                <c:pt idx="639">
                  <c:v>14</c:v>
                </c:pt>
                <c:pt idx="640">
                  <c:v>9</c:v>
                </c:pt>
                <c:pt idx="641">
                  <c:v>10</c:v>
                </c:pt>
                <c:pt idx="642">
                  <c:v>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DF6-45E1-974D-FF933BC957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2580464"/>
        <c:axId val="492584784"/>
      </c:scatterChart>
      <c:valAx>
        <c:axId val="4925804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Age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584784"/>
        <c:crosses val="autoZero"/>
        <c:crossBetween val="midCat"/>
      </c:valAx>
      <c:valAx>
        <c:axId val="492584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education-num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5804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1400" b="0" i="0" u="none" strike="noStrike" baseline="0"/>
              <a:t>8b. </a:t>
            </a:r>
            <a:r>
              <a:rPr lang="en-US" sz="1400" b="0" i="0" u="none" strike="noStrike" baseline="0"/>
              <a:t>Age vs hours-per-week</a:t>
            </a:r>
            <a:r>
              <a:rPr lang="pl-PL" sz="1400" b="0" i="0" u="none" strike="noStrike" baseline="0"/>
              <a:t> vs </a:t>
            </a:r>
            <a:r>
              <a:rPr lang="en-US" sz="1400" b="0" i="0" u="none" strike="noStrike" baseline="0"/>
              <a:t>Income</a:t>
            </a:r>
            <a:endParaRPr lang="pl-PL" sz="1400" b="0" i="0" u="none" strike="noStrike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&lt;=50K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Scatter!$J$2:$J$644</c:f>
              <c:numCache>
                <c:formatCode>General</c:formatCode>
                <c:ptCount val="643"/>
                <c:pt idx="0">
                  <c:v>18</c:v>
                </c:pt>
                <c:pt idx="1">
                  <c:v>28</c:v>
                </c:pt>
                <c:pt idx="2">
                  <c:v>35</c:v>
                </c:pt>
                <c:pt idx="3">
                  <c:v>46</c:v>
                </c:pt>
                <c:pt idx="4">
                  <c:v>#N/A</c:v>
                </c:pt>
                <c:pt idx="5">
                  <c:v>34</c:v>
                </c:pt>
                <c:pt idx="6">
                  <c:v>44</c:v>
                </c:pt>
                <c:pt idx="7">
                  <c:v>28</c:v>
                </c:pt>
                <c:pt idx="8">
                  <c:v>34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21</c:v>
                </c:pt>
                <c:pt idx="13">
                  <c:v>36</c:v>
                </c:pt>
                <c:pt idx="14">
                  <c:v>31</c:v>
                </c:pt>
                <c:pt idx="15">
                  <c:v>55</c:v>
                </c:pt>
                <c:pt idx="16">
                  <c:v>45</c:v>
                </c:pt>
                <c:pt idx="17">
                  <c:v>23</c:v>
                </c:pt>
                <c:pt idx="18">
                  <c:v>#N/A</c:v>
                </c:pt>
                <c:pt idx="19">
                  <c:v>#N/A</c:v>
                </c:pt>
                <c:pt idx="20">
                  <c:v>43</c:v>
                </c:pt>
                <c:pt idx="21">
                  <c:v>31</c:v>
                </c:pt>
                <c:pt idx="22">
                  <c:v>28</c:v>
                </c:pt>
                <c:pt idx="23">
                  <c:v>29</c:v>
                </c:pt>
                <c:pt idx="24">
                  <c:v>17</c:v>
                </c:pt>
                <c:pt idx="25">
                  <c:v>17</c:v>
                </c:pt>
                <c:pt idx="26">
                  <c:v>66</c:v>
                </c:pt>
                <c:pt idx="27">
                  <c:v>69</c:v>
                </c:pt>
                <c:pt idx="28">
                  <c:v>27</c:v>
                </c:pt>
                <c:pt idx="29">
                  <c:v>26</c:v>
                </c:pt>
                <c:pt idx="30">
                  <c:v>#N/A</c:v>
                </c:pt>
                <c:pt idx="31">
                  <c:v>59</c:v>
                </c:pt>
                <c:pt idx="32">
                  <c:v>37</c:v>
                </c:pt>
                <c:pt idx="33">
                  <c:v>18</c:v>
                </c:pt>
                <c:pt idx="34">
                  <c:v>21</c:v>
                </c:pt>
                <c:pt idx="35">
                  <c:v>64</c:v>
                </c:pt>
                <c:pt idx="36">
                  <c:v>50</c:v>
                </c:pt>
                <c:pt idx="37">
                  <c:v>19</c:v>
                </c:pt>
                <c:pt idx="38">
                  <c:v>28</c:v>
                </c:pt>
                <c:pt idx="39">
                  <c:v>47</c:v>
                </c:pt>
                <c:pt idx="40">
                  <c:v>56</c:v>
                </c:pt>
                <c:pt idx="41">
                  <c:v>26</c:v>
                </c:pt>
                <c:pt idx="42">
                  <c:v>#N/A</c:v>
                </c:pt>
                <c:pt idx="43">
                  <c:v>20</c:v>
                </c:pt>
                <c:pt idx="44">
                  <c:v>25</c:v>
                </c:pt>
                <c:pt idx="45">
                  <c:v>46</c:v>
                </c:pt>
                <c:pt idx="46">
                  <c:v>22</c:v>
                </c:pt>
                <c:pt idx="47">
                  <c:v>37</c:v>
                </c:pt>
                <c:pt idx="48">
                  <c:v>22</c:v>
                </c:pt>
                <c:pt idx="49">
                  <c:v>27</c:v>
                </c:pt>
                <c:pt idx="50">
                  <c:v>#N/A</c:v>
                </c:pt>
                <c:pt idx="51">
                  <c:v>#N/A</c:v>
                </c:pt>
                <c:pt idx="52">
                  <c:v>53</c:v>
                </c:pt>
                <c:pt idx="53">
                  <c:v>24</c:v>
                </c:pt>
                <c:pt idx="54">
                  <c:v>24</c:v>
                </c:pt>
                <c:pt idx="55">
                  <c:v>21</c:v>
                </c:pt>
                <c:pt idx="56">
                  <c:v>#N/A</c:v>
                </c:pt>
                <c:pt idx="57">
                  <c:v>58</c:v>
                </c:pt>
                <c:pt idx="58">
                  <c:v>41</c:v>
                </c:pt>
                <c:pt idx="59">
                  <c:v>17</c:v>
                </c:pt>
                <c:pt idx="60">
                  <c:v>31</c:v>
                </c:pt>
                <c:pt idx="61">
                  <c:v>#N/A</c:v>
                </c:pt>
                <c:pt idx="62">
                  <c:v>42</c:v>
                </c:pt>
                <c:pt idx="63">
                  <c:v>26</c:v>
                </c:pt>
                <c:pt idx="64">
                  <c:v>33</c:v>
                </c:pt>
                <c:pt idx="65">
                  <c:v>40</c:v>
                </c:pt>
                <c:pt idx="66">
                  <c:v>#N/A</c:v>
                </c:pt>
                <c:pt idx="67">
                  <c:v>35</c:v>
                </c:pt>
                <c:pt idx="68">
                  <c:v>44</c:v>
                </c:pt>
                <c:pt idx="69">
                  <c:v>58</c:v>
                </c:pt>
                <c:pt idx="70">
                  <c:v>73</c:v>
                </c:pt>
                <c:pt idx="71">
                  <c:v>#N/A</c:v>
                </c:pt>
                <c:pt idx="72">
                  <c:v>23</c:v>
                </c:pt>
                <c:pt idx="73">
                  <c:v>#N/A</c:v>
                </c:pt>
                <c:pt idx="74">
                  <c:v>24</c:v>
                </c:pt>
                <c:pt idx="75">
                  <c:v>39</c:v>
                </c:pt>
                <c:pt idx="76">
                  <c:v>43</c:v>
                </c:pt>
                <c:pt idx="77">
                  <c:v>51</c:v>
                </c:pt>
                <c:pt idx="78">
                  <c:v>70</c:v>
                </c:pt>
                <c:pt idx="79">
                  <c:v>70</c:v>
                </c:pt>
                <c:pt idx="80">
                  <c:v>28</c:v>
                </c:pt>
                <c:pt idx="81">
                  <c:v>19</c:v>
                </c:pt>
                <c:pt idx="82">
                  <c:v>#N/A</c:v>
                </c:pt>
                <c:pt idx="83">
                  <c:v>47</c:v>
                </c:pt>
                <c:pt idx="84">
                  <c:v>28</c:v>
                </c:pt>
                <c:pt idx="85">
                  <c:v>41</c:v>
                </c:pt>
                <c:pt idx="86">
                  <c:v>31</c:v>
                </c:pt>
                <c:pt idx="87">
                  <c:v>#N/A</c:v>
                </c:pt>
                <c:pt idx="88">
                  <c:v>21</c:v>
                </c:pt>
                <c:pt idx="89">
                  <c:v>44</c:v>
                </c:pt>
                <c:pt idx="90">
                  <c:v>29</c:v>
                </c:pt>
                <c:pt idx="91">
                  <c:v>25</c:v>
                </c:pt>
                <c:pt idx="92">
                  <c:v>20</c:v>
                </c:pt>
                <c:pt idx="93">
                  <c:v>43</c:v>
                </c:pt>
                <c:pt idx="94">
                  <c:v>27</c:v>
                </c:pt>
                <c:pt idx="95">
                  <c:v>32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42</c:v>
                </c:pt>
                <c:pt idx="101">
                  <c:v>25</c:v>
                </c:pt>
                <c:pt idx="102">
                  <c:v>52</c:v>
                </c:pt>
                <c:pt idx="103">
                  <c:v>26</c:v>
                </c:pt>
                <c:pt idx="104">
                  <c:v>57</c:v>
                </c:pt>
                <c:pt idx="105">
                  <c:v>28</c:v>
                </c:pt>
                <c:pt idx="106">
                  <c:v>28</c:v>
                </c:pt>
                <c:pt idx="107">
                  <c:v>59</c:v>
                </c:pt>
                <c:pt idx="108">
                  <c:v>61</c:v>
                </c:pt>
                <c:pt idx="109">
                  <c:v>21</c:v>
                </c:pt>
                <c:pt idx="110">
                  <c:v>19</c:v>
                </c:pt>
                <c:pt idx="111">
                  <c:v>28</c:v>
                </c:pt>
                <c:pt idx="112">
                  <c:v>#N/A</c:v>
                </c:pt>
                <c:pt idx="113">
                  <c:v>64</c:v>
                </c:pt>
                <c:pt idx="114">
                  <c:v>28</c:v>
                </c:pt>
                <c:pt idx="115">
                  <c:v>42</c:v>
                </c:pt>
                <c:pt idx="116">
                  <c:v>35</c:v>
                </c:pt>
                <c:pt idx="117">
                  <c:v>23</c:v>
                </c:pt>
                <c:pt idx="118">
                  <c:v>63</c:v>
                </c:pt>
                <c:pt idx="119">
                  <c:v>#N/A</c:v>
                </c:pt>
                <c:pt idx="120">
                  <c:v>56</c:v>
                </c:pt>
                <c:pt idx="121">
                  <c:v>49</c:v>
                </c:pt>
                <c:pt idx="122">
                  <c:v>47</c:v>
                </c:pt>
                <c:pt idx="123">
                  <c:v>22</c:v>
                </c:pt>
                <c:pt idx="124">
                  <c:v>20</c:v>
                </c:pt>
                <c:pt idx="125">
                  <c:v>18</c:v>
                </c:pt>
                <c:pt idx="126">
                  <c:v>31</c:v>
                </c:pt>
                <c:pt idx="127">
                  <c:v>51</c:v>
                </c:pt>
                <c:pt idx="128">
                  <c:v>90</c:v>
                </c:pt>
                <c:pt idx="129">
                  <c:v>26</c:v>
                </c:pt>
                <c:pt idx="130">
                  <c:v>51</c:v>
                </c:pt>
                <c:pt idx="131">
                  <c:v>34</c:v>
                </c:pt>
                <c:pt idx="132">
                  <c:v>#N/A</c:v>
                </c:pt>
                <c:pt idx="133">
                  <c:v>64</c:v>
                </c:pt>
                <c:pt idx="134">
                  <c:v>#N/A</c:v>
                </c:pt>
                <c:pt idx="135">
                  <c:v>20</c:v>
                </c:pt>
                <c:pt idx="136">
                  <c:v>37</c:v>
                </c:pt>
                <c:pt idx="137">
                  <c:v>23</c:v>
                </c:pt>
                <c:pt idx="138">
                  <c:v>30</c:v>
                </c:pt>
                <c:pt idx="139">
                  <c:v>45</c:v>
                </c:pt>
                <c:pt idx="140">
                  <c:v>41</c:v>
                </c:pt>
                <c:pt idx="141">
                  <c:v>32</c:v>
                </c:pt>
                <c:pt idx="142">
                  <c:v>39</c:v>
                </c:pt>
                <c:pt idx="143">
                  <c:v>#N/A</c:v>
                </c:pt>
                <c:pt idx="144">
                  <c:v>46</c:v>
                </c:pt>
                <c:pt idx="145">
                  <c:v>34</c:v>
                </c:pt>
                <c:pt idx="146">
                  <c:v>54</c:v>
                </c:pt>
                <c:pt idx="147">
                  <c:v>64</c:v>
                </c:pt>
                <c:pt idx="148">
                  <c:v>36</c:v>
                </c:pt>
                <c:pt idx="149">
                  <c:v>38</c:v>
                </c:pt>
                <c:pt idx="150">
                  <c:v>62</c:v>
                </c:pt>
                <c:pt idx="151">
                  <c:v>56</c:v>
                </c:pt>
                <c:pt idx="152">
                  <c:v>26</c:v>
                </c:pt>
                <c:pt idx="153">
                  <c:v>#N/A</c:v>
                </c:pt>
                <c:pt idx="154">
                  <c:v>38</c:v>
                </c:pt>
                <c:pt idx="155">
                  <c:v>43</c:v>
                </c:pt>
                <c:pt idx="156">
                  <c:v>30</c:v>
                </c:pt>
                <c:pt idx="157">
                  <c:v>26</c:v>
                </c:pt>
                <c:pt idx="158">
                  <c:v>42</c:v>
                </c:pt>
                <c:pt idx="159">
                  <c:v>#N/A</c:v>
                </c:pt>
                <c:pt idx="160">
                  <c:v>29</c:v>
                </c:pt>
                <c:pt idx="161">
                  <c:v>23</c:v>
                </c:pt>
                <c:pt idx="162">
                  <c:v>31</c:v>
                </c:pt>
                <c:pt idx="163">
                  <c:v>40</c:v>
                </c:pt>
                <c:pt idx="164">
                  <c:v>50</c:v>
                </c:pt>
                <c:pt idx="165">
                  <c:v>#N/A</c:v>
                </c:pt>
                <c:pt idx="166">
                  <c:v>17</c:v>
                </c:pt>
                <c:pt idx="167">
                  <c:v>23</c:v>
                </c:pt>
                <c:pt idx="168">
                  <c:v>#N/A</c:v>
                </c:pt>
                <c:pt idx="169">
                  <c:v>#N/A</c:v>
                </c:pt>
                <c:pt idx="170">
                  <c:v>40</c:v>
                </c:pt>
                <c:pt idx="171">
                  <c:v>21</c:v>
                </c:pt>
                <c:pt idx="172">
                  <c:v>#N/A</c:v>
                </c:pt>
                <c:pt idx="173">
                  <c:v>39</c:v>
                </c:pt>
                <c:pt idx="174">
                  <c:v>#N/A</c:v>
                </c:pt>
                <c:pt idx="175">
                  <c:v>17</c:v>
                </c:pt>
                <c:pt idx="176">
                  <c:v>25</c:v>
                </c:pt>
                <c:pt idx="177">
                  <c:v>33</c:v>
                </c:pt>
                <c:pt idx="178">
                  <c:v>51</c:v>
                </c:pt>
                <c:pt idx="179">
                  <c:v>#N/A</c:v>
                </c:pt>
                <c:pt idx="180">
                  <c:v>36</c:v>
                </c:pt>
                <c:pt idx="181">
                  <c:v>52</c:v>
                </c:pt>
                <c:pt idx="182">
                  <c:v>43</c:v>
                </c:pt>
                <c:pt idx="183">
                  <c:v>#N/A</c:v>
                </c:pt>
                <c:pt idx="184">
                  <c:v>#N/A</c:v>
                </c:pt>
                <c:pt idx="185">
                  <c:v>55</c:v>
                </c:pt>
                <c:pt idx="186">
                  <c:v>37</c:v>
                </c:pt>
                <c:pt idx="187">
                  <c:v>#N/A</c:v>
                </c:pt>
                <c:pt idx="188">
                  <c:v>27</c:v>
                </c:pt>
                <c:pt idx="189">
                  <c:v>#N/A</c:v>
                </c:pt>
                <c:pt idx="190">
                  <c:v>34</c:v>
                </c:pt>
                <c:pt idx="191">
                  <c:v>20</c:v>
                </c:pt>
                <c:pt idx="192">
                  <c:v>#N/A</c:v>
                </c:pt>
                <c:pt idx="193">
                  <c:v>38</c:v>
                </c:pt>
                <c:pt idx="194">
                  <c:v>39</c:v>
                </c:pt>
                <c:pt idx="195">
                  <c:v>36</c:v>
                </c:pt>
                <c:pt idx="196">
                  <c:v>64</c:v>
                </c:pt>
                <c:pt idx="197">
                  <c:v>18</c:v>
                </c:pt>
                <c:pt idx="198">
                  <c:v>46</c:v>
                </c:pt>
                <c:pt idx="199">
                  <c:v>18</c:v>
                </c:pt>
                <c:pt idx="200">
                  <c:v>63</c:v>
                </c:pt>
                <c:pt idx="201">
                  <c:v>56</c:v>
                </c:pt>
                <c:pt idx="202">
                  <c:v>#N/A</c:v>
                </c:pt>
                <c:pt idx="203">
                  <c:v>37</c:v>
                </c:pt>
                <c:pt idx="204">
                  <c:v>21</c:v>
                </c:pt>
                <c:pt idx="205">
                  <c:v>23</c:v>
                </c:pt>
                <c:pt idx="206">
                  <c:v>30</c:v>
                </c:pt>
                <c:pt idx="207">
                  <c:v>42</c:v>
                </c:pt>
                <c:pt idx="208">
                  <c:v>#N/A</c:v>
                </c:pt>
                <c:pt idx="209">
                  <c:v>56</c:v>
                </c:pt>
                <c:pt idx="210">
                  <c:v>25</c:v>
                </c:pt>
                <c:pt idx="211">
                  <c:v>#N/A</c:v>
                </c:pt>
                <c:pt idx="212">
                  <c:v>18</c:v>
                </c:pt>
                <c:pt idx="213">
                  <c:v>74</c:v>
                </c:pt>
                <c:pt idx="214">
                  <c:v>32</c:v>
                </c:pt>
                <c:pt idx="215">
                  <c:v>20</c:v>
                </c:pt>
                <c:pt idx="216">
                  <c:v>23</c:v>
                </c:pt>
                <c:pt idx="217">
                  <c:v>57</c:v>
                </c:pt>
                <c:pt idx="218">
                  <c:v>47</c:v>
                </c:pt>
                <c:pt idx="219">
                  <c:v>#N/A</c:v>
                </c:pt>
                <c:pt idx="220">
                  <c:v>26</c:v>
                </c:pt>
                <c:pt idx="221">
                  <c:v>47</c:v>
                </c:pt>
                <c:pt idx="222">
                  <c:v>24</c:v>
                </c:pt>
                <c:pt idx="223">
                  <c:v>28</c:v>
                </c:pt>
                <c:pt idx="224">
                  <c:v>23</c:v>
                </c:pt>
                <c:pt idx="225">
                  <c:v>40</c:v>
                </c:pt>
                <c:pt idx="226">
                  <c:v>#N/A</c:v>
                </c:pt>
                <c:pt idx="227">
                  <c:v>#N/A</c:v>
                </c:pt>
                <c:pt idx="228">
                  <c:v>43</c:v>
                </c:pt>
                <c:pt idx="229">
                  <c:v>42</c:v>
                </c:pt>
                <c:pt idx="230">
                  <c:v>67</c:v>
                </c:pt>
                <c:pt idx="231">
                  <c:v>25</c:v>
                </c:pt>
                <c:pt idx="232">
                  <c:v>30</c:v>
                </c:pt>
                <c:pt idx="233">
                  <c:v>37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58</c:v>
                </c:pt>
                <c:pt idx="238">
                  <c:v>35</c:v>
                </c:pt>
                <c:pt idx="239">
                  <c:v>49</c:v>
                </c:pt>
                <c:pt idx="240">
                  <c:v>90</c:v>
                </c:pt>
                <c:pt idx="241">
                  <c:v>#N/A</c:v>
                </c:pt>
                <c:pt idx="242">
                  <c:v>18</c:v>
                </c:pt>
                <c:pt idx="243">
                  <c:v>25</c:v>
                </c:pt>
                <c:pt idx="244">
                  <c:v>31</c:v>
                </c:pt>
                <c:pt idx="245">
                  <c:v>22</c:v>
                </c:pt>
                <c:pt idx="246">
                  <c:v>25</c:v>
                </c:pt>
                <c:pt idx="247">
                  <c:v>#N/A</c:v>
                </c:pt>
                <c:pt idx="248">
                  <c:v>26</c:v>
                </c:pt>
                <c:pt idx="249">
                  <c:v>37</c:v>
                </c:pt>
                <c:pt idx="250">
                  <c:v>27</c:v>
                </c:pt>
                <c:pt idx="251">
                  <c:v>18</c:v>
                </c:pt>
                <c:pt idx="252">
                  <c:v>24</c:v>
                </c:pt>
                <c:pt idx="253">
                  <c:v>47</c:v>
                </c:pt>
                <c:pt idx="254">
                  <c:v>48</c:v>
                </c:pt>
                <c:pt idx="255">
                  <c:v>39</c:v>
                </c:pt>
                <c:pt idx="256">
                  <c:v>26</c:v>
                </c:pt>
                <c:pt idx="257">
                  <c:v>#N/A</c:v>
                </c:pt>
                <c:pt idx="258">
                  <c:v>32</c:v>
                </c:pt>
                <c:pt idx="259">
                  <c:v>38</c:v>
                </c:pt>
                <c:pt idx="260">
                  <c:v>41</c:v>
                </c:pt>
                <c:pt idx="261">
                  <c:v>27</c:v>
                </c:pt>
                <c:pt idx="262">
                  <c:v>#N/A</c:v>
                </c:pt>
                <c:pt idx="263">
                  <c:v>28</c:v>
                </c:pt>
                <c:pt idx="264">
                  <c:v>#N/A</c:v>
                </c:pt>
                <c:pt idx="265">
                  <c:v>71</c:v>
                </c:pt>
                <c:pt idx="266">
                  <c:v>#N/A</c:v>
                </c:pt>
                <c:pt idx="267">
                  <c:v>33</c:v>
                </c:pt>
                <c:pt idx="268">
                  <c:v>50</c:v>
                </c:pt>
                <c:pt idx="269">
                  <c:v>#N/A</c:v>
                </c:pt>
                <c:pt idx="270">
                  <c:v>41</c:v>
                </c:pt>
                <c:pt idx="271">
                  <c:v>25</c:v>
                </c:pt>
                <c:pt idx="272">
                  <c:v>31</c:v>
                </c:pt>
                <c:pt idx="273">
                  <c:v>#N/A</c:v>
                </c:pt>
                <c:pt idx="274">
                  <c:v>21</c:v>
                </c:pt>
                <c:pt idx="275">
                  <c:v>64</c:v>
                </c:pt>
                <c:pt idx="276">
                  <c:v>39</c:v>
                </c:pt>
                <c:pt idx="277">
                  <c:v>26</c:v>
                </c:pt>
                <c:pt idx="278">
                  <c:v>22</c:v>
                </c:pt>
                <c:pt idx="279">
                  <c:v>30</c:v>
                </c:pt>
                <c:pt idx="280">
                  <c:v>30</c:v>
                </c:pt>
                <c:pt idx="281">
                  <c:v>49</c:v>
                </c:pt>
                <c:pt idx="282">
                  <c:v>22</c:v>
                </c:pt>
                <c:pt idx="283">
                  <c:v>#N/A</c:v>
                </c:pt>
                <c:pt idx="284">
                  <c:v>55</c:v>
                </c:pt>
                <c:pt idx="285">
                  <c:v>41</c:v>
                </c:pt>
                <c:pt idx="286">
                  <c:v>#N/A</c:v>
                </c:pt>
                <c:pt idx="287">
                  <c:v>38</c:v>
                </c:pt>
                <c:pt idx="288">
                  <c:v>75</c:v>
                </c:pt>
                <c:pt idx="289">
                  <c:v>#N/A</c:v>
                </c:pt>
                <c:pt idx="290">
                  <c:v>43</c:v>
                </c:pt>
                <c:pt idx="291">
                  <c:v>20</c:v>
                </c:pt>
                <c:pt idx="292">
                  <c:v>#N/A</c:v>
                </c:pt>
                <c:pt idx="293">
                  <c:v>31</c:v>
                </c:pt>
                <c:pt idx="294">
                  <c:v>45</c:v>
                </c:pt>
                <c:pt idx="295">
                  <c:v>23</c:v>
                </c:pt>
                <c:pt idx="296">
                  <c:v>34</c:v>
                </c:pt>
                <c:pt idx="297">
                  <c:v>#N/A</c:v>
                </c:pt>
                <c:pt idx="298">
                  <c:v>#N/A</c:v>
                </c:pt>
                <c:pt idx="299">
                  <c:v>63</c:v>
                </c:pt>
                <c:pt idx="300">
                  <c:v>44</c:v>
                </c:pt>
                <c:pt idx="301">
                  <c:v>#N/A</c:v>
                </c:pt>
                <c:pt idx="302">
                  <c:v>30</c:v>
                </c:pt>
                <c:pt idx="303">
                  <c:v>47</c:v>
                </c:pt>
                <c:pt idx="304">
                  <c:v>34</c:v>
                </c:pt>
                <c:pt idx="305">
                  <c:v>38</c:v>
                </c:pt>
                <c:pt idx="306">
                  <c:v>31</c:v>
                </c:pt>
                <c:pt idx="307">
                  <c:v>#N/A</c:v>
                </c:pt>
                <c:pt idx="308">
                  <c:v>22</c:v>
                </c:pt>
                <c:pt idx="309">
                  <c:v>#N/A</c:v>
                </c:pt>
                <c:pt idx="310">
                  <c:v>90</c:v>
                </c:pt>
                <c:pt idx="311">
                  <c:v>39</c:v>
                </c:pt>
                <c:pt idx="312">
                  <c:v>#N/A</c:v>
                </c:pt>
                <c:pt idx="313">
                  <c:v>51</c:v>
                </c:pt>
                <c:pt idx="314">
                  <c:v>42</c:v>
                </c:pt>
                <c:pt idx="315">
                  <c:v>36</c:v>
                </c:pt>
                <c:pt idx="316">
                  <c:v>57</c:v>
                </c:pt>
                <c:pt idx="317">
                  <c:v>71</c:v>
                </c:pt>
                <c:pt idx="318">
                  <c:v>53</c:v>
                </c:pt>
                <c:pt idx="319">
                  <c:v>23</c:v>
                </c:pt>
                <c:pt idx="320">
                  <c:v>45</c:v>
                </c:pt>
                <c:pt idx="321">
                  <c:v>19</c:v>
                </c:pt>
                <c:pt idx="322">
                  <c:v>#N/A</c:v>
                </c:pt>
                <c:pt idx="323">
                  <c:v>#N/A</c:v>
                </c:pt>
                <c:pt idx="324">
                  <c:v>32</c:v>
                </c:pt>
                <c:pt idx="325">
                  <c:v>#N/A</c:v>
                </c:pt>
                <c:pt idx="326">
                  <c:v>23</c:v>
                </c:pt>
                <c:pt idx="327">
                  <c:v>32</c:v>
                </c:pt>
                <c:pt idx="328">
                  <c:v>35</c:v>
                </c:pt>
                <c:pt idx="329">
                  <c:v>30</c:v>
                </c:pt>
                <c:pt idx="330">
                  <c:v>59</c:v>
                </c:pt>
                <c:pt idx="331">
                  <c:v>37</c:v>
                </c:pt>
                <c:pt idx="332">
                  <c:v>36</c:v>
                </c:pt>
                <c:pt idx="333">
                  <c:v>34</c:v>
                </c:pt>
                <c:pt idx="334">
                  <c:v>25</c:v>
                </c:pt>
                <c:pt idx="335">
                  <c:v>#N/A</c:v>
                </c:pt>
                <c:pt idx="336">
                  <c:v>#N/A</c:v>
                </c:pt>
                <c:pt idx="337">
                  <c:v>58</c:v>
                </c:pt>
                <c:pt idx="338">
                  <c:v>23</c:v>
                </c:pt>
                <c:pt idx="339">
                  <c:v>25</c:v>
                </c:pt>
                <c:pt idx="340">
                  <c:v>28</c:v>
                </c:pt>
                <c:pt idx="341">
                  <c:v>#N/A</c:v>
                </c:pt>
                <c:pt idx="342">
                  <c:v>44</c:v>
                </c:pt>
                <c:pt idx="343">
                  <c:v>22</c:v>
                </c:pt>
                <c:pt idx="344">
                  <c:v>25</c:v>
                </c:pt>
                <c:pt idx="345">
                  <c:v>52</c:v>
                </c:pt>
                <c:pt idx="346">
                  <c:v>#N/A</c:v>
                </c:pt>
                <c:pt idx="347">
                  <c:v>41</c:v>
                </c:pt>
                <c:pt idx="348">
                  <c:v>18</c:v>
                </c:pt>
                <c:pt idx="349">
                  <c:v>37</c:v>
                </c:pt>
                <c:pt idx="350">
                  <c:v>#N/A</c:v>
                </c:pt>
                <c:pt idx="351">
                  <c:v>#N/A</c:v>
                </c:pt>
                <c:pt idx="352">
                  <c:v>40</c:v>
                </c:pt>
                <c:pt idx="353">
                  <c:v>#N/A</c:v>
                </c:pt>
                <c:pt idx="354">
                  <c:v>48</c:v>
                </c:pt>
                <c:pt idx="355">
                  <c:v>38</c:v>
                </c:pt>
                <c:pt idx="356">
                  <c:v>35</c:v>
                </c:pt>
                <c:pt idx="357">
                  <c:v>22</c:v>
                </c:pt>
                <c:pt idx="358">
                  <c:v>35</c:v>
                </c:pt>
                <c:pt idx="359">
                  <c:v>28</c:v>
                </c:pt>
                <c:pt idx="360">
                  <c:v>#N/A</c:v>
                </c:pt>
                <c:pt idx="361">
                  <c:v>39</c:v>
                </c:pt>
                <c:pt idx="362">
                  <c:v>18</c:v>
                </c:pt>
                <c:pt idx="363">
                  <c:v>57</c:v>
                </c:pt>
                <c:pt idx="364">
                  <c:v>37</c:v>
                </c:pt>
                <c:pt idx="365">
                  <c:v>33</c:v>
                </c:pt>
                <c:pt idx="366">
                  <c:v>17</c:v>
                </c:pt>
                <c:pt idx="367">
                  <c:v>64</c:v>
                </c:pt>
                <c:pt idx="368">
                  <c:v>33</c:v>
                </c:pt>
                <c:pt idx="369">
                  <c:v>20</c:v>
                </c:pt>
                <c:pt idx="370">
                  <c:v>44</c:v>
                </c:pt>
                <c:pt idx="371">
                  <c:v>42</c:v>
                </c:pt>
                <c:pt idx="372">
                  <c:v>28</c:v>
                </c:pt>
                <c:pt idx="373">
                  <c:v>39</c:v>
                </c:pt>
                <c:pt idx="374">
                  <c:v>32</c:v>
                </c:pt>
                <c:pt idx="375">
                  <c:v>22</c:v>
                </c:pt>
                <c:pt idx="376">
                  <c:v>#N/A</c:v>
                </c:pt>
                <c:pt idx="377">
                  <c:v>44</c:v>
                </c:pt>
                <c:pt idx="378">
                  <c:v>62</c:v>
                </c:pt>
                <c:pt idx="379">
                  <c:v>29</c:v>
                </c:pt>
                <c:pt idx="380">
                  <c:v>31</c:v>
                </c:pt>
                <c:pt idx="381">
                  <c:v>33</c:v>
                </c:pt>
                <c:pt idx="382">
                  <c:v>33</c:v>
                </c:pt>
                <c:pt idx="383">
                  <c:v>21</c:v>
                </c:pt>
                <c:pt idx="384">
                  <c:v>44</c:v>
                </c:pt>
                <c:pt idx="385">
                  <c:v>37</c:v>
                </c:pt>
                <c:pt idx="386">
                  <c:v>19</c:v>
                </c:pt>
                <c:pt idx="387">
                  <c:v>32</c:v>
                </c:pt>
                <c:pt idx="388">
                  <c:v>58</c:v>
                </c:pt>
                <c:pt idx="389">
                  <c:v>44</c:v>
                </c:pt>
                <c:pt idx="390">
                  <c:v>25</c:v>
                </c:pt>
                <c:pt idx="391">
                  <c:v>#N/A</c:v>
                </c:pt>
                <c:pt idx="392">
                  <c:v>#N/A</c:v>
                </c:pt>
                <c:pt idx="393">
                  <c:v>38</c:v>
                </c:pt>
                <c:pt idx="394">
                  <c:v>#N/A</c:v>
                </c:pt>
                <c:pt idx="395">
                  <c:v>#N/A</c:v>
                </c:pt>
                <c:pt idx="396">
                  <c:v>28</c:v>
                </c:pt>
                <c:pt idx="397">
                  <c:v>41</c:v>
                </c:pt>
                <c:pt idx="398">
                  <c:v>23</c:v>
                </c:pt>
                <c:pt idx="399">
                  <c:v>37</c:v>
                </c:pt>
                <c:pt idx="400">
                  <c:v>34</c:v>
                </c:pt>
                <c:pt idx="401">
                  <c:v>46</c:v>
                </c:pt>
                <c:pt idx="402">
                  <c:v>#N/A</c:v>
                </c:pt>
                <c:pt idx="403">
                  <c:v>30</c:v>
                </c:pt>
                <c:pt idx="404">
                  <c:v>27</c:v>
                </c:pt>
                <c:pt idx="405">
                  <c:v>29</c:v>
                </c:pt>
                <c:pt idx="406">
                  <c:v>25</c:v>
                </c:pt>
                <c:pt idx="407">
                  <c:v>23</c:v>
                </c:pt>
                <c:pt idx="408">
                  <c:v>27</c:v>
                </c:pt>
                <c:pt idx="409">
                  <c:v>#N/A</c:v>
                </c:pt>
                <c:pt idx="410">
                  <c:v>41</c:v>
                </c:pt>
                <c:pt idx="411">
                  <c:v>#N/A</c:v>
                </c:pt>
                <c:pt idx="412">
                  <c:v>34</c:v>
                </c:pt>
                <c:pt idx="413">
                  <c:v>23</c:v>
                </c:pt>
                <c:pt idx="414">
                  <c:v>#N/A</c:v>
                </c:pt>
                <c:pt idx="415">
                  <c:v>#N/A</c:v>
                </c:pt>
                <c:pt idx="416">
                  <c:v>21</c:v>
                </c:pt>
                <c:pt idx="417">
                  <c:v>59</c:v>
                </c:pt>
                <c:pt idx="418">
                  <c:v>27</c:v>
                </c:pt>
                <c:pt idx="419">
                  <c:v>#N/A</c:v>
                </c:pt>
                <c:pt idx="420">
                  <c:v>#N/A</c:v>
                </c:pt>
                <c:pt idx="421">
                  <c:v>49</c:v>
                </c:pt>
                <c:pt idx="422">
                  <c:v>57</c:v>
                </c:pt>
                <c:pt idx="423">
                  <c:v>55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42</c:v>
                </c:pt>
                <c:pt idx="428">
                  <c:v>41</c:v>
                </c:pt>
                <c:pt idx="429">
                  <c:v>43</c:v>
                </c:pt>
                <c:pt idx="430">
                  <c:v>26</c:v>
                </c:pt>
                <c:pt idx="431">
                  <c:v>27</c:v>
                </c:pt>
                <c:pt idx="432">
                  <c:v>#N/A</c:v>
                </c:pt>
                <c:pt idx="433">
                  <c:v>19</c:v>
                </c:pt>
                <c:pt idx="434">
                  <c:v>43</c:v>
                </c:pt>
                <c:pt idx="435">
                  <c:v>33</c:v>
                </c:pt>
                <c:pt idx="436">
                  <c:v>18</c:v>
                </c:pt>
                <c:pt idx="437">
                  <c:v>#N/A</c:v>
                </c:pt>
                <c:pt idx="438">
                  <c:v>#N/A</c:v>
                </c:pt>
                <c:pt idx="439">
                  <c:v>47</c:v>
                </c:pt>
                <c:pt idx="440">
                  <c:v>34</c:v>
                </c:pt>
                <c:pt idx="441">
                  <c:v>#N/A</c:v>
                </c:pt>
                <c:pt idx="442">
                  <c:v>23</c:v>
                </c:pt>
                <c:pt idx="443">
                  <c:v>25</c:v>
                </c:pt>
                <c:pt idx="444">
                  <c:v>36</c:v>
                </c:pt>
                <c:pt idx="445">
                  <c:v>25</c:v>
                </c:pt>
                <c:pt idx="446">
                  <c:v>25</c:v>
                </c:pt>
                <c:pt idx="447">
                  <c:v>#N/A</c:v>
                </c:pt>
                <c:pt idx="448">
                  <c:v>37</c:v>
                </c:pt>
                <c:pt idx="449">
                  <c:v>54</c:v>
                </c:pt>
                <c:pt idx="450">
                  <c:v>40</c:v>
                </c:pt>
                <c:pt idx="451">
                  <c:v>21</c:v>
                </c:pt>
                <c:pt idx="452">
                  <c:v>76</c:v>
                </c:pt>
                <c:pt idx="453">
                  <c:v>28</c:v>
                </c:pt>
                <c:pt idx="454">
                  <c:v>#N/A</c:v>
                </c:pt>
                <c:pt idx="455">
                  <c:v>#N/A</c:v>
                </c:pt>
                <c:pt idx="456">
                  <c:v>19</c:v>
                </c:pt>
                <c:pt idx="457">
                  <c:v>#N/A</c:v>
                </c:pt>
                <c:pt idx="458">
                  <c:v>#N/A</c:v>
                </c:pt>
                <c:pt idx="459">
                  <c:v>33</c:v>
                </c:pt>
                <c:pt idx="460">
                  <c:v>45</c:v>
                </c:pt>
                <c:pt idx="461">
                  <c:v>46</c:v>
                </c:pt>
                <c:pt idx="462">
                  <c:v>23</c:v>
                </c:pt>
                <c:pt idx="463">
                  <c:v>#N/A</c:v>
                </c:pt>
                <c:pt idx="464">
                  <c:v>56</c:v>
                </c:pt>
                <c:pt idx="465">
                  <c:v>44</c:v>
                </c:pt>
                <c:pt idx="466">
                  <c:v>47</c:v>
                </c:pt>
                <c:pt idx="467">
                  <c:v>55</c:v>
                </c:pt>
                <c:pt idx="468">
                  <c:v>32</c:v>
                </c:pt>
                <c:pt idx="469">
                  <c:v>26</c:v>
                </c:pt>
                <c:pt idx="470">
                  <c:v>25</c:v>
                </c:pt>
                <c:pt idx="471">
                  <c:v>18</c:v>
                </c:pt>
                <c:pt idx="472">
                  <c:v>60</c:v>
                </c:pt>
                <c:pt idx="473">
                  <c:v>25</c:v>
                </c:pt>
                <c:pt idx="474">
                  <c:v>#N/A</c:v>
                </c:pt>
                <c:pt idx="475">
                  <c:v>17</c:v>
                </c:pt>
                <c:pt idx="476">
                  <c:v>40</c:v>
                </c:pt>
                <c:pt idx="477">
                  <c:v>#N/A</c:v>
                </c:pt>
                <c:pt idx="478">
                  <c:v>#N/A</c:v>
                </c:pt>
                <c:pt idx="479">
                  <c:v>23</c:v>
                </c:pt>
                <c:pt idx="480">
                  <c:v>48</c:v>
                </c:pt>
                <c:pt idx="481">
                  <c:v>50</c:v>
                </c:pt>
                <c:pt idx="482">
                  <c:v>18</c:v>
                </c:pt>
                <c:pt idx="483">
                  <c:v>31</c:v>
                </c:pt>
                <c:pt idx="484">
                  <c:v>24</c:v>
                </c:pt>
                <c:pt idx="485">
                  <c:v>38</c:v>
                </c:pt>
                <c:pt idx="486">
                  <c:v>20</c:v>
                </c:pt>
                <c:pt idx="487">
                  <c:v>#N/A</c:v>
                </c:pt>
                <c:pt idx="488">
                  <c:v>#N/A</c:v>
                </c:pt>
                <c:pt idx="489">
                  <c:v>63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34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25</c:v>
                </c:pt>
                <c:pt idx="498">
                  <c:v>27</c:v>
                </c:pt>
                <c:pt idx="499">
                  <c:v>22</c:v>
                </c:pt>
                <c:pt idx="500">
                  <c:v>40</c:v>
                </c:pt>
                <c:pt idx="501">
                  <c:v>29</c:v>
                </c:pt>
                <c:pt idx="502">
                  <c:v>#N/A</c:v>
                </c:pt>
                <c:pt idx="503">
                  <c:v>19</c:v>
                </c:pt>
                <c:pt idx="504">
                  <c:v>#N/A</c:v>
                </c:pt>
                <c:pt idx="505">
                  <c:v>62</c:v>
                </c:pt>
                <c:pt idx="506">
                  <c:v>38</c:v>
                </c:pt>
                <c:pt idx="507">
                  <c:v>#N/A</c:v>
                </c:pt>
                <c:pt idx="508">
                  <c:v>#N/A</c:v>
                </c:pt>
                <c:pt idx="509">
                  <c:v>36</c:v>
                </c:pt>
                <c:pt idx="510">
                  <c:v>18</c:v>
                </c:pt>
                <c:pt idx="511">
                  <c:v>20</c:v>
                </c:pt>
                <c:pt idx="512">
                  <c:v>45</c:v>
                </c:pt>
                <c:pt idx="513">
                  <c:v>63</c:v>
                </c:pt>
                <c:pt idx="514">
                  <c:v>55</c:v>
                </c:pt>
                <c:pt idx="515">
                  <c:v>#N/A</c:v>
                </c:pt>
                <c:pt idx="516">
                  <c:v>33</c:v>
                </c:pt>
                <c:pt idx="517">
                  <c:v>27</c:v>
                </c:pt>
                <c:pt idx="518">
                  <c:v>47</c:v>
                </c:pt>
                <c:pt idx="519">
                  <c:v>40</c:v>
                </c:pt>
                <c:pt idx="520">
                  <c:v>#N/A</c:v>
                </c:pt>
                <c:pt idx="521">
                  <c:v>19</c:v>
                </c:pt>
                <c:pt idx="522">
                  <c:v>29</c:v>
                </c:pt>
                <c:pt idx="523">
                  <c:v>61</c:v>
                </c:pt>
                <c:pt idx="524">
                  <c:v>#N/A</c:v>
                </c:pt>
                <c:pt idx="525">
                  <c:v>19</c:v>
                </c:pt>
                <c:pt idx="526">
                  <c:v>40</c:v>
                </c:pt>
                <c:pt idx="527">
                  <c:v>62</c:v>
                </c:pt>
                <c:pt idx="528">
                  <c:v>42</c:v>
                </c:pt>
                <c:pt idx="529">
                  <c:v>30</c:v>
                </c:pt>
                <c:pt idx="530">
                  <c:v>#N/A</c:v>
                </c:pt>
                <c:pt idx="531">
                  <c:v>41</c:v>
                </c:pt>
                <c:pt idx="532">
                  <c:v>28</c:v>
                </c:pt>
                <c:pt idx="533">
                  <c:v>26</c:v>
                </c:pt>
                <c:pt idx="534">
                  <c:v>23</c:v>
                </c:pt>
                <c:pt idx="535">
                  <c:v>#N/A</c:v>
                </c:pt>
                <c:pt idx="536">
                  <c:v>#N/A</c:v>
                </c:pt>
                <c:pt idx="537">
                  <c:v>76</c:v>
                </c:pt>
                <c:pt idx="538">
                  <c:v>#N/A</c:v>
                </c:pt>
                <c:pt idx="539">
                  <c:v>33</c:v>
                </c:pt>
                <c:pt idx="540">
                  <c:v>35</c:v>
                </c:pt>
                <c:pt idx="541">
                  <c:v>23</c:v>
                </c:pt>
                <c:pt idx="542">
                  <c:v>36</c:v>
                </c:pt>
                <c:pt idx="543">
                  <c:v>33</c:v>
                </c:pt>
                <c:pt idx="544">
                  <c:v>#N/A</c:v>
                </c:pt>
                <c:pt idx="545">
                  <c:v>51</c:v>
                </c:pt>
                <c:pt idx="546">
                  <c:v>27</c:v>
                </c:pt>
                <c:pt idx="547">
                  <c:v>47</c:v>
                </c:pt>
                <c:pt idx="548">
                  <c:v>26</c:v>
                </c:pt>
                <c:pt idx="549">
                  <c:v>#N/A</c:v>
                </c:pt>
                <c:pt idx="550">
                  <c:v>25</c:v>
                </c:pt>
                <c:pt idx="551">
                  <c:v>#N/A</c:v>
                </c:pt>
                <c:pt idx="552">
                  <c:v>59</c:v>
                </c:pt>
                <c:pt idx="553">
                  <c:v>45</c:v>
                </c:pt>
                <c:pt idx="554">
                  <c:v>#N/A</c:v>
                </c:pt>
                <c:pt idx="555">
                  <c:v>#N/A</c:v>
                </c:pt>
                <c:pt idx="556">
                  <c:v>49</c:v>
                </c:pt>
                <c:pt idx="557">
                  <c:v>61</c:v>
                </c:pt>
                <c:pt idx="558">
                  <c:v>#N/A</c:v>
                </c:pt>
                <c:pt idx="559">
                  <c:v>30</c:v>
                </c:pt>
                <c:pt idx="560">
                  <c:v>22</c:v>
                </c:pt>
                <c:pt idx="561">
                  <c:v>41</c:v>
                </c:pt>
                <c:pt idx="562">
                  <c:v>60</c:v>
                </c:pt>
                <c:pt idx="563">
                  <c:v>28</c:v>
                </c:pt>
                <c:pt idx="564">
                  <c:v>66</c:v>
                </c:pt>
                <c:pt idx="565">
                  <c:v>51</c:v>
                </c:pt>
                <c:pt idx="566">
                  <c:v>46</c:v>
                </c:pt>
                <c:pt idx="567">
                  <c:v>29</c:v>
                </c:pt>
                <c:pt idx="568">
                  <c:v>32</c:v>
                </c:pt>
                <c:pt idx="569">
                  <c:v>25</c:v>
                </c:pt>
                <c:pt idx="570">
                  <c:v>27</c:v>
                </c:pt>
                <c:pt idx="571">
                  <c:v>24</c:v>
                </c:pt>
                <c:pt idx="572">
                  <c:v>51</c:v>
                </c:pt>
                <c:pt idx="573">
                  <c:v>22</c:v>
                </c:pt>
                <c:pt idx="574">
                  <c:v>#N/A</c:v>
                </c:pt>
                <c:pt idx="575">
                  <c:v>#N/A</c:v>
                </c:pt>
                <c:pt idx="576">
                  <c:v>49</c:v>
                </c:pt>
                <c:pt idx="577">
                  <c:v>#N/A</c:v>
                </c:pt>
                <c:pt idx="578">
                  <c:v>47</c:v>
                </c:pt>
                <c:pt idx="579">
                  <c:v>80</c:v>
                </c:pt>
                <c:pt idx="580">
                  <c:v>#N/A</c:v>
                </c:pt>
                <c:pt idx="581">
                  <c:v>29</c:v>
                </c:pt>
                <c:pt idx="582">
                  <c:v>20</c:v>
                </c:pt>
                <c:pt idx="583">
                  <c:v>#N/A</c:v>
                </c:pt>
                <c:pt idx="584">
                  <c:v>28</c:v>
                </c:pt>
                <c:pt idx="585">
                  <c:v>#N/A</c:v>
                </c:pt>
                <c:pt idx="586">
                  <c:v>#N/A</c:v>
                </c:pt>
                <c:pt idx="587">
                  <c:v>22</c:v>
                </c:pt>
                <c:pt idx="588">
                  <c:v>36</c:v>
                </c:pt>
                <c:pt idx="589">
                  <c:v>19</c:v>
                </c:pt>
                <c:pt idx="590">
                  <c:v>31</c:v>
                </c:pt>
                <c:pt idx="591">
                  <c:v>33</c:v>
                </c:pt>
                <c:pt idx="592">
                  <c:v>32</c:v>
                </c:pt>
                <c:pt idx="593">
                  <c:v>25</c:v>
                </c:pt>
                <c:pt idx="594">
                  <c:v>#N/A</c:v>
                </c:pt>
                <c:pt idx="595">
                  <c:v>#N/A</c:v>
                </c:pt>
                <c:pt idx="596">
                  <c:v>34</c:v>
                </c:pt>
                <c:pt idx="597">
                  <c:v>#N/A</c:v>
                </c:pt>
                <c:pt idx="598">
                  <c:v>29</c:v>
                </c:pt>
                <c:pt idx="599">
                  <c:v>38</c:v>
                </c:pt>
                <c:pt idx="600">
                  <c:v>32</c:v>
                </c:pt>
                <c:pt idx="601">
                  <c:v>33</c:v>
                </c:pt>
                <c:pt idx="602">
                  <c:v>33</c:v>
                </c:pt>
                <c:pt idx="603">
                  <c:v>34</c:v>
                </c:pt>
                <c:pt idx="604">
                  <c:v>26</c:v>
                </c:pt>
                <c:pt idx="605">
                  <c:v>30</c:v>
                </c:pt>
                <c:pt idx="606">
                  <c:v>33</c:v>
                </c:pt>
                <c:pt idx="607">
                  <c:v>37</c:v>
                </c:pt>
                <c:pt idx="608">
                  <c:v>#N/A</c:v>
                </c:pt>
                <c:pt idx="609">
                  <c:v>38</c:v>
                </c:pt>
                <c:pt idx="610">
                  <c:v>21</c:v>
                </c:pt>
                <c:pt idx="611">
                  <c:v>62</c:v>
                </c:pt>
                <c:pt idx="612">
                  <c:v>#N/A</c:v>
                </c:pt>
                <c:pt idx="613">
                  <c:v>38</c:v>
                </c:pt>
                <c:pt idx="614">
                  <c:v>21</c:v>
                </c:pt>
                <c:pt idx="615">
                  <c:v>23</c:v>
                </c:pt>
                <c:pt idx="616">
                  <c:v>#N/A</c:v>
                </c:pt>
                <c:pt idx="617">
                  <c:v>28</c:v>
                </c:pt>
                <c:pt idx="618">
                  <c:v>#N/A</c:v>
                </c:pt>
                <c:pt idx="619">
                  <c:v>43</c:v>
                </c:pt>
                <c:pt idx="620">
                  <c:v>#N/A</c:v>
                </c:pt>
                <c:pt idx="621">
                  <c:v>25</c:v>
                </c:pt>
                <c:pt idx="622">
                  <c:v>41</c:v>
                </c:pt>
                <c:pt idx="623">
                  <c:v>48</c:v>
                </c:pt>
                <c:pt idx="624">
                  <c:v>28</c:v>
                </c:pt>
                <c:pt idx="625">
                  <c:v>42</c:v>
                </c:pt>
                <c:pt idx="626">
                  <c:v>#N/A</c:v>
                </c:pt>
                <c:pt idx="627">
                  <c:v>#N/A</c:v>
                </c:pt>
                <c:pt idx="628">
                  <c:v>36</c:v>
                </c:pt>
                <c:pt idx="629">
                  <c:v>34</c:v>
                </c:pt>
                <c:pt idx="630">
                  <c:v>18</c:v>
                </c:pt>
                <c:pt idx="631">
                  <c:v>17</c:v>
                </c:pt>
                <c:pt idx="632">
                  <c:v>34</c:v>
                </c:pt>
                <c:pt idx="633">
                  <c:v>40</c:v>
                </c:pt>
                <c:pt idx="634">
                  <c:v>26</c:v>
                </c:pt>
                <c:pt idx="635">
                  <c:v>#N/A</c:v>
                </c:pt>
                <c:pt idx="636">
                  <c:v>37</c:v>
                </c:pt>
                <c:pt idx="637">
                  <c:v>#N/A</c:v>
                </c:pt>
                <c:pt idx="638">
                  <c:v>65</c:v>
                </c:pt>
                <c:pt idx="639">
                  <c:v>#N/A</c:v>
                </c:pt>
                <c:pt idx="640">
                  <c:v>42</c:v>
                </c:pt>
                <c:pt idx="641">
                  <c:v>#N/A</c:v>
                </c:pt>
                <c:pt idx="642">
                  <c:v>30</c:v>
                </c:pt>
              </c:numCache>
            </c:numRef>
          </c:xVal>
          <c:yVal>
            <c:numRef>
              <c:f>Scatter!$K$2:$K$644</c:f>
              <c:numCache>
                <c:formatCode>General</c:formatCode>
                <c:ptCount val="643"/>
                <c:pt idx="0">
                  <c:v>22</c:v>
                </c:pt>
                <c:pt idx="1">
                  <c:v>60</c:v>
                </c:pt>
                <c:pt idx="2">
                  <c:v>40</c:v>
                </c:pt>
                <c:pt idx="3">
                  <c:v>45</c:v>
                </c:pt>
                <c:pt idx="4">
                  <c:v>#N/A</c:v>
                </c:pt>
                <c:pt idx="5">
                  <c:v>40</c:v>
                </c:pt>
                <c:pt idx="6">
                  <c:v>40</c:v>
                </c:pt>
                <c:pt idx="7">
                  <c:v>20</c:v>
                </c:pt>
                <c:pt idx="8">
                  <c:v>32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30</c:v>
                </c:pt>
                <c:pt idx="13">
                  <c:v>40</c:v>
                </c:pt>
                <c:pt idx="14">
                  <c:v>40</c:v>
                </c:pt>
                <c:pt idx="15">
                  <c:v>40</c:v>
                </c:pt>
                <c:pt idx="16">
                  <c:v>40</c:v>
                </c:pt>
                <c:pt idx="17">
                  <c:v>50</c:v>
                </c:pt>
                <c:pt idx="18">
                  <c:v>#N/A</c:v>
                </c:pt>
                <c:pt idx="19">
                  <c:v>#N/A</c:v>
                </c:pt>
                <c:pt idx="20">
                  <c:v>40</c:v>
                </c:pt>
                <c:pt idx="21">
                  <c:v>30</c:v>
                </c:pt>
                <c:pt idx="22">
                  <c:v>40</c:v>
                </c:pt>
                <c:pt idx="23">
                  <c:v>60</c:v>
                </c:pt>
                <c:pt idx="24">
                  <c:v>20</c:v>
                </c:pt>
                <c:pt idx="25">
                  <c:v>24</c:v>
                </c:pt>
                <c:pt idx="26">
                  <c:v>50</c:v>
                </c:pt>
                <c:pt idx="27">
                  <c:v>40</c:v>
                </c:pt>
                <c:pt idx="28">
                  <c:v>40</c:v>
                </c:pt>
                <c:pt idx="29">
                  <c:v>40</c:v>
                </c:pt>
                <c:pt idx="30">
                  <c:v>#N/A</c:v>
                </c:pt>
                <c:pt idx="31">
                  <c:v>40</c:v>
                </c:pt>
                <c:pt idx="32">
                  <c:v>35</c:v>
                </c:pt>
                <c:pt idx="33">
                  <c:v>8</c:v>
                </c:pt>
                <c:pt idx="34">
                  <c:v>40</c:v>
                </c:pt>
                <c:pt idx="35">
                  <c:v>38</c:v>
                </c:pt>
                <c:pt idx="36">
                  <c:v>38</c:v>
                </c:pt>
                <c:pt idx="37">
                  <c:v>30</c:v>
                </c:pt>
                <c:pt idx="38">
                  <c:v>17</c:v>
                </c:pt>
                <c:pt idx="39">
                  <c:v>40</c:v>
                </c:pt>
                <c:pt idx="40">
                  <c:v>40</c:v>
                </c:pt>
                <c:pt idx="41">
                  <c:v>40</c:v>
                </c:pt>
                <c:pt idx="42">
                  <c:v>#N/A</c:v>
                </c:pt>
                <c:pt idx="43">
                  <c:v>40</c:v>
                </c:pt>
                <c:pt idx="44">
                  <c:v>40</c:v>
                </c:pt>
                <c:pt idx="45">
                  <c:v>37</c:v>
                </c:pt>
                <c:pt idx="46">
                  <c:v>25</c:v>
                </c:pt>
                <c:pt idx="47">
                  <c:v>50</c:v>
                </c:pt>
                <c:pt idx="48">
                  <c:v>55</c:v>
                </c:pt>
                <c:pt idx="49">
                  <c:v>40</c:v>
                </c:pt>
                <c:pt idx="50">
                  <c:v>#N/A</c:v>
                </c:pt>
                <c:pt idx="51">
                  <c:v>#N/A</c:v>
                </c:pt>
                <c:pt idx="52">
                  <c:v>40</c:v>
                </c:pt>
                <c:pt idx="53">
                  <c:v>13</c:v>
                </c:pt>
                <c:pt idx="54">
                  <c:v>40</c:v>
                </c:pt>
                <c:pt idx="55">
                  <c:v>25</c:v>
                </c:pt>
                <c:pt idx="56">
                  <c:v>#N/A</c:v>
                </c:pt>
                <c:pt idx="57">
                  <c:v>40</c:v>
                </c:pt>
                <c:pt idx="58">
                  <c:v>40</c:v>
                </c:pt>
                <c:pt idx="59">
                  <c:v>25</c:v>
                </c:pt>
                <c:pt idx="60">
                  <c:v>40</c:v>
                </c:pt>
                <c:pt idx="61">
                  <c:v>#N/A</c:v>
                </c:pt>
                <c:pt idx="62">
                  <c:v>40</c:v>
                </c:pt>
                <c:pt idx="63">
                  <c:v>40</c:v>
                </c:pt>
                <c:pt idx="64">
                  <c:v>50</c:v>
                </c:pt>
                <c:pt idx="65">
                  <c:v>40</c:v>
                </c:pt>
                <c:pt idx="66">
                  <c:v>#N/A</c:v>
                </c:pt>
                <c:pt idx="67">
                  <c:v>20</c:v>
                </c:pt>
                <c:pt idx="68">
                  <c:v>65</c:v>
                </c:pt>
                <c:pt idx="69">
                  <c:v>40</c:v>
                </c:pt>
                <c:pt idx="70">
                  <c:v>10</c:v>
                </c:pt>
                <c:pt idx="71">
                  <c:v>#N/A</c:v>
                </c:pt>
                <c:pt idx="72">
                  <c:v>50</c:v>
                </c:pt>
                <c:pt idx="73">
                  <c:v>#N/A</c:v>
                </c:pt>
                <c:pt idx="74">
                  <c:v>40</c:v>
                </c:pt>
                <c:pt idx="75">
                  <c:v>20</c:v>
                </c:pt>
                <c:pt idx="76">
                  <c:v>44</c:v>
                </c:pt>
                <c:pt idx="77">
                  <c:v>40</c:v>
                </c:pt>
                <c:pt idx="78">
                  <c:v>30</c:v>
                </c:pt>
                <c:pt idx="79">
                  <c:v>5</c:v>
                </c:pt>
                <c:pt idx="80">
                  <c:v>40</c:v>
                </c:pt>
                <c:pt idx="81">
                  <c:v>66</c:v>
                </c:pt>
                <c:pt idx="82">
                  <c:v>#N/A</c:v>
                </c:pt>
                <c:pt idx="83">
                  <c:v>50</c:v>
                </c:pt>
                <c:pt idx="84">
                  <c:v>40</c:v>
                </c:pt>
                <c:pt idx="85">
                  <c:v>40</c:v>
                </c:pt>
                <c:pt idx="86">
                  <c:v>54</c:v>
                </c:pt>
                <c:pt idx="87">
                  <c:v>#N/A</c:v>
                </c:pt>
                <c:pt idx="88">
                  <c:v>40</c:v>
                </c:pt>
                <c:pt idx="89">
                  <c:v>50</c:v>
                </c:pt>
                <c:pt idx="90">
                  <c:v>40</c:v>
                </c:pt>
                <c:pt idx="91">
                  <c:v>45</c:v>
                </c:pt>
                <c:pt idx="92">
                  <c:v>20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40</c:v>
                </c:pt>
                <c:pt idx="101">
                  <c:v>8</c:v>
                </c:pt>
                <c:pt idx="102">
                  <c:v>60</c:v>
                </c:pt>
                <c:pt idx="103">
                  <c:v>40</c:v>
                </c:pt>
                <c:pt idx="104">
                  <c:v>40</c:v>
                </c:pt>
                <c:pt idx="105">
                  <c:v>55</c:v>
                </c:pt>
                <c:pt idx="106">
                  <c:v>52</c:v>
                </c:pt>
                <c:pt idx="107">
                  <c:v>48</c:v>
                </c:pt>
                <c:pt idx="108">
                  <c:v>40</c:v>
                </c:pt>
                <c:pt idx="109">
                  <c:v>40</c:v>
                </c:pt>
                <c:pt idx="110">
                  <c:v>40</c:v>
                </c:pt>
                <c:pt idx="111">
                  <c:v>40</c:v>
                </c:pt>
                <c:pt idx="112">
                  <c:v>#N/A</c:v>
                </c:pt>
                <c:pt idx="113">
                  <c:v>40</c:v>
                </c:pt>
                <c:pt idx="114">
                  <c:v>48</c:v>
                </c:pt>
                <c:pt idx="115">
                  <c:v>40</c:v>
                </c:pt>
                <c:pt idx="116">
                  <c:v>40</c:v>
                </c:pt>
                <c:pt idx="117">
                  <c:v>25</c:v>
                </c:pt>
                <c:pt idx="118">
                  <c:v>20</c:v>
                </c:pt>
                <c:pt idx="119">
                  <c:v>#N/A</c:v>
                </c:pt>
                <c:pt idx="120">
                  <c:v>60</c:v>
                </c:pt>
                <c:pt idx="121">
                  <c:v>40</c:v>
                </c:pt>
                <c:pt idx="122">
                  <c:v>35</c:v>
                </c:pt>
                <c:pt idx="123">
                  <c:v>40</c:v>
                </c:pt>
                <c:pt idx="124">
                  <c:v>18</c:v>
                </c:pt>
                <c:pt idx="125">
                  <c:v>40</c:v>
                </c:pt>
                <c:pt idx="126">
                  <c:v>40</c:v>
                </c:pt>
                <c:pt idx="127">
                  <c:v>60</c:v>
                </c:pt>
                <c:pt idx="128">
                  <c:v>50</c:v>
                </c:pt>
                <c:pt idx="129">
                  <c:v>42</c:v>
                </c:pt>
                <c:pt idx="130">
                  <c:v>60</c:v>
                </c:pt>
                <c:pt idx="131">
                  <c:v>40</c:v>
                </c:pt>
                <c:pt idx="132">
                  <c:v>#N/A</c:v>
                </c:pt>
                <c:pt idx="133">
                  <c:v>60</c:v>
                </c:pt>
                <c:pt idx="134">
                  <c:v>#N/A</c:v>
                </c:pt>
                <c:pt idx="135">
                  <c:v>40</c:v>
                </c:pt>
                <c:pt idx="136">
                  <c:v>40</c:v>
                </c:pt>
                <c:pt idx="137">
                  <c:v>40</c:v>
                </c:pt>
                <c:pt idx="138">
                  <c:v>50</c:v>
                </c:pt>
                <c:pt idx="139">
                  <c:v>40</c:v>
                </c:pt>
                <c:pt idx="140">
                  <c:v>55</c:v>
                </c:pt>
                <c:pt idx="141">
                  <c:v>50</c:v>
                </c:pt>
                <c:pt idx="142">
                  <c:v>70</c:v>
                </c:pt>
                <c:pt idx="143">
                  <c:v>#N/A</c:v>
                </c:pt>
                <c:pt idx="144">
                  <c:v>50</c:v>
                </c:pt>
                <c:pt idx="145">
                  <c:v>40</c:v>
                </c:pt>
                <c:pt idx="146">
                  <c:v>40</c:v>
                </c:pt>
                <c:pt idx="147">
                  <c:v>40</c:v>
                </c:pt>
                <c:pt idx="148">
                  <c:v>45</c:v>
                </c:pt>
                <c:pt idx="149">
                  <c:v>40</c:v>
                </c:pt>
                <c:pt idx="150">
                  <c:v>24</c:v>
                </c:pt>
                <c:pt idx="151">
                  <c:v>40</c:v>
                </c:pt>
                <c:pt idx="152">
                  <c:v>40</c:v>
                </c:pt>
                <c:pt idx="153">
                  <c:v>#N/A</c:v>
                </c:pt>
                <c:pt idx="154">
                  <c:v>40</c:v>
                </c:pt>
                <c:pt idx="155">
                  <c:v>40</c:v>
                </c:pt>
                <c:pt idx="156">
                  <c:v>40</c:v>
                </c:pt>
                <c:pt idx="157">
                  <c:v>50</c:v>
                </c:pt>
                <c:pt idx="158">
                  <c:v>45</c:v>
                </c:pt>
                <c:pt idx="159">
                  <c:v>#N/A</c:v>
                </c:pt>
                <c:pt idx="160">
                  <c:v>40</c:v>
                </c:pt>
                <c:pt idx="161">
                  <c:v>36</c:v>
                </c:pt>
                <c:pt idx="162">
                  <c:v>40</c:v>
                </c:pt>
                <c:pt idx="163">
                  <c:v>42</c:v>
                </c:pt>
                <c:pt idx="164">
                  <c:v>40</c:v>
                </c:pt>
                <c:pt idx="165">
                  <c:v>#N/A</c:v>
                </c:pt>
                <c:pt idx="166">
                  <c:v>20</c:v>
                </c:pt>
                <c:pt idx="167">
                  <c:v>40</c:v>
                </c:pt>
                <c:pt idx="168">
                  <c:v>#N/A</c:v>
                </c:pt>
                <c:pt idx="169">
                  <c:v>#N/A</c:v>
                </c:pt>
                <c:pt idx="170">
                  <c:v>50</c:v>
                </c:pt>
                <c:pt idx="171">
                  <c:v>40</c:v>
                </c:pt>
                <c:pt idx="172">
                  <c:v>#N/A</c:v>
                </c:pt>
                <c:pt idx="173">
                  <c:v>40</c:v>
                </c:pt>
                <c:pt idx="174">
                  <c:v>#N/A</c:v>
                </c:pt>
                <c:pt idx="175">
                  <c:v>30</c:v>
                </c:pt>
                <c:pt idx="176">
                  <c:v>35</c:v>
                </c:pt>
                <c:pt idx="177">
                  <c:v>40</c:v>
                </c:pt>
                <c:pt idx="178">
                  <c:v>80</c:v>
                </c:pt>
                <c:pt idx="179">
                  <c:v>#N/A</c:v>
                </c:pt>
                <c:pt idx="180">
                  <c:v>40</c:v>
                </c:pt>
                <c:pt idx="181">
                  <c:v>35</c:v>
                </c:pt>
                <c:pt idx="182">
                  <c:v>40</c:v>
                </c:pt>
                <c:pt idx="183">
                  <c:v>#N/A</c:v>
                </c:pt>
                <c:pt idx="184">
                  <c:v>#N/A</c:v>
                </c:pt>
                <c:pt idx="185">
                  <c:v>40</c:v>
                </c:pt>
                <c:pt idx="186">
                  <c:v>40</c:v>
                </c:pt>
                <c:pt idx="187">
                  <c:v>#N/A</c:v>
                </c:pt>
                <c:pt idx="188">
                  <c:v>45</c:v>
                </c:pt>
                <c:pt idx="189">
                  <c:v>#N/A</c:v>
                </c:pt>
                <c:pt idx="190">
                  <c:v>60</c:v>
                </c:pt>
                <c:pt idx="191">
                  <c:v>12</c:v>
                </c:pt>
                <c:pt idx="192">
                  <c:v>#N/A</c:v>
                </c:pt>
                <c:pt idx="193">
                  <c:v>56</c:v>
                </c:pt>
                <c:pt idx="194">
                  <c:v>25</c:v>
                </c:pt>
                <c:pt idx="195">
                  <c:v>45</c:v>
                </c:pt>
                <c:pt idx="196">
                  <c:v>35</c:v>
                </c:pt>
                <c:pt idx="197">
                  <c:v>56</c:v>
                </c:pt>
                <c:pt idx="198">
                  <c:v>40</c:v>
                </c:pt>
                <c:pt idx="199">
                  <c:v>35</c:v>
                </c:pt>
                <c:pt idx="200">
                  <c:v>40</c:v>
                </c:pt>
                <c:pt idx="201">
                  <c:v>40</c:v>
                </c:pt>
                <c:pt idx="202">
                  <c:v>#N/A</c:v>
                </c:pt>
                <c:pt idx="203">
                  <c:v>53</c:v>
                </c:pt>
                <c:pt idx="204">
                  <c:v>40</c:v>
                </c:pt>
                <c:pt idx="205">
                  <c:v>40</c:v>
                </c:pt>
                <c:pt idx="206">
                  <c:v>70</c:v>
                </c:pt>
                <c:pt idx="207">
                  <c:v>40</c:v>
                </c:pt>
                <c:pt idx="208">
                  <c:v>#N/A</c:v>
                </c:pt>
                <c:pt idx="209">
                  <c:v>99</c:v>
                </c:pt>
                <c:pt idx="210">
                  <c:v>40</c:v>
                </c:pt>
                <c:pt idx="211">
                  <c:v>#N/A</c:v>
                </c:pt>
                <c:pt idx="212">
                  <c:v>15</c:v>
                </c:pt>
                <c:pt idx="213">
                  <c:v>20</c:v>
                </c:pt>
                <c:pt idx="214">
                  <c:v>40</c:v>
                </c:pt>
                <c:pt idx="215">
                  <c:v>35</c:v>
                </c:pt>
                <c:pt idx="216">
                  <c:v>25</c:v>
                </c:pt>
                <c:pt idx="217">
                  <c:v>40</c:v>
                </c:pt>
                <c:pt idx="218">
                  <c:v>45</c:v>
                </c:pt>
                <c:pt idx="219">
                  <c:v>#N/A</c:v>
                </c:pt>
                <c:pt idx="220">
                  <c:v>40</c:v>
                </c:pt>
                <c:pt idx="221">
                  <c:v>40</c:v>
                </c:pt>
                <c:pt idx="222">
                  <c:v>40</c:v>
                </c:pt>
                <c:pt idx="223">
                  <c:v>10</c:v>
                </c:pt>
                <c:pt idx="224">
                  <c:v>40</c:v>
                </c:pt>
                <c:pt idx="225">
                  <c:v>35</c:v>
                </c:pt>
                <c:pt idx="226">
                  <c:v>#N/A</c:v>
                </c:pt>
                <c:pt idx="227">
                  <c:v>#N/A</c:v>
                </c:pt>
                <c:pt idx="228">
                  <c:v>40</c:v>
                </c:pt>
                <c:pt idx="229">
                  <c:v>40</c:v>
                </c:pt>
                <c:pt idx="230">
                  <c:v>35</c:v>
                </c:pt>
                <c:pt idx="231">
                  <c:v>45</c:v>
                </c:pt>
                <c:pt idx="232">
                  <c:v>40</c:v>
                </c:pt>
                <c:pt idx="233">
                  <c:v>55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15</c:v>
                </c:pt>
                <c:pt idx="238">
                  <c:v>45</c:v>
                </c:pt>
                <c:pt idx="239">
                  <c:v>40</c:v>
                </c:pt>
                <c:pt idx="240">
                  <c:v>4</c:v>
                </c:pt>
                <c:pt idx="241">
                  <c:v>#N/A</c:v>
                </c:pt>
                <c:pt idx="242">
                  <c:v>15</c:v>
                </c:pt>
                <c:pt idx="243">
                  <c:v>40</c:v>
                </c:pt>
                <c:pt idx="244">
                  <c:v>45</c:v>
                </c:pt>
                <c:pt idx="245">
                  <c:v>40</c:v>
                </c:pt>
                <c:pt idx="246">
                  <c:v>40</c:v>
                </c:pt>
                <c:pt idx="247">
                  <c:v>#N/A</c:v>
                </c:pt>
                <c:pt idx="248">
                  <c:v>45</c:v>
                </c:pt>
                <c:pt idx="249">
                  <c:v>35</c:v>
                </c:pt>
                <c:pt idx="250">
                  <c:v>40</c:v>
                </c:pt>
                <c:pt idx="251">
                  <c:v>16</c:v>
                </c:pt>
                <c:pt idx="252">
                  <c:v>20</c:v>
                </c:pt>
                <c:pt idx="253">
                  <c:v>35</c:v>
                </c:pt>
                <c:pt idx="254">
                  <c:v>45</c:v>
                </c:pt>
                <c:pt idx="255">
                  <c:v>60</c:v>
                </c:pt>
                <c:pt idx="256">
                  <c:v>24</c:v>
                </c:pt>
                <c:pt idx="257">
                  <c:v>#N/A</c:v>
                </c:pt>
                <c:pt idx="258">
                  <c:v>40</c:v>
                </c:pt>
                <c:pt idx="259">
                  <c:v>40</c:v>
                </c:pt>
                <c:pt idx="260">
                  <c:v>65</c:v>
                </c:pt>
                <c:pt idx="261">
                  <c:v>40</c:v>
                </c:pt>
                <c:pt idx="262">
                  <c:v>#N/A</c:v>
                </c:pt>
                <c:pt idx="263">
                  <c:v>40</c:v>
                </c:pt>
                <c:pt idx="264">
                  <c:v>#N/A</c:v>
                </c:pt>
                <c:pt idx="265">
                  <c:v>40</c:v>
                </c:pt>
                <c:pt idx="266">
                  <c:v>#N/A</c:v>
                </c:pt>
                <c:pt idx="267">
                  <c:v>60</c:v>
                </c:pt>
                <c:pt idx="268">
                  <c:v>40</c:v>
                </c:pt>
                <c:pt idx="269">
                  <c:v>#N/A</c:v>
                </c:pt>
                <c:pt idx="270">
                  <c:v>45</c:v>
                </c:pt>
                <c:pt idx="271">
                  <c:v>38</c:v>
                </c:pt>
                <c:pt idx="272">
                  <c:v>40</c:v>
                </c:pt>
                <c:pt idx="273">
                  <c:v>#N/A</c:v>
                </c:pt>
                <c:pt idx="274">
                  <c:v>40</c:v>
                </c:pt>
                <c:pt idx="275">
                  <c:v>40</c:v>
                </c:pt>
                <c:pt idx="276">
                  <c:v>40</c:v>
                </c:pt>
                <c:pt idx="277">
                  <c:v>50</c:v>
                </c:pt>
                <c:pt idx="278">
                  <c:v>40</c:v>
                </c:pt>
                <c:pt idx="279">
                  <c:v>40</c:v>
                </c:pt>
                <c:pt idx="280">
                  <c:v>30</c:v>
                </c:pt>
                <c:pt idx="281">
                  <c:v>40</c:v>
                </c:pt>
                <c:pt idx="282">
                  <c:v>65</c:v>
                </c:pt>
                <c:pt idx="283">
                  <c:v>#N/A</c:v>
                </c:pt>
                <c:pt idx="284">
                  <c:v>40</c:v>
                </c:pt>
                <c:pt idx="285">
                  <c:v>40</c:v>
                </c:pt>
                <c:pt idx="286">
                  <c:v>#N/A</c:v>
                </c:pt>
                <c:pt idx="287">
                  <c:v>40</c:v>
                </c:pt>
                <c:pt idx="288">
                  <c:v>26</c:v>
                </c:pt>
                <c:pt idx="289">
                  <c:v>#N/A</c:v>
                </c:pt>
                <c:pt idx="290">
                  <c:v>40</c:v>
                </c:pt>
                <c:pt idx="291">
                  <c:v>20</c:v>
                </c:pt>
                <c:pt idx="292">
                  <c:v>#N/A</c:v>
                </c:pt>
                <c:pt idx="293">
                  <c:v>40</c:v>
                </c:pt>
                <c:pt idx="294">
                  <c:v>35</c:v>
                </c:pt>
                <c:pt idx="295">
                  <c:v>12</c:v>
                </c:pt>
                <c:pt idx="296">
                  <c:v>38</c:v>
                </c:pt>
                <c:pt idx="297">
                  <c:v>#N/A</c:v>
                </c:pt>
                <c:pt idx="298">
                  <c:v>#N/A</c:v>
                </c:pt>
                <c:pt idx="299">
                  <c:v>45</c:v>
                </c:pt>
                <c:pt idx="300">
                  <c:v>40</c:v>
                </c:pt>
                <c:pt idx="301">
                  <c:v>#N/A</c:v>
                </c:pt>
                <c:pt idx="302">
                  <c:v>45</c:v>
                </c:pt>
                <c:pt idx="303">
                  <c:v>20</c:v>
                </c:pt>
                <c:pt idx="304">
                  <c:v>40</c:v>
                </c:pt>
                <c:pt idx="305">
                  <c:v>40</c:v>
                </c:pt>
                <c:pt idx="306">
                  <c:v>45</c:v>
                </c:pt>
                <c:pt idx="307">
                  <c:v>#N/A</c:v>
                </c:pt>
                <c:pt idx="308">
                  <c:v>20</c:v>
                </c:pt>
                <c:pt idx="309">
                  <c:v>#N/A</c:v>
                </c:pt>
                <c:pt idx="310">
                  <c:v>99</c:v>
                </c:pt>
                <c:pt idx="311">
                  <c:v>40</c:v>
                </c:pt>
                <c:pt idx="312">
                  <c:v>#N/A</c:v>
                </c:pt>
                <c:pt idx="313">
                  <c:v>30</c:v>
                </c:pt>
                <c:pt idx="314">
                  <c:v>15</c:v>
                </c:pt>
                <c:pt idx="315">
                  <c:v>40</c:v>
                </c:pt>
                <c:pt idx="316">
                  <c:v>35</c:v>
                </c:pt>
                <c:pt idx="317">
                  <c:v>33</c:v>
                </c:pt>
                <c:pt idx="318">
                  <c:v>30</c:v>
                </c:pt>
                <c:pt idx="319">
                  <c:v>38</c:v>
                </c:pt>
                <c:pt idx="320">
                  <c:v>40</c:v>
                </c:pt>
                <c:pt idx="321">
                  <c:v>40</c:v>
                </c:pt>
                <c:pt idx="322">
                  <c:v>#N/A</c:v>
                </c:pt>
                <c:pt idx="323">
                  <c:v>#N/A</c:v>
                </c:pt>
                <c:pt idx="324">
                  <c:v>40</c:v>
                </c:pt>
                <c:pt idx="325">
                  <c:v>#N/A</c:v>
                </c:pt>
                <c:pt idx="326">
                  <c:v>40</c:v>
                </c:pt>
                <c:pt idx="327">
                  <c:v>50</c:v>
                </c:pt>
                <c:pt idx="328">
                  <c:v>20</c:v>
                </c:pt>
                <c:pt idx="329">
                  <c:v>40</c:v>
                </c:pt>
                <c:pt idx="330">
                  <c:v>50</c:v>
                </c:pt>
                <c:pt idx="331">
                  <c:v>40</c:v>
                </c:pt>
                <c:pt idx="332">
                  <c:v>40</c:v>
                </c:pt>
                <c:pt idx="333">
                  <c:v>80</c:v>
                </c:pt>
                <c:pt idx="334">
                  <c:v>15</c:v>
                </c:pt>
                <c:pt idx="335">
                  <c:v>#N/A</c:v>
                </c:pt>
                <c:pt idx="336">
                  <c:v>#N/A</c:v>
                </c:pt>
                <c:pt idx="337">
                  <c:v>42</c:v>
                </c:pt>
                <c:pt idx="338">
                  <c:v>38</c:v>
                </c:pt>
                <c:pt idx="339">
                  <c:v>40</c:v>
                </c:pt>
                <c:pt idx="340">
                  <c:v>40</c:v>
                </c:pt>
                <c:pt idx="341">
                  <c:v>#N/A</c:v>
                </c:pt>
                <c:pt idx="342">
                  <c:v>40</c:v>
                </c:pt>
                <c:pt idx="343">
                  <c:v>40</c:v>
                </c:pt>
                <c:pt idx="344">
                  <c:v>40</c:v>
                </c:pt>
                <c:pt idx="345">
                  <c:v>45</c:v>
                </c:pt>
                <c:pt idx="346">
                  <c:v>#N/A</c:v>
                </c:pt>
                <c:pt idx="347">
                  <c:v>40</c:v>
                </c:pt>
                <c:pt idx="348">
                  <c:v>28</c:v>
                </c:pt>
                <c:pt idx="349">
                  <c:v>50</c:v>
                </c:pt>
                <c:pt idx="350">
                  <c:v>#N/A</c:v>
                </c:pt>
                <c:pt idx="351">
                  <c:v>#N/A</c:v>
                </c:pt>
                <c:pt idx="352">
                  <c:v>44</c:v>
                </c:pt>
                <c:pt idx="353">
                  <c:v>#N/A</c:v>
                </c:pt>
                <c:pt idx="354">
                  <c:v>25</c:v>
                </c:pt>
                <c:pt idx="355">
                  <c:v>50</c:v>
                </c:pt>
                <c:pt idx="356">
                  <c:v>50</c:v>
                </c:pt>
                <c:pt idx="357">
                  <c:v>40</c:v>
                </c:pt>
                <c:pt idx="358">
                  <c:v>40</c:v>
                </c:pt>
                <c:pt idx="359">
                  <c:v>40</c:v>
                </c:pt>
                <c:pt idx="360">
                  <c:v>#N/A</c:v>
                </c:pt>
                <c:pt idx="361">
                  <c:v>35</c:v>
                </c:pt>
                <c:pt idx="362">
                  <c:v>18</c:v>
                </c:pt>
                <c:pt idx="363">
                  <c:v>40</c:v>
                </c:pt>
                <c:pt idx="364">
                  <c:v>30</c:v>
                </c:pt>
                <c:pt idx="365">
                  <c:v>35</c:v>
                </c:pt>
                <c:pt idx="366">
                  <c:v>18</c:v>
                </c:pt>
                <c:pt idx="367">
                  <c:v>30</c:v>
                </c:pt>
                <c:pt idx="368">
                  <c:v>40</c:v>
                </c:pt>
                <c:pt idx="369">
                  <c:v>40</c:v>
                </c:pt>
                <c:pt idx="370">
                  <c:v>37</c:v>
                </c:pt>
                <c:pt idx="371">
                  <c:v>65</c:v>
                </c:pt>
                <c:pt idx="372">
                  <c:v>40</c:v>
                </c:pt>
                <c:pt idx="373">
                  <c:v>40</c:v>
                </c:pt>
                <c:pt idx="374">
                  <c:v>60</c:v>
                </c:pt>
                <c:pt idx="375">
                  <c:v>37</c:v>
                </c:pt>
                <c:pt idx="376">
                  <c:v>#N/A</c:v>
                </c:pt>
                <c:pt idx="377">
                  <c:v>30</c:v>
                </c:pt>
                <c:pt idx="378">
                  <c:v>25</c:v>
                </c:pt>
                <c:pt idx="379">
                  <c:v>40</c:v>
                </c:pt>
                <c:pt idx="380">
                  <c:v>40</c:v>
                </c:pt>
                <c:pt idx="381">
                  <c:v>99</c:v>
                </c:pt>
                <c:pt idx="382">
                  <c:v>50</c:v>
                </c:pt>
                <c:pt idx="383">
                  <c:v>10</c:v>
                </c:pt>
                <c:pt idx="384">
                  <c:v>40</c:v>
                </c:pt>
                <c:pt idx="385">
                  <c:v>25</c:v>
                </c:pt>
                <c:pt idx="386">
                  <c:v>20</c:v>
                </c:pt>
                <c:pt idx="387">
                  <c:v>40</c:v>
                </c:pt>
                <c:pt idx="388">
                  <c:v>50</c:v>
                </c:pt>
                <c:pt idx="389">
                  <c:v>60</c:v>
                </c:pt>
                <c:pt idx="390">
                  <c:v>40</c:v>
                </c:pt>
                <c:pt idx="391">
                  <c:v>#N/A</c:v>
                </c:pt>
                <c:pt idx="392">
                  <c:v>#N/A</c:v>
                </c:pt>
                <c:pt idx="393">
                  <c:v>45</c:v>
                </c:pt>
                <c:pt idx="394">
                  <c:v>#N/A</c:v>
                </c:pt>
                <c:pt idx="395">
                  <c:v>#N/A</c:v>
                </c:pt>
                <c:pt idx="396">
                  <c:v>40</c:v>
                </c:pt>
                <c:pt idx="397">
                  <c:v>40</c:v>
                </c:pt>
                <c:pt idx="398">
                  <c:v>32</c:v>
                </c:pt>
                <c:pt idx="399">
                  <c:v>40</c:v>
                </c:pt>
                <c:pt idx="400">
                  <c:v>40</c:v>
                </c:pt>
                <c:pt idx="401">
                  <c:v>40</c:v>
                </c:pt>
                <c:pt idx="402">
                  <c:v>#N/A</c:v>
                </c:pt>
                <c:pt idx="403">
                  <c:v>44</c:v>
                </c:pt>
                <c:pt idx="404">
                  <c:v>40</c:v>
                </c:pt>
                <c:pt idx="405">
                  <c:v>30</c:v>
                </c:pt>
                <c:pt idx="406">
                  <c:v>24</c:v>
                </c:pt>
                <c:pt idx="407">
                  <c:v>60</c:v>
                </c:pt>
                <c:pt idx="408">
                  <c:v>40</c:v>
                </c:pt>
                <c:pt idx="409">
                  <c:v>#N/A</c:v>
                </c:pt>
                <c:pt idx="410">
                  <c:v>40</c:v>
                </c:pt>
                <c:pt idx="411">
                  <c:v>#N/A</c:v>
                </c:pt>
                <c:pt idx="412">
                  <c:v>50</c:v>
                </c:pt>
                <c:pt idx="413">
                  <c:v>80</c:v>
                </c:pt>
                <c:pt idx="414">
                  <c:v>#N/A</c:v>
                </c:pt>
                <c:pt idx="415">
                  <c:v>#N/A</c:v>
                </c:pt>
                <c:pt idx="416">
                  <c:v>15</c:v>
                </c:pt>
                <c:pt idx="417">
                  <c:v>40</c:v>
                </c:pt>
                <c:pt idx="418">
                  <c:v>40</c:v>
                </c:pt>
                <c:pt idx="419">
                  <c:v>#N/A</c:v>
                </c:pt>
                <c:pt idx="420">
                  <c:v>#N/A</c:v>
                </c:pt>
                <c:pt idx="421">
                  <c:v>40</c:v>
                </c:pt>
                <c:pt idx="422">
                  <c:v>40</c:v>
                </c:pt>
                <c:pt idx="423">
                  <c:v>40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45</c:v>
                </c:pt>
                <c:pt idx="428">
                  <c:v>50</c:v>
                </c:pt>
                <c:pt idx="429">
                  <c:v>40</c:v>
                </c:pt>
                <c:pt idx="430">
                  <c:v>50</c:v>
                </c:pt>
                <c:pt idx="431">
                  <c:v>40</c:v>
                </c:pt>
                <c:pt idx="432">
                  <c:v>#N/A</c:v>
                </c:pt>
                <c:pt idx="433">
                  <c:v>24</c:v>
                </c:pt>
                <c:pt idx="434">
                  <c:v>40</c:v>
                </c:pt>
                <c:pt idx="435">
                  <c:v>42</c:v>
                </c:pt>
                <c:pt idx="436">
                  <c:v>20</c:v>
                </c:pt>
                <c:pt idx="437">
                  <c:v>#N/A</c:v>
                </c:pt>
                <c:pt idx="438">
                  <c:v>#N/A</c:v>
                </c:pt>
                <c:pt idx="439">
                  <c:v>40</c:v>
                </c:pt>
                <c:pt idx="440">
                  <c:v>55</c:v>
                </c:pt>
                <c:pt idx="441">
                  <c:v>#N/A</c:v>
                </c:pt>
                <c:pt idx="442">
                  <c:v>35</c:v>
                </c:pt>
                <c:pt idx="443">
                  <c:v>35</c:v>
                </c:pt>
                <c:pt idx="444">
                  <c:v>65</c:v>
                </c:pt>
                <c:pt idx="445">
                  <c:v>40</c:v>
                </c:pt>
                <c:pt idx="446">
                  <c:v>40</c:v>
                </c:pt>
                <c:pt idx="447">
                  <c:v>#N/A</c:v>
                </c:pt>
                <c:pt idx="448">
                  <c:v>55</c:v>
                </c:pt>
                <c:pt idx="449">
                  <c:v>40</c:v>
                </c:pt>
                <c:pt idx="450">
                  <c:v>40</c:v>
                </c:pt>
                <c:pt idx="451">
                  <c:v>30</c:v>
                </c:pt>
                <c:pt idx="452">
                  <c:v>25</c:v>
                </c:pt>
                <c:pt idx="453">
                  <c:v>50</c:v>
                </c:pt>
                <c:pt idx="454">
                  <c:v>#N/A</c:v>
                </c:pt>
                <c:pt idx="455">
                  <c:v>#N/A</c:v>
                </c:pt>
                <c:pt idx="456">
                  <c:v>40</c:v>
                </c:pt>
                <c:pt idx="457">
                  <c:v>#N/A</c:v>
                </c:pt>
                <c:pt idx="458">
                  <c:v>#N/A</c:v>
                </c:pt>
                <c:pt idx="459">
                  <c:v>40</c:v>
                </c:pt>
                <c:pt idx="460">
                  <c:v>70</c:v>
                </c:pt>
                <c:pt idx="461">
                  <c:v>40</c:v>
                </c:pt>
                <c:pt idx="462">
                  <c:v>30</c:v>
                </c:pt>
                <c:pt idx="463">
                  <c:v>#N/A</c:v>
                </c:pt>
                <c:pt idx="464">
                  <c:v>50</c:v>
                </c:pt>
                <c:pt idx="465">
                  <c:v>40</c:v>
                </c:pt>
                <c:pt idx="466">
                  <c:v>40</c:v>
                </c:pt>
                <c:pt idx="467">
                  <c:v>20</c:v>
                </c:pt>
                <c:pt idx="468">
                  <c:v>50</c:v>
                </c:pt>
                <c:pt idx="469">
                  <c:v>35</c:v>
                </c:pt>
                <c:pt idx="470">
                  <c:v>38</c:v>
                </c:pt>
                <c:pt idx="471">
                  <c:v>15</c:v>
                </c:pt>
                <c:pt idx="472">
                  <c:v>45</c:v>
                </c:pt>
                <c:pt idx="473">
                  <c:v>40</c:v>
                </c:pt>
                <c:pt idx="474">
                  <c:v>#N/A</c:v>
                </c:pt>
                <c:pt idx="475">
                  <c:v>4</c:v>
                </c:pt>
                <c:pt idx="476">
                  <c:v>30</c:v>
                </c:pt>
                <c:pt idx="477">
                  <c:v>#N/A</c:v>
                </c:pt>
                <c:pt idx="478">
                  <c:v>#N/A</c:v>
                </c:pt>
                <c:pt idx="479">
                  <c:v>40</c:v>
                </c:pt>
                <c:pt idx="480">
                  <c:v>40</c:v>
                </c:pt>
                <c:pt idx="481">
                  <c:v>40</c:v>
                </c:pt>
                <c:pt idx="482">
                  <c:v>20</c:v>
                </c:pt>
                <c:pt idx="483">
                  <c:v>99</c:v>
                </c:pt>
                <c:pt idx="484">
                  <c:v>40</c:v>
                </c:pt>
                <c:pt idx="485">
                  <c:v>20</c:v>
                </c:pt>
                <c:pt idx="486">
                  <c:v>40</c:v>
                </c:pt>
                <c:pt idx="487">
                  <c:v>#N/A</c:v>
                </c:pt>
                <c:pt idx="488">
                  <c:v>#N/A</c:v>
                </c:pt>
                <c:pt idx="489">
                  <c:v>70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20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40</c:v>
                </c:pt>
                <c:pt idx="498">
                  <c:v>40</c:v>
                </c:pt>
                <c:pt idx="499">
                  <c:v>40</c:v>
                </c:pt>
                <c:pt idx="500">
                  <c:v>40</c:v>
                </c:pt>
                <c:pt idx="501">
                  <c:v>60</c:v>
                </c:pt>
                <c:pt idx="502">
                  <c:v>#N/A</c:v>
                </c:pt>
                <c:pt idx="503">
                  <c:v>40</c:v>
                </c:pt>
                <c:pt idx="504">
                  <c:v>#N/A</c:v>
                </c:pt>
                <c:pt idx="505">
                  <c:v>20</c:v>
                </c:pt>
                <c:pt idx="506">
                  <c:v>40</c:v>
                </c:pt>
                <c:pt idx="507">
                  <c:v>#N/A</c:v>
                </c:pt>
                <c:pt idx="508">
                  <c:v>#N/A</c:v>
                </c:pt>
                <c:pt idx="509">
                  <c:v>50</c:v>
                </c:pt>
                <c:pt idx="510">
                  <c:v>20</c:v>
                </c:pt>
                <c:pt idx="511">
                  <c:v>40</c:v>
                </c:pt>
                <c:pt idx="512">
                  <c:v>50</c:v>
                </c:pt>
                <c:pt idx="513">
                  <c:v>30</c:v>
                </c:pt>
                <c:pt idx="514">
                  <c:v>45</c:v>
                </c:pt>
                <c:pt idx="515">
                  <c:v>#N/A</c:v>
                </c:pt>
                <c:pt idx="516">
                  <c:v>40</c:v>
                </c:pt>
                <c:pt idx="517">
                  <c:v>45</c:v>
                </c:pt>
                <c:pt idx="518">
                  <c:v>38</c:v>
                </c:pt>
                <c:pt idx="519">
                  <c:v>40</c:v>
                </c:pt>
                <c:pt idx="520">
                  <c:v>#N/A</c:v>
                </c:pt>
                <c:pt idx="521">
                  <c:v>53</c:v>
                </c:pt>
                <c:pt idx="522">
                  <c:v>40</c:v>
                </c:pt>
                <c:pt idx="523">
                  <c:v>20</c:v>
                </c:pt>
                <c:pt idx="524">
                  <c:v>#N/A</c:v>
                </c:pt>
                <c:pt idx="525">
                  <c:v>20</c:v>
                </c:pt>
                <c:pt idx="526">
                  <c:v>40</c:v>
                </c:pt>
                <c:pt idx="527">
                  <c:v>24</c:v>
                </c:pt>
                <c:pt idx="528">
                  <c:v>40</c:v>
                </c:pt>
                <c:pt idx="529">
                  <c:v>40</c:v>
                </c:pt>
                <c:pt idx="530">
                  <c:v>#N/A</c:v>
                </c:pt>
                <c:pt idx="531">
                  <c:v>40</c:v>
                </c:pt>
                <c:pt idx="532">
                  <c:v>40</c:v>
                </c:pt>
                <c:pt idx="533">
                  <c:v>20</c:v>
                </c:pt>
                <c:pt idx="534">
                  <c:v>40</c:v>
                </c:pt>
                <c:pt idx="535">
                  <c:v>#N/A</c:v>
                </c:pt>
                <c:pt idx="536">
                  <c:v>#N/A</c:v>
                </c:pt>
                <c:pt idx="537">
                  <c:v>30</c:v>
                </c:pt>
                <c:pt idx="538">
                  <c:v>#N/A</c:v>
                </c:pt>
                <c:pt idx="539">
                  <c:v>45</c:v>
                </c:pt>
                <c:pt idx="540">
                  <c:v>36</c:v>
                </c:pt>
                <c:pt idx="541">
                  <c:v>40</c:v>
                </c:pt>
                <c:pt idx="542">
                  <c:v>50</c:v>
                </c:pt>
                <c:pt idx="543">
                  <c:v>40</c:v>
                </c:pt>
                <c:pt idx="544">
                  <c:v>#N/A</c:v>
                </c:pt>
                <c:pt idx="545">
                  <c:v>30</c:v>
                </c:pt>
                <c:pt idx="546">
                  <c:v>60</c:v>
                </c:pt>
                <c:pt idx="547">
                  <c:v>33</c:v>
                </c:pt>
                <c:pt idx="548">
                  <c:v>45</c:v>
                </c:pt>
                <c:pt idx="549">
                  <c:v>#N/A</c:v>
                </c:pt>
                <c:pt idx="550">
                  <c:v>40</c:v>
                </c:pt>
                <c:pt idx="551">
                  <c:v>#N/A</c:v>
                </c:pt>
                <c:pt idx="552">
                  <c:v>40</c:v>
                </c:pt>
                <c:pt idx="553">
                  <c:v>40</c:v>
                </c:pt>
                <c:pt idx="554">
                  <c:v>#N/A</c:v>
                </c:pt>
                <c:pt idx="555">
                  <c:v>#N/A</c:v>
                </c:pt>
                <c:pt idx="556">
                  <c:v>70</c:v>
                </c:pt>
                <c:pt idx="557">
                  <c:v>45</c:v>
                </c:pt>
                <c:pt idx="558">
                  <c:v>#N/A</c:v>
                </c:pt>
                <c:pt idx="559">
                  <c:v>25</c:v>
                </c:pt>
                <c:pt idx="560">
                  <c:v>40</c:v>
                </c:pt>
                <c:pt idx="561">
                  <c:v>38</c:v>
                </c:pt>
                <c:pt idx="562">
                  <c:v>40</c:v>
                </c:pt>
                <c:pt idx="563">
                  <c:v>40</c:v>
                </c:pt>
                <c:pt idx="564">
                  <c:v>40</c:v>
                </c:pt>
                <c:pt idx="565">
                  <c:v>40</c:v>
                </c:pt>
                <c:pt idx="566">
                  <c:v>40</c:v>
                </c:pt>
                <c:pt idx="567">
                  <c:v>40</c:v>
                </c:pt>
                <c:pt idx="568">
                  <c:v>35</c:v>
                </c:pt>
                <c:pt idx="569">
                  <c:v>50</c:v>
                </c:pt>
                <c:pt idx="570">
                  <c:v>35</c:v>
                </c:pt>
                <c:pt idx="571">
                  <c:v>30</c:v>
                </c:pt>
                <c:pt idx="572">
                  <c:v>30</c:v>
                </c:pt>
                <c:pt idx="573">
                  <c:v>20</c:v>
                </c:pt>
                <c:pt idx="574">
                  <c:v>#N/A</c:v>
                </c:pt>
                <c:pt idx="575">
                  <c:v>#N/A</c:v>
                </c:pt>
                <c:pt idx="576">
                  <c:v>46</c:v>
                </c:pt>
                <c:pt idx="577">
                  <c:v>#N/A</c:v>
                </c:pt>
                <c:pt idx="578">
                  <c:v>40</c:v>
                </c:pt>
                <c:pt idx="579">
                  <c:v>40</c:v>
                </c:pt>
                <c:pt idx="580">
                  <c:v>#N/A</c:v>
                </c:pt>
                <c:pt idx="581">
                  <c:v>50</c:v>
                </c:pt>
                <c:pt idx="582">
                  <c:v>15</c:v>
                </c:pt>
                <c:pt idx="583">
                  <c:v>#N/A</c:v>
                </c:pt>
                <c:pt idx="584">
                  <c:v>50</c:v>
                </c:pt>
                <c:pt idx="585">
                  <c:v>#N/A</c:v>
                </c:pt>
                <c:pt idx="586">
                  <c:v>#N/A</c:v>
                </c:pt>
                <c:pt idx="587">
                  <c:v>20</c:v>
                </c:pt>
                <c:pt idx="588">
                  <c:v>40</c:v>
                </c:pt>
                <c:pt idx="589">
                  <c:v>25</c:v>
                </c:pt>
                <c:pt idx="590">
                  <c:v>60</c:v>
                </c:pt>
                <c:pt idx="591">
                  <c:v>55</c:v>
                </c:pt>
                <c:pt idx="592">
                  <c:v>50</c:v>
                </c:pt>
                <c:pt idx="593">
                  <c:v>40</c:v>
                </c:pt>
                <c:pt idx="594">
                  <c:v>#N/A</c:v>
                </c:pt>
                <c:pt idx="595">
                  <c:v>#N/A</c:v>
                </c:pt>
                <c:pt idx="596">
                  <c:v>40</c:v>
                </c:pt>
                <c:pt idx="597">
                  <c:v>#N/A</c:v>
                </c:pt>
                <c:pt idx="598">
                  <c:v>40</c:v>
                </c:pt>
                <c:pt idx="599">
                  <c:v>35</c:v>
                </c:pt>
                <c:pt idx="600">
                  <c:v>50</c:v>
                </c:pt>
                <c:pt idx="601">
                  <c:v>40</c:v>
                </c:pt>
                <c:pt idx="602">
                  <c:v>40</c:v>
                </c:pt>
                <c:pt idx="603">
                  <c:v>40</c:v>
                </c:pt>
                <c:pt idx="604">
                  <c:v>20</c:v>
                </c:pt>
                <c:pt idx="605">
                  <c:v>40</c:v>
                </c:pt>
                <c:pt idx="606">
                  <c:v>20</c:v>
                </c:pt>
                <c:pt idx="607">
                  <c:v>40</c:v>
                </c:pt>
                <c:pt idx="608">
                  <c:v>#N/A</c:v>
                </c:pt>
                <c:pt idx="609">
                  <c:v>40</c:v>
                </c:pt>
                <c:pt idx="610">
                  <c:v>30</c:v>
                </c:pt>
                <c:pt idx="611">
                  <c:v>40</c:v>
                </c:pt>
                <c:pt idx="612">
                  <c:v>#N/A</c:v>
                </c:pt>
                <c:pt idx="613">
                  <c:v>15</c:v>
                </c:pt>
                <c:pt idx="614">
                  <c:v>40</c:v>
                </c:pt>
                <c:pt idx="615">
                  <c:v>10</c:v>
                </c:pt>
                <c:pt idx="616">
                  <c:v>#N/A</c:v>
                </c:pt>
                <c:pt idx="617">
                  <c:v>40</c:v>
                </c:pt>
                <c:pt idx="618">
                  <c:v>#N/A</c:v>
                </c:pt>
                <c:pt idx="619">
                  <c:v>40</c:v>
                </c:pt>
                <c:pt idx="620">
                  <c:v>#N/A</c:v>
                </c:pt>
                <c:pt idx="621">
                  <c:v>50</c:v>
                </c:pt>
                <c:pt idx="622">
                  <c:v>20</c:v>
                </c:pt>
                <c:pt idx="623">
                  <c:v>50</c:v>
                </c:pt>
                <c:pt idx="624">
                  <c:v>20</c:v>
                </c:pt>
                <c:pt idx="625">
                  <c:v>40</c:v>
                </c:pt>
                <c:pt idx="626">
                  <c:v>#N/A</c:v>
                </c:pt>
                <c:pt idx="627">
                  <c:v>#N/A</c:v>
                </c:pt>
                <c:pt idx="628">
                  <c:v>40</c:v>
                </c:pt>
                <c:pt idx="629">
                  <c:v>60</c:v>
                </c:pt>
                <c:pt idx="630">
                  <c:v>60</c:v>
                </c:pt>
                <c:pt idx="631">
                  <c:v>24</c:v>
                </c:pt>
                <c:pt idx="632">
                  <c:v>55</c:v>
                </c:pt>
                <c:pt idx="633">
                  <c:v>50</c:v>
                </c:pt>
                <c:pt idx="634">
                  <c:v>25</c:v>
                </c:pt>
                <c:pt idx="635">
                  <c:v>#N/A</c:v>
                </c:pt>
                <c:pt idx="636">
                  <c:v>40</c:v>
                </c:pt>
                <c:pt idx="637">
                  <c:v>#N/A</c:v>
                </c:pt>
                <c:pt idx="638">
                  <c:v>40</c:v>
                </c:pt>
                <c:pt idx="639">
                  <c:v>#N/A</c:v>
                </c:pt>
                <c:pt idx="640">
                  <c:v>40</c:v>
                </c:pt>
                <c:pt idx="641">
                  <c:v>#N/A</c:v>
                </c:pt>
                <c:pt idx="642">
                  <c:v>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064-4F8F-858B-7BB53A92F498}"/>
            </c:ext>
          </c:extLst>
        </c:ser>
        <c:ser>
          <c:idx val="1"/>
          <c:order val="1"/>
          <c:tx>
            <c:v>&gt;50K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Scatter!$L$2:$L$644</c:f>
              <c:numCache>
                <c:formatCode>General</c:formatCode>
                <c:ptCount val="64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35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54</c:v>
                </c:pt>
                <c:pt idx="10">
                  <c:v>30</c:v>
                </c:pt>
                <c:pt idx="11">
                  <c:v>42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40</c:v>
                </c:pt>
                <c:pt idx="19">
                  <c:v>37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50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51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55</c:v>
                </c:pt>
                <c:pt idx="51">
                  <c:v>39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30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48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51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36</c:v>
                </c:pt>
                <c:pt idx="72">
                  <c:v>#N/A</c:v>
                </c:pt>
                <c:pt idx="73">
                  <c:v>59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51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38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29</c:v>
                </c:pt>
                <c:pt idx="97">
                  <c:v>34</c:v>
                </c:pt>
                <c:pt idx="98">
                  <c:v>42</c:v>
                </c:pt>
                <c:pt idx="99">
                  <c:v>39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39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53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48</c:v>
                </c:pt>
                <c:pt idx="133">
                  <c:v>#N/A</c:v>
                </c:pt>
                <c:pt idx="134">
                  <c:v>33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45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63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43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32</c:v>
                </c:pt>
                <c:pt idx="166">
                  <c:v>#N/A</c:v>
                </c:pt>
                <c:pt idx="167">
                  <c:v>#N/A</c:v>
                </c:pt>
                <c:pt idx="168">
                  <c:v>34</c:v>
                </c:pt>
                <c:pt idx="169">
                  <c:v>48</c:v>
                </c:pt>
                <c:pt idx="170">
                  <c:v>#N/A</c:v>
                </c:pt>
                <c:pt idx="171">
                  <c:v>#N/A</c:v>
                </c:pt>
                <c:pt idx="172">
                  <c:v>43</c:v>
                </c:pt>
                <c:pt idx="173">
                  <c:v>#N/A</c:v>
                </c:pt>
                <c:pt idx="174">
                  <c:v>27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27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56</c:v>
                </c:pt>
                <c:pt idx="184">
                  <c:v>25</c:v>
                </c:pt>
                <c:pt idx="185">
                  <c:v>#N/A</c:v>
                </c:pt>
                <c:pt idx="186">
                  <c:v>#N/A</c:v>
                </c:pt>
                <c:pt idx="187">
                  <c:v>34</c:v>
                </c:pt>
                <c:pt idx="188">
                  <c:v>#N/A</c:v>
                </c:pt>
                <c:pt idx="189">
                  <c:v>50</c:v>
                </c:pt>
                <c:pt idx="190">
                  <c:v>#N/A</c:v>
                </c:pt>
                <c:pt idx="191">
                  <c:v>#N/A</c:v>
                </c:pt>
                <c:pt idx="192">
                  <c:v>41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59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48</c:v>
                </c:pt>
                <c:pt idx="209">
                  <c:v>#N/A</c:v>
                </c:pt>
                <c:pt idx="210">
                  <c:v>#N/A</c:v>
                </c:pt>
                <c:pt idx="211">
                  <c:v>46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55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60</c:v>
                </c:pt>
                <c:pt idx="227">
                  <c:v>28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62</c:v>
                </c:pt>
                <c:pt idx="235">
                  <c:v>41</c:v>
                </c:pt>
                <c:pt idx="236">
                  <c:v>40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54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36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51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52</c:v>
                </c:pt>
                <c:pt idx="263">
                  <c:v>#N/A</c:v>
                </c:pt>
                <c:pt idx="264">
                  <c:v>54</c:v>
                </c:pt>
                <c:pt idx="265">
                  <c:v>#N/A</c:v>
                </c:pt>
                <c:pt idx="266">
                  <c:v>57</c:v>
                </c:pt>
                <c:pt idx="267">
                  <c:v>#N/A</c:v>
                </c:pt>
                <c:pt idx="268">
                  <c:v>#N/A</c:v>
                </c:pt>
                <c:pt idx="269">
                  <c:v>66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47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46</c:v>
                </c:pt>
                <c:pt idx="284">
                  <c:v>#N/A</c:v>
                </c:pt>
                <c:pt idx="285">
                  <c:v>#N/A</c:v>
                </c:pt>
                <c:pt idx="286">
                  <c:v>65</c:v>
                </c:pt>
                <c:pt idx="287">
                  <c:v>#N/A</c:v>
                </c:pt>
                <c:pt idx="288">
                  <c:v>#N/A</c:v>
                </c:pt>
                <c:pt idx="289">
                  <c:v>68</c:v>
                </c:pt>
                <c:pt idx="290">
                  <c:v>#N/A</c:v>
                </c:pt>
                <c:pt idx="291">
                  <c:v>#N/A</c:v>
                </c:pt>
                <c:pt idx="292">
                  <c:v>32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36</c:v>
                </c:pt>
                <c:pt idx="298">
                  <c:v>42</c:v>
                </c:pt>
                <c:pt idx="299">
                  <c:v>#N/A</c:v>
                </c:pt>
                <c:pt idx="300">
                  <c:v>#N/A</c:v>
                </c:pt>
                <c:pt idx="301">
                  <c:v>35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60</c:v>
                </c:pt>
                <c:pt idx="308">
                  <c:v>#N/A</c:v>
                </c:pt>
                <c:pt idx="309">
                  <c:v>53</c:v>
                </c:pt>
                <c:pt idx="310">
                  <c:v>#N/A</c:v>
                </c:pt>
                <c:pt idx="311">
                  <c:v>#N/A</c:v>
                </c:pt>
                <c:pt idx="312">
                  <c:v>51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49</c:v>
                </c:pt>
                <c:pt idx="323">
                  <c:v>36</c:v>
                </c:pt>
                <c:pt idx="324">
                  <c:v>#N/A</c:v>
                </c:pt>
                <c:pt idx="325">
                  <c:v>43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32</c:v>
                </c:pt>
                <c:pt idx="336">
                  <c:v>43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34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32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41</c:v>
                </c:pt>
                <c:pt idx="351">
                  <c:v>28</c:v>
                </c:pt>
                <c:pt idx="352">
                  <c:v>#N/A</c:v>
                </c:pt>
                <c:pt idx="353">
                  <c:v>44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61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54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45</c:v>
                </c:pt>
                <c:pt idx="392">
                  <c:v>46</c:v>
                </c:pt>
                <c:pt idx="393">
                  <c:v>#N/A</c:v>
                </c:pt>
                <c:pt idx="394">
                  <c:v>47</c:v>
                </c:pt>
                <c:pt idx="395">
                  <c:v>39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30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40</c:v>
                </c:pt>
                <c:pt idx="410">
                  <c:v>#N/A</c:v>
                </c:pt>
                <c:pt idx="411">
                  <c:v>56</c:v>
                </c:pt>
                <c:pt idx="412">
                  <c:v>#N/A</c:v>
                </c:pt>
                <c:pt idx="413">
                  <c:v>#N/A</c:v>
                </c:pt>
                <c:pt idx="414">
                  <c:v>33</c:v>
                </c:pt>
                <c:pt idx="415">
                  <c:v>64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40</c:v>
                </c:pt>
                <c:pt idx="420">
                  <c:v>36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59</c:v>
                </c:pt>
                <c:pt idx="425">
                  <c:v>35</c:v>
                </c:pt>
                <c:pt idx="426">
                  <c:v>42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51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45</c:v>
                </c:pt>
                <c:pt idx="438">
                  <c:v>58</c:v>
                </c:pt>
                <c:pt idx="439">
                  <c:v>#N/A</c:v>
                </c:pt>
                <c:pt idx="440">
                  <c:v>#N/A</c:v>
                </c:pt>
                <c:pt idx="441">
                  <c:v>34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38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47</c:v>
                </c:pt>
                <c:pt idx="455">
                  <c:v>58</c:v>
                </c:pt>
                <c:pt idx="456">
                  <c:v>#N/A</c:v>
                </c:pt>
                <c:pt idx="457">
                  <c:v>42</c:v>
                </c:pt>
                <c:pt idx="458">
                  <c:v>48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59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54</c:v>
                </c:pt>
                <c:pt idx="475">
                  <c:v>#N/A</c:v>
                </c:pt>
                <c:pt idx="476">
                  <c:v>#N/A</c:v>
                </c:pt>
                <c:pt idx="477">
                  <c:v>62</c:v>
                </c:pt>
                <c:pt idx="478">
                  <c:v>56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45</c:v>
                </c:pt>
                <c:pt idx="488">
                  <c:v>45</c:v>
                </c:pt>
                <c:pt idx="489">
                  <c:v>#N/A</c:v>
                </c:pt>
                <c:pt idx="490">
                  <c:v>40</c:v>
                </c:pt>
                <c:pt idx="491">
                  <c:v>32</c:v>
                </c:pt>
                <c:pt idx="492">
                  <c:v>37</c:v>
                </c:pt>
                <c:pt idx="493">
                  <c:v>#N/A</c:v>
                </c:pt>
                <c:pt idx="494">
                  <c:v>35</c:v>
                </c:pt>
                <c:pt idx="495">
                  <c:v>35</c:v>
                </c:pt>
                <c:pt idx="496">
                  <c:v>59</c:v>
                </c:pt>
                <c:pt idx="497">
                  <c:v>#N/A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42</c:v>
                </c:pt>
                <c:pt idx="503">
                  <c:v>#N/A</c:v>
                </c:pt>
                <c:pt idx="504">
                  <c:v>31</c:v>
                </c:pt>
                <c:pt idx="505">
                  <c:v>#N/A</c:v>
                </c:pt>
                <c:pt idx="506">
                  <c:v>#N/A</c:v>
                </c:pt>
                <c:pt idx="507">
                  <c:v>47</c:v>
                </c:pt>
                <c:pt idx="508">
                  <c:v>37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40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54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22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65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45</c:v>
                </c:pt>
                <c:pt idx="536">
                  <c:v>61</c:v>
                </c:pt>
                <c:pt idx="537">
                  <c:v>#N/A</c:v>
                </c:pt>
                <c:pt idx="538">
                  <c:v>60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36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49</c:v>
                </c:pt>
                <c:pt idx="550">
                  <c:v>#N/A</c:v>
                </c:pt>
                <c:pt idx="551">
                  <c:v>62</c:v>
                </c:pt>
                <c:pt idx="552">
                  <c:v>#N/A</c:v>
                </c:pt>
                <c:pt idx="553">
                  <c:v>#N/A</c:v>
                </c:pt>
                <c:pt idx="554">
                  <c:v>43</c:v>
                </c:pt>
                <c:pt idx="555">
                  <c:v>36</c:v>
                </c:pt>
                <c:pt idx="556">
                  <c:v>#N/A</c:v>
                </c:pt>
                <c:pt idx="557">
                  <c:v>#N/A</c:v>
                </c:pt>
                <c:pt idx="558">
                  <c:v>32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60</c:v>
                </c:pt>
                <c:pt idx="575">
                  <c:v>38</c:v>
                </c:pt>
                <c:pt idx="576">
                  <c:v>#N/A</c:v>
                </c:pt>
                <c:pt idx="577">
                  <c:v>50</c:v>
                </c:pt>
                <c:pt idx="578">
                  <c:v>#N/A</c:v>
                </c:pt>
                <c:pt idx="579">
                  <c:v>#N/A</c:v>
                </c:pt>
                <c:pt idx="580">
                  <c:v>45</c:v>
                </c:pt>
                <c:pt idx="581">
                  <c:v>#N/A</c:v>
                </c:pt>
                <c:pt idx="582">
                  <c:v>#N/A</c:v>
                </c:pt>
                <c:pt idx="583">
                  <c:v>39</c:v>
                </c:pt>
                <c:pt idx="584">
                  <c:v>#N/A</c:v>
                </c:pt>
                <c:pt idx="585">
                  <c:v>32</c:v>
                </c:pt>
                <c:pt idx="586">
                  <c:v>41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60</c:v>
                </c:pt>
                <c:pt idx="595">
                  <c:v>45</c:v>
                </c:pt>
                <c:pt idx="596">
                  <c:v>#N/A</c:v>
                </c:pt>
                <c:pt idx="597">
                  <c:v>81</c:v>
                </c:pt>
                <c:pt idx="598">
                  <c:v>#N/A</c:v>
                </c:pt>
                <c:pt idx="599">
                  <c:v>#N/A</c:v>
                </c:pt>
                <c:pt idx="600">
                  <c:v>#N/A</c:v>
                </c:pt>
                <c:pt idx="601">
                  <c:v>#N/A</c:v>
                </c:pt>
                <c:pt idx="602">
                  <c:v>#N/A</c:v>
                </c:pt>
                <c:pt idx="603">
                  <c:v>#N/A</c:v>
                </c:pt>
                <c:pt idx="604">
                  <c:v>#N/A</c:v>
                </c:pt>
                <c:pt idx="605">
                  <c:v>#N/A</c:v>
                </c:pt>
                <c:pt idx="606">
                  <c:v>#N/A</c:v>
                </c:pt>
                <c:pt idx="607">
                  <c:v>#N/A</c:v>
                </c:pt>
                <c:pt idx="608">
                  <c:v>37</c:v>
                </c:pt>
                <c:pt idx="609">
                  <c:v>#N/A</c:v>
                </c:pt>
                <c:pt idx="610">
                  <c:v>#N/A</c:v>
                </c:pt>
                <c:pt idx="611">
                  <c:v>#N/A</c:v>
                </c:pt>
                <c:pt idx="612">
                  <c:v>46</c:v>
                </c:pt>
                <c:pt idx="613">
                  <c:v>#N/A</c:v>
                </c:pt>
                <c:pt idx="614">
                  <c:v>#N/A</c:v>
                </c:pt>
                <c:pt idx="615">
                  <c:v>#N/A</c:v>
                </c:pt>
                <c:pt idx="616">
                  <c:v>41</c:v>
                </c:pt>
                <c:pt idx="617">
                  <c:v>#N/A</c:v>
                </c:pt>
                <c:pt idx="618">
                  <c:v>39</c:v>
                </c:pt>
                <c:pt idx="619">
                  <c:v>#N/A</c:v>
                </c:pt>
                <c:pt idx="620">
                  <c:v>37</c:v>
                </c:pt>
                <c:pt idx="621">
                  <c:v>#N/A</c:v>
                </c:pt>
                <c:pt idx="622">
                  <c:v>#N/A</c:v>
                </c:pt>
                <c:pt idx="623">
                  <c:v>#N/A</c:v>
                </c:pt>
                <c:pt idx="624">
                  <c:v>#N/A</c:v>
                </c:pt>
                <c:pt idx="625">
                  <c:v>#N/A</c:v>
                </c:pt>
                <c:pt idx="626">
                  <c:v>42</c:v>
                </c:pt>
                <c:pt idx="627">
                  <c:v>57</c:v>
                </c:pt>
                <c:pt idx="628">
                  <c:v>#N/A</c:v>
                </c:pt>
                <c:pt idx="629">
                  <c:v>#N/A</c:v>
                </c:pt>
                <c:pt idx="630">
                  <c:v>#N/A</c:v>
                </c:pt>
                <c:pt idx="631">
                  <c:v>#N/A</c:v>
                </c:pt>
                <c:pt idx="632">
                  <c:v>#N/A</c:v>
                </c:pt>
                <c:pt idx="633">
                  <c:v>#N/A</c:v>
                </c:pt>
                <c:pt idx="634">
                  <c:v>#N/A</c:v>
                </c:pt>
                <c:pt idx="635">
                  <c:v>66</c:v>
                </c:pt>
                <c:pt idx="636">
                  <c:v>#N/A</c:v>
                </c:pt>
                <c:pt idx="637">
                  <c:v>41</c:v>
                </c:pt>
                <c:pt idx="638">
                  <c:v>#N/A</c:v>
                </c:pt>
                <c:pt idx="639">
                  <c:v>54</c:v>
                </c:pt>
                <c:pt idx="640">
                  <c:v>#N/A</c:v>
                </c:pt>
                <c:pt idx="641">
                  <c:v>30</c:v>
                </c:pt>
                <c:pt idx="642">
                  <c:v>#N/A</c:v>
                </c:pt>
              </c:numCache>
            </c:numRef>
          </c:xVal>
          <c:yVal>
            <c:numRef>
              <c:f>Scatter!$M$2:$M$644</c:f>
              <c:numCache>
                <c:formatCode>General</c:formatCode>
                <c:ptCount val="64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50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35</c:v>
                </c:pt>
                <c:pt idx="10">
                  <c:v>40</c:v>
                </c:pt>
                <c:pt idx="11">
                  <c:v>40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35</c:v>
                </c:pt>
                <c:pt idx="19">
                  <c:v>50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50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40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35</c:v>
                </c:pt>
                <c:pt idx="51">
                  <c:v>20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40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45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40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40</c:v>
                </c:pt>
                <c:pt idx="72">
                  <c:v>#N/A</c:v>
                </c:pt>
                <c:pt idx="73">
                  <c:v>40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40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40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40</c:v>
                </c:pt>
                <c:pt idx="97">
                  <c:v>54</c:v>
                </c:pt>
                <c:pt idx="98">
                  <c:v>38</c:v>
                </c:pt>
                <c:pt idx="99">
                  <c:v>50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35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48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60</c:v>
                </c:pt>
                <c:pt idx="133">
                  <c:v>#N/A</c:v>
                </c:pt>
                <c:pt idx="134">
                  <c:v>50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40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40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43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40</c:v>
                </c:pt>
                <c:pt idx="166">
                  <c:v>#N/A</c:v>
                </c:pt>
                <c:pt idx="167">
                  <c:v>#N/A</c:v>
                </c:pt>
                <c:pt idx="168">
                  <c:v>60</c:v>
                </c:pt>
                <c:pt idx="169">
                  <c:v>50</c:v>
                </c:pt>
                <c:pt idx="170">
                  <c:v>#N/A</c:v>
                </c:pt>
                <c:pt idx="171">
                  <c:v>#N/A</c:v>
                </c:pt>
                <c:pt idx="172">
                  <c:v>40</c:v>
                </c:pt>
                <c:pt idx="173">
                  <c:v>#N/A</c:v>
                </c:pt>
                <c:pt idx="174">
                  <c:v>40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65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45</c:v>
                </c:pt>
                <c:pt idx="184">
                  <c:v>44</c:v>
                </c:pt>
                <c:pt idx="185">
                  <c:v>#N/A</c:v>
                </c:pt>
                <c:pt idx="186">
                  <c:v>#N/A</c:v>
                </c:pt>
                <c:pt idx="187">
                  <c:v>40</c:v>
                </c:pt>
                <c:pt idx="188">
                  <c:v>#N/A</c:v>
                </c:pt>
                <c:pt idx="189">
                  <c:v>40</c:v>
                </c:pt>
                <c:pt idx="190">
                  <c:v>#N/A</c:v>
                </c:pt>
                <c:pt idx="191">
                  <c:v>#N/A</c:v>
                </c:pt>
                <c:pt idx="192">
                  <c:v>40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50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60</c:v>
                </c:pt>
                <c:pt idx="209">
                  <c:v>#N/A</c:v>
                </c:pt>
                <c:pt idx="210">
                  <c:v>#N/A</c:v>
                </c:pt>
                <c:pt idx="211">
                  <c:v>49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20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40</c:v>
                </c:pt>
                <c:pt idx="227">
                  <c:v>40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50</c:v>
                </c:pt>
                <c:pt idx="235">
                  <c:v>12</c:v>
                </c:pt>
                <c:pt idx="236">
                  <c:v>40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40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50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40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50</c:v>
                </c:pt>
                <c:pt idx="263">
                  <c:v>#N/A</c:v>
                </c:pt>
                <c:pt idx="264">
                  <c:v>50</c:v>
                </c:pt>
                <c:pt idx="265">
                  <c:v>#N/A</c:v>
                </c:pt>
                <c:pt idx="266">
                  <c:v>40</c:v>
                </c:pt>
                <c:pt idx="267">
                  <c:v>#N/A</c:v>
                </c:pt>
                <c:pt idx="268">
                  <c:v>#N/A</c:v>
                </c:pt>
                <c:pt idx="269">
                  <c:v>40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40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50</c:v>
                </c:pt>
                <c:pt idx="284">
                  <c:v>#N/A</c:v>
                </c:pt>
                <c:pt idx="285">
                  <c:v>#N/A</c:v>
                </c:pt>
                <c:pt idx="286">
                  <c:v>40</c:v>
                </c:pt>
                <c:pt idx="287">
                  <c:v>#N/A</c:v>
                </c:pt>
                <c:pt idx="288">
                  <c:v>#N/A</c:v>
                </c:pt>
                <c:pt idx="289">
                  <c:v>40</c:v>
                </c:pt>
                <c:pt idx="290">
                  <c:v>#N/A</c:v>
                </c:pt>
                <c:pt idx="291">
                  <c:v>#N/A</c:v>
                </c:pt>
                <c:pt idx="292">
                  <c:v>40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40</c:v>
                </c:pt>
                <c:pt idx="298">
                  <c:v>60</c:v>
                </c:pt>
                <c:pt idx="299">
                  <c:v>#N/A</c:v>
                </c:pt>
                <c:pt idx="300">
                  <c:v>#N/A</c:v>
                </c:pt>
                <c:pt idx="301">
                  <c:v>40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40</c:v>
                </c:pt>
                <c:pt idx="308">
                  <c:v>#N/A</c:v>
                </c:pt>
                <c:pt idx="309">
                  <c:v>55</c:v>
                </c:pt>
                <c:pt idx="310">
                  <c:v>#N/A</c:v>
                </c:pt>
                <c:pt idx="311">
                  <c:v>#N/A</c:v>
                </c:pt>
                <c:pt idx="312">
                  <c:v>47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40</c:v>
                </c:pt>
                <c:pt idx="323">
                  <c:v>40</c:v>
                </c:pt>
                <c:pt idx="324">
                  <c:v>#N/A</c:v>
                </c:pt>
                <c:pt idx="325">
                  <c:v>50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40</c:v>
                </c:pt>
                <c:pt idx="336">
                  <c:v>38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50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42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45</c:v>
                </c:pt>
                <c:pt idx="351">
                  <c:v>65</c:v>
                </c:pt>
                <c:pt idx="352">
                  <c:v>#N/A</c:v>
                </c:pt>
                <c:pt idx="353">
                  <c:v>36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30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45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60</c:v>
                </c:pt>
                <c:pt idx="392">
                  <c:v>55</c:v>
                </c:pt>
                <c:pt idx="393">
                  <c:v>#N/A</c:v>
                </c:pt>
                <c:pt idx="394">
                  <c:v>40</c:v>
                </c:pt>
                <c:pt idx="395">
                  <c:v>40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48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40</c:v>
                </c:pt>
                <c:pt idx="410">
                  <c:v>#N/A</c:v>
                </c:pt>
                <c:pt idx="411">
                  <c:v>20</c:v>
                </c:pt>
                <c:pt idx="412">
                  <c:v>#N/A</c:v>
                </c:pt>
                <c:pt idx="413">
                  <c:v>#N/A</c:v>
                </c:pt>
                <c:pt idx="414">
                  <c:v>50</c:v>
                </c:pt>
                <c:pt idx="415">
                  <c:v>40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30</c:v>
                </c:pt>
                <c:pt idx="420">
                  <c:v>40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45</c:v>
                </c:pt>
                <c:pt idx="425">
                  <c:v>80</c:v>
                </c:pt>
                <c:pt idx="426">
                  <c:v>40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40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40</c:v>
                </c:pt>
                <c:pt idx="438">
                  <c:v>60</c:v>
                </c:pt>
                <c:pt idx="439">
                  <c:v>#N/A</c:v>
                </c:pt>
                <c:pt idx="440">
                  <c:v>#N/A</c:v>
                </c:pt>
                <c:pt idx="441">
                  <c:v>10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50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40</c:v>
                </c:pt>
                <c:pt idx="455">
                  <c:v>55</c:v>
                </c:pt>
                <c:pt idx="456">
                  <c:v>#N/A</c:v>
                </c:pt>
                <c:pt idx="457">
                  <c:v>40</c:v>
                </c:pt>
                <c:pt idx="458">
                  <c:v>37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40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40</c:v>
                </c:pt>
                <c:pt idx="475">
                  <c:v>#N/A</c:v>
                </c:pt>
                <c:pt idx="476">
                  <c:v>#N/A</c:v>
                </c:pt>
                <c:pt idx="477">
                  <c:v>40</c:v>
                </c:pt>
                <c:pt idx="478">
                  <c:v>65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60</c:v>
                </c:pt>
                <c:pt idx="488">
                  <c:v>50</c:v>
                </c:pt>
                <c:pt idx="489">
                  <c:v>#N/A</c:v>
                </c:pt>
                <c:pt idx="490">
                  <c:v>40</c:v>
                </c:pt>
                <c:pt idx="491">
                  <c:v>40</c:v>
                </c:pt>
                <c:pt idx="492">
                  <c:v>60</c:v>
                </c:pt>
                <c:pt idx="493">
                  <c:v>#N/A</c:v>
                </c:pt>
                <c:pt idx="494">
                  <c:v>45</c:v>
                </c:pt>
                <c:pt idx="495">
                  <c:v>50</c:v>
                </c:pt>
                <c:pt idx="496">
                  <c:v>48</c:v>
                </c:pt>
                <c:pt idx="497">
                  <c:v>#N/A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65</c:v>
                </c:pt>
                <c:pt idx="503">
                  <c:v>#N/A</c:v>
                </c:pt>
                <c:pt idx="504">
                  <c:v>70</c:v>
                </c:pt>
                <c:pt idx="505">
                  <c:v>#N/A</c:v>
                </c:pt>
                <c:pt idx="506">
                  <c:v>#N/A</c:v>
                </c:pt>
                <c:pt idx="507">
                  <c:v>60</c:v>
                </c:pt>
                <c:pt idx="508">
                  <c:v>45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75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44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40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50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84</c:v>
                </c:pt>
                <c:pt idx="536">
                  <c:v>40</c:v>
                </c:pt>
                <c:pt idx="537">
                  <c:v>#N/A</c:v>
                </c:pt>
                <c:pt idx="538">
                  <c:v>50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60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40</c:v>
                </c:pt>
                <c:pt idx="550">
                  <c:v>#N/A</c:v>
                </c:pt>
                <c:pt idx="551">
                  <c:v>40</c:v>
                </c:pt>
                <c:pt idx="552">
                  <c:v>#N/A</c:v>
                </c:pt>
                <c:pt idx="553">
                  <c:v>#N/A</c:v>
                </c:pt>
                <c:pt idx="554">
                  <c:v>50</c:v>
                </c:pt>
                <c:pt idx="555">
                  <c:v>55</c:v>
                </c:pt>
                <c:pt idx="556">
                  <c:v>#N/A</c:v>
                </c:pt>
                <c:pt idx="557">
                  <c:v>#N/A</c:v>
                </c:pt>
                <c:pt idx="558">
                  <c:v>56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40</c:v>
                </c:pt>
                <c:pt idx="575">
                  <c:v>60</c:v>
                </c:pt>
                <c:pt idx="576">
                  <c:v>#N/A</c:v>
                </c:pt>
                <c:pt idx="577">
                  <c:v>30</c:v>
                </c:pt>
                <c:pt idx="578">
                  <c:v>#N/A</c:v>
                </c:pt>
                <c:pt idx="579">
                  <c:v>#N/A</c:v>
                </c:pt>
                <c:pt idx="580">
                  <c:v>55</c:v>
                </c:pt>
                <c:pt idx="581">
                  <c:v>#N/A</c:v>
                </c:pt>
                <c:pt idx="582">
                  <c:v>#N/A</c:v>
                </c:pt>
                <c:pt idx="583">
                  <c:v>40</c:v>
                </c:pt>
                <c:pt idx="584">
                  <c:v>#N/A</c:v>
                </c:pt>
                <c:pt idx="585">
                  <c:v>32</c:v>
                </c:pt>
                <c:pt idx="586">
                  <c:v>38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40</c:v>
                </c:pt>
                <c:pt idx="595">
                  <c:v>40</c:v>
                </c:pt>
                <c:pt idx="596">
                  <c:v>#N/A</c:v>
                </c:pt>
                <c:pt idx="597">
                  <c:v>24</c:v>
                </c:pt>
                <c:pt idx="598">
                  <c:v>#N/A</c:v>
                </c:pt>
                <c:pt idx="599">
                  <c:v>#N/A</c:v>
                </c:pt>
                <c:pt idx="600">
                  <c:v>#N/A</c:v>
                </c:pt>
                <c:pt idx="601">
                  <c:v>#N/A</c:v>
                </c:pt>
                <c:pt idx="602">
                  <c:v>#N/A</c:v>
                </c:pt>
                <c:pt idx="603">
                  <c:v>#N/A</c:v>
                </c:pt>
                <c:pt idx="604">
                  <c:v>#N/A</c:v>
                </c:pt>
                <c:pt idx="605">
                  <c:v>#N/A</c:v>
                </c:pt>
                <c:pt idx="606">
                  <c:v>#N/A</c:v>
                </c:pt>
                <c:pt idx="607">
                  <c:v>#N/A</c:v>
                </c:pt>
                <c:pt idx="608">
                  <c:v>40</c:v>
                </c:pt>
                <c:pt idx="609">
                  <c:v>#N/A</c:v>
                </c:pt>
                <c:pt idx="610">
                  <c:v>#N/A</c:v>
                </c:pt>
                <c:pt idx="611">
                  <c:v>#N/A</c:v>
                </c:pt>
                <c:pt idx="612">
                  <c:v>60</c:v>
                </c:pt>
                <c:pt idx="613">
                  <c:v>#N/A</c:v>
                </c:pt>
                <c:pt idx="614">
                  <c:v>#N/A</c:v>
                </c:pt>
                <c:pt idx="615">
                  <c:v>#N/A</c:v>
                </c:pt>
                <c:pt idx="616">
                  <c:v>70</c:v>
                </c:pt>
                <c:pt idx="617">
                  <c:v>#N/A</c:v>
                </c:pt>
                <c:pt idx="618">
                  <c:v>45</c:v>
                </c:pt>
                <c:pt idx="619">
                  <c:v>#N/A</c:v>
                </c:pt>
                <c:pt idx="620">
                  <c:v>35</c:v>
                </c:pt>
                <c:pt idx="621">
                  <c:v>#N/A</c:v>
                </c:pt>
                <c:pt idx="622">
                  <c:v>#N/A</c:v>
                </c:pt>
                <c:pt idx="623">
                  <c:v>#N/A</c:v>
                </c:pt>
                <c:pt idx="624">
                  <c:v>#N/A</c:v>
                </c:pt>
                <c:pt idx="625">
                  <c:v>#N/A</c:v>
                </c:pt>
                <c:pt idx="626">
                  <c:v>40</c:v>
                </c:pt>
                <c:pt idx="627">
                  <c:v>40</c:v>
                </c:pt>
                <c:pt idx="628">
                  <c:v>#N/A</c:v>
                </c:pt>
                <c:pt idx="629">
                  <c:v>#N/A</c:v>
                </c:pt>
                <c:pt idx="630">
                  <c:v>#N/A</c:v>
                </c:pt>
                <c:pt idx="631">
                  <c:v>#N/A</c:v>
                </c:pt>
                <c:pt idx="632">
                  <c:v>#N/A</c:v>
                </c:pt>
                <c:pt idx="633">
                  <c:v>#N/A</c:v>
                </c:pt>
                <c:pt idx="634">
                  <c:v>#N/A</c:v>
                </c:pt>
                <c:pt idx="635">
                  <c:v>55</c:v>
                </c:pt>
                <c:pt idx="636">
                  <c:v>#N/A</c:v>
                </c:pt>
                <c:pt idx="637">
                  <c:v>48</c:v>
                </c:pt>
                <c:pt idx="638">
                  <c:v>#N/A</c:v>
                </c:pt>
                <c:pt idx="639">
                  <c:v>40</c:v>
                </c:pt>
                <c:pt idx="640">
                  <c:v>#N/A</c:v>
                </c:pt>
                <c:pt idx="641">
                  <c:v>60</c:v>
                </c:pt>
                <c:pt idx="642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064-4F8F-858B-7BB53A92F4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7623439"/>
        <c:axId val="1107626319"/>
      </c:scatterChart>
      <c:valAx>
        <c:axId val="1107623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Age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626319"/>
        <c:crosses val="autoZero"/>
        <c:crossBetween val="midCat"/>
      </c:valAx>
      <c:valAx>
        <c:axId val="110762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hours-per-week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6234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Age vs hours-per-week</a:t>
            </a:r>
            <a:r>
              <a:rPr lang="pl-PL" sz="1400" b="0" i="0" u="none" strike="noStrike" baseline="0"/>
              <a:t> vs </a:t>
            </a:r>
            <a:r>
              <a:rPr lang="en-US" sz="1400" b="0" i="0" u="none" strike="noStrike" baseline="0"/>
              <a:t>Income</a:t>
            </a:r>
            <a:endParaRPr lang="pl-PL" sz="1400" b="0" i="0" u="none" strike="noStrike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&lt;=50K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Scatter!$J$2:$J$644</c:f>
              <c:numCache>
                <c:formatCode>General</c:formatCode>
                <c:ptCount val="643"/>
                <c:pt idx="0">
                  <c:v>18</c:v>
                </c:pt>
                <c:pt idx="1">
                  <c:v>28</c:v>
                </c:pt>
                <c:pt idx="2">
                  <c:v>35</c:v>
                </c:pt>
                <c:pt idx="3">
                  <c:v>46</c:v>
                </c:pt>
                <c:pt idx="4">
                  <c:v>#N/A</c:v>
                </c:pt>
                <c:pt idx="5">
                  <c:v>34</c:v>
                </c:pt>
                <c:pt idx="6">
                  <c:v>44</c:v>
                </c:pt>
                <c:pt idx="7">
                  <c:v>28</c:v>
                </c:pt>
                <c:pt idx="8">
                  <c:v>34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21</c:v>
                </c:pt>
                <c:pt idx="13">
                  <c:v>36</c:v>
                </c:pt>
                <c:pt idx="14">
                  <c:v>31</c:v>
                </c:pt>
                <c:pt idx="15">
                  <c:v>55</c:v>
                </c:pt>
                <c:pt idx="16">
                  <c:v>45</c:v>
                </c:pt>
                <c:pt idx="17">
                  <c:v>23</c:v>
                </c:pt>
                <c:pt idx="18">
                  <c:v>#N/A</c:v>
                </c:pt>
                <c:pt idx="19">
                  <c:v>#N/A</c:v>
                </c:pt>
                <c:pt idx="20">
                  <c:v>43</c:v>
                </c:pt>
                <c:pt idx="21">
                  <c:v>31</c:v>
                </c:pt>
                <c:pt idx="22">
                  <c:v>28</c:v>
                </c:pt>
                <c:pt idx="23">
                  <c:v>29</c:v>
                </c:pt>
                <c:pt idx="24">
                  <c:v>17</c:v>
                </c:pt>
                <c:pt idx="25">
                  <c:v>17</c:v>
                </c:pt>
                <c:pt idx="26">
                  <c:v>66</c:v>
                </c:pt>
                <c:pt idx="27">
                  <c:v>69</c:v>
                </c:pt>
                <c:pt idx="28">
                  <c:v>27</c:v>
                </c:pt>
                <c:pt idx="29">
                  <c:v>26</c:v>
                </c:pt>
                <c:pt idx="30">
                  <c:v>#N/A</c:v>
                </c:pt>
                <c:pt idx="31">
                  <c:v>59</c:v>
                </c:pt>
                <c:pt idx="32">
                  <c:v>37</c:v>
                </c:pt>
                <c:pt idx="33">
                  <c:v>18</c:v>
                </c:pt>
                <c:pt idx="34">
                  <c:v>21</c:v>
                </c:pt>
                <c:pt idx="35">
                  <c:v>64</c:v>
                </c:pt>
                <c:pt idx="36">
                  <c:v>50</c:v>
                </c:pt>
                <c:pt idx="37">
                  <c:v>19</c:v>
                </c:pt>
                <c:pt idx="38">
                  <c:v>28</c:v>
                </c:pt>
                <c:pt idx="39">
                  <c:v>47</c:v>
                </c:pt>
                <c:pt idx="40">
                  <c:v>56</c:v>
                </c:pt>
                <c:pt idx="41">
                  <c:v>26</c:v>
                </c:pt>
                <c:pt idx="42">
                  <c:v>#N/A</c:v>
                </c:pt>
                <c:pt idx="43">
                  <c:v>20</c:v>
                </c:pt>
                <c:pt idx="44">
                  <c:v>25</c:v>
                </c:pt>
                <c:pt idx="45">
                  <c:v>46</c:v>
                </c:pt>
                <c:pt idx="46">
                  <c:v>22</c:v>
                </c:pt>
                <c:pt idx="47">
                  <c:v>37</c:v>
                </c:pt>
                <c:pt idx="48">
                  <c:v>22</c:v>
                </c:pt>
                <c:pt idx="49">
                  <c:v>27</c:v>
                </c:pt>
                <c:pt idx="50">
                  <c:v>#N/A</c:v>
                </c:pt>
                <c:pt idx="51">
                  <c:v>#N/A</c:v>
                </c:pt>
                <c:pt idx="52">
                  <c:v>53</c:v>
                </c:pt>
                <c:pt idx="53">
                  <c:v>24</c:v>
                </c:pt>
                <c:pt idx="54">
                  <c:v>24</c:v>
                </c:pt>
                <c:pt idx="55">
                  <c:v>21</c:v>
                </c:pt>
                <c:pt idx="56">
                  <c:v>#N/A</c:v>
                </c:pt>
                <c:pt idx="57">
                  <c:v>58</c:v>
                </c:pt>
                <c:pt idx="58">
                  <c:v>41</c:v>
                </c:pt>
                <c:pt idx="59">
                  <c:v>17</c:v>
                </c:pt>
                <c:pt idx="60">
                  <c:v>31</c:v>
                </c:pt>
                <c:pt idx="61">
                  <c:v>#N/A</c:v>
                </c:pt>
                <c:pt idx="62">
                  <c:v>42</c:v>
                </c:pt>
                <c:pt idx="63">
                  <c:v>26</c:v>
                </c:pt>
                <c:pt idx="64">
                  <c:v>33</c:v>
                </c:pt>
                <c:pt idx="65">
                  <c:v>40</c:v>
                </c:pt>
                <c:pt idx="66">
                  <c:v>#N/A</c:v>
                </c:pt>
                <c:pt idx="67">
                  <c:v>35</c:v>
                </c:pt>
                <c:pt idx="68">
                  <c:v>44</c:v>
                </c:pt>
                <c:pt idx="69">
                  <c:v>58</c:v>
                </c:pt>
                <c:pt idx="70">
                  <c:v>73</c:v>
                </c:pt>
                <c:pt idx="71">
                  <c:v>#N/A</c:v>
                </c:pt>
                <c:pt idx="72">
                  <c:v>23</c:v>
                </c:pt>
                <c:pt idx="73">
                  <c:v>#N/A</c:v>
                </c:pt>
                <c:pt idx="74">
                  <c:v>24</c:v>
                </c:pt>
                <c:pt idx="75">
                  <c:v>39</c:v>
                </c:pt>
                <c:pt idx="76">
                  <c:v>43</c:v>
                </c:pt>
                <c:pt idx="77">
                  <c:v>51</c:v>
                </c:pt>
                <c:pt idx="78">
                  <c:v>70</c:v>
                </c:pt>
                <c:pt idx="79">
                  <c:v>70</c:v>
                </c:pt>
                <c:pt idx="80">
                  <c:v>28</c:v>
                </c:pt>
                <c:pt idx="81">
                  <c:v>19</c:v>
                </c:pt>
                <c:pt idx="82">
                  <c:v>#N/A</c:v>
                </c:pt>
                <c:pt idx="83">
                  <c:v>47</c:v>
                </c:pt>
                <c:pt idx="84">
                  <c:v>28</c:v>
                </c:pt>
                <c:pt idx="85">
                  <c:v>41</c:v>
                </c:pt>
                <c:pt idx="86">
                  <c:v>31</c:v>
                </c:pt>
                <c:pt idx="87">
                  <c:v>#N/A</c:v>
                </c:pt>
                <c:pt idx="88">
                  <c:v>21</c:v>
                </c:pt>
                <c:pt idx="89">
                  <c:v>44</c:v>
                </c:pt>
                <c:pt idx="90">
                  <c:v>29</c:v>
                </c:pt>
                <c:pt idx="91">
                  <c:v>25</c:v>
                </c:pt>
                <c:pt idx="92">
                  <c:v>20</c:v>
                </c:pt>
                <c:pt idx="93">
                  <c:v>43</c:v>
                </c:pt>
                <c:pt idx="94">
                  <c:v>27</c:v>
                </c:pt>
                <c:pt idx="95">
                  <c:v>32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42</c:v>
                </c:pt>
                <c:pt idx="101">
                  <c:v>25</c:v>
                </c:pt>
                <c:pt idx="102">
                  <c:v>52</c:v>
                </c:pt>
                <c:pt idx="103">
                  <c:v>26</c:v>
                </c:pt>
                <c:pt idx="104">
                  <c:v>57</c:v>
                </c:pt>
                <c:pt idx="105">
                  <c:v>28</c:v>
                </c:pt>
                <c:pt idx="106">
                  <c:v>28</c:v>
                </c:pt>
                <c:pt idx="107">
                  <c:v>59</c:v>
                </c:pt>
                <c:pt idx="108">
                  <c:v>61</c:v>
                </c:pt>
                <c:pt idx="109">
                  <c:v>21</c:v>
                </c:pt>
                <c:pt idx="110">
                  <c:v>19</c:v>
                </c:pt>
                <c:pt idx="111">
                  <c:v>28</c:v>
                </c:pt>
                <c:pt idx="112">
                  <c:v>#N/A</c:v>
                </c:pt>
                <c:pt idx="113">
                  <c:v>64</c:v>
                </c:pt>
                <c:pt idx="114">
                  <c:v>28</c:v>
                </c:pt>
                <c:pt idx="115">
                  <c:v>42</c:v>
                </c:pt>
                <c:pt idx="116">
                  <c:v>35</c:v>
                </c:pt>
                <c:pt idx="117">
                  <c:v>23</c:v>
                </c:pt>
                <c:pt idx="118">
                  <c:v>63</c:v>
                </c:pt>
                <c:pt idx="119">
                  <c:v>#N/A</c:v>
                </c:pt>
                <c:pt idx="120">
                  <c:v>56</c:v>
                </c:pt>
                <c:pt idx="121">
                  <c:v>49</c:v>
                </c:pt>
                <c:pt idx="122">
                  <c:v>47</c:v>
                </c:pt>
                <c:pt idx="123">
                  <c:v>22</c:v>
                </c:pt>
                <c:pt idx="124">
                  <c:v>20</c:v>
                </c:pt>
                <c:pt idx="125">
                  <c:v>18</c:v>
                </c:pt>
                <c:pt idx="126">
                  <c:v>31</c:v>
                </c:pt>
                <c:pt idx="127">
                  <c:v>51</c:v>
                </c:pt>
                <c:pt idx="128">
                  <c:v>90</c:v>
                </c:pt>
                <c:pt idx="129">
                  <c:v>26</c:v>
                </c:pt>
                <c:pt idx="130">
                  <c:v>51</c:v>
                </c:pt>
                <c:pt idx="131">
                  <c:v>34</c:v>
                </c:pt>
                <c:pt idx="132">
                  <c:v>#N/A</c:v>
                </c:pt>
                <c:pt idx="133">
                  <c:v>64</c:v>
                </c:pt>
                <c:pt idx="134">
                  <c:v>#N/A</c:v>
                </c:pt>
                <c:pt idx="135">
                  <c:v>20</c:v>
                </c:pt>
                <c:pt idx="136">
                  <c:v>37</c:v>
                </c:pt>
                <c:pt idx="137">
                  <c:v>23</c:v>
                </c:pt>
                <c:pt idx="138">
                  <c:v>30</c:v>
                </c:pt>
                <c:pt idx="139">
                  <c:v>45</c:v>
                </c:pt>
                <c:pt idx="140">
                  <c:v>41</c:v>
                </c:pt>
                <c:pt idx="141">
                  <c:v>32</c:v>
                </c:pt>
                <c:pt idx="142">
                  <c:v>39</c:v>
                </c:pt>
                <c:pt idx="143">
                  <c:v>#N/A</c:v>
                </c:pt>
                <c:pt idx="144">
                  <c:v>46</c:v>
                </c:pt>
                <c:pt idx="145">
                  <c:v>34</c:v>
                </c:pt>
                <c:pt idx="146">
                  <c:v>54</c:v>
                </c:pt>
                <c:pt idx="147">
                  <c:v>64</c:v>
                </c:pt>
                <c:pt idx="148">
                  <c:v>36</c:v>
                </c:pt>
                <c:pt idx="149">
                  <c:v>38</c:v>
                </c:pt>
                <c:pt idx="150">
                  <c:v>62</c:v>
                </c:pt>
                <c:pt idx="151">
                  <c:v>56</c:v>
                </c:pt>
                <c:pt idx="152">
                  <c:v>26</c:v>
                </c:pt>
                <c:pt idx="153">
                  <c:v>#N/A</c:v>
                </c:pt>
                <c:pt idx="154">
                  <c:v>38</c:v>
                </c:pt>
                <c:pt idx="155">
                  <c:v>43</c:v>
                </c:pt>
                <c:pt idx="156">
                  <c:v>30</c:v>
                </c:pt>
                <c:pt idx="157">
                  <c:v>26</c:v>
                </c:pt>
                <c:pt idx="158">
                  <c:v>42</c:v>
                </c:pt>
                <c:pt idx="159">
                  <c:v>#N/A</c:v>
                </c:pt>
                <c:pt idx="160">
                  <c:v>29</c:v>
                </c:pt>
                <c:pt idx="161">
                  <c:v>23</c:v>
                </c:pt>
                <c:pt idx="162">
                  <c:v>31</c:v>
                </c:pt>
                <c:pt idx="163">
                  <c:v>40</c:v>
                </c:pt>
                <c:pt idx="164">
                  <c:v>50</c:v>
                </c:pt>
                <c:pt idx="165">
                  <c:v>#N/A</c:v>
                </c:pt>
                <c:pt idx="166">
                  <c:v>17</c:v>
                </c:pt>
                <c:pt idx="167">
                  <c:v>23</c:v>
                </c:pt>
                <c:pt idx="168">
                  <c:v>#N/A</c:v>
                </c:pt>
                <c:pt idx="169">
                  <c:v>#N/A</c:v>
                </c:pt>
                <c:pt idx="170">
                  <c:v>40</c:v>
                </c:pt>
                <c:pt idx="171">
                  <c:v>21</c:v>
                </c:pt>
                <c:pt idx="172">
                  <c:v>#N/A</c:v>
                </c:pt>
                <c:pt idx="173">
                  <c:v>39</c:v>
                </c:pt>
                <c:pt idx="174">
                  <c:v>#N/A</c:v>
                </c:pt>
                <c:pt idx="175">
                  <c:v>17</c:v>
                </c:pt>
                <c:pt idx="176">
                  <c:v>25</c:v>
                </c:pt>
                <c:pt idx="177">
                  <c:v>33</c:v>
                </c:pt>
                <c:pt idx="178">
                  <c:v>51</c:v>
                </c:pt>
                <c:pt idx="179">
                  <c:v>#N/A</c:v>
                </c:pt>
                <c:pt idx="180">
                  <c:v>36</c:v>
                </c:pt>
                <c:pt idx="181">
                  <c:v>52</c:v>
                </c:pt>
                <c:pt idx="182">
                  <c:v>43</c:v>
                </c:pt>
                <c:pt idx="183">
                  <c:v>#N/A</c:v>
                </c:pt>
                <c:pt idx="184">
                  <c:v>#N/A</c:v>
                </c:pt>
                <c:pt idx="185">
                  <c:v>55</c:v>
                </c:pt>
                <c:pt idx="186">
                  <c:v>37</c:v>
                </c:pt>
                <c:pt idx="187">
                  <c:v>#N/A</c:v>
                </c:pt>
                <c:pt idx="188">
                  <c:v>27</c:v>
                </c:pt>
                <c:pt idx="189">
                  <c:v>#N/A</c:v>
                </c:pt>
                <c:pt idx="190">
                  <c:v>34</c:v>
                </c:pt>
                <c:pt idx="191">
                  <c:v>20</c:v>
                </c:pt>
                <c:pt idx="192">
                  <c:v>#N/A</c:v>
                </c:pt>
                <c:pt idx="193">
                  <c:v>38</c:v>
                </c:pt>
                <c:pt idx="194">
                  <c:v>39</c:v>
                </c:pt>
                <c:pt idx="195">
                  <c:v>36</c:v>
                </c:pt>
                <c:pt idx="196">
                  <c:v>64</c:v>
                </c:pt>
                <c:pt idx="197">
                  <c:v>18</c:v>
                </c:pt>
                <c:pt idx="198">
                  <c:v>46</c:v>
                </c:pt>
                <c:pt idx="199">
                  <c:v>18</c:v>
                </c:pt>
                <c:pt idx="200">
                  <c:v>63</c:v>
                </c:pt>
                <c:pt idx="201">
                  <c:v>56</c:v>
                </c:pt>
                <c:pt idx="202">
                  <c:v>#N/A</c:v>
                </c:pt>
                <c:pt idx="203">
                  <c:v>37</c:v>
                </c:pt>
                <c:pt idx="204">
                  <c:v>21</c:v>
                </c:pt>
                <c:pt idx="205">
                  <c:v>23</c:v>
                </c:pt>
                <c:pt idx="206">
                  <c:v>30</c:v>
                </c:pt>
                <c:pt idx="207">
                  <c:v>42</c:v>
                </c:pt>
                <c:pt idx="208">
                  <c:v>#N/A</c:v>
                </c:pt>
                <c:pt idx="209">
                  <c:v>56</c:v>
                </c:pt>
                <c:pt idx="210">
                  <c:v>25</c:v>
                </c:pt>
                <c:pt idx="211">
                  <c:v>#N/A</c:v>
                </c:pt>
                <c:pt idx="212">
                  <c:v>18</c:v>
                </c:pt>
                <c:pt idx="213">
                  <c:v>74</c:v>
                </c:pt>
                <c:pt idx="214">
                  <c:v>32</c:v>
                </c:pt>
                <c:pt idx="215">
                  <c:v>20</c:v>
                </c:pt>
                <c:pt idx="216">
                  <c:v>23</c:v>
                </c:pt>
                <c:pt idx="217">
                  <c:v>57</c:v>
                </c:pt>
                <c:pt idx="218">
                  <c:v>47</c:v>
                </c:pt>
                <c:pt idx="219">
                  <c:v>#N/A</c:v>
                </c:pt>
                <c:pt idx="220">
                  <c:v>26</c:v>
                </c:pt>
                <c:pt idx="221">
                  <c:v>47</c:v>
                </c:pt>
                <c:pt idx="222">
                  <c:v>24</c:v>
                </c:pt>
                <c:pt idx="223">
                  <c:v>28</c:v>
                </c:pt>
                <c:pt idx="224">
                  <c:v>23</c:v>
                </c:pt>
                <c:pt idx="225">
                  <c:v>40</c:v>
                </c:pt>
                <c:pt idx="226">
                  <c:v>#N/A</c:v>
                </c:pt>
                <c:pt idx="227">
                  <c:v>#N/A</c:v>
                </c:pt>
                <c:pt idx="228">
                  <c:v>43</c:v>
                </c:pt>
                <c:pt idx="229">
                  <c:v>42</c:v>
                </c:pt>
                <c:pt idx="230">
                  <c:v>67</c:v>
                </c:pt>
                <c:pt idx="231">
                  <c:v>25</c:v>
                </c:pt>
                <c:pt idx="232">
                  <c:v>30</c:v>
                </c:pt>
                <c:pt idx="233">
                  <c:v>37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58</c:v>
                </c:pt>
                <c:pt idx="238">
                  <c:v>35</c:v>
                </c:pt>
                <c:pt idx="239">
                  <c:v>49</c:v>
                </c:pt>
                <c:pt idx="240">
                  <c:v>90</c:v>
                </c:pt>
                <c:pt idx="241">
                  <c:v>#N/A</c:v>
                </c:pt>
                <c:pt idx="242">
                  <c:v>18</c:v>
                </c:pt>
                <c:pt idx="243">
                  <c:v>25</c:v>
                </c:pt>
                <c:pt idx="244">
                  <c:v>31</c:v>
                </c:pt>
                <c:pt idx="245">
                  <c:v>22</c:v>
                </c:pt>
                <c:pt idx="246">
                  <c:v>25</c:v>
                </c:pt>
                <c:pt idx="247">
                  <c:v>#N/A</c:v>
                </c:pt>
                <c:pt idx="248">
                  <c:v>26</c:v>
                </c:pt>
                <c:pt idx="249">
                  <c:v>37</c:v>
                </c:pt>
                <c:pt idx="250">
                  <c:v>27</c:v>
                </c:pt>
                <c:pt idx="251">
                  <c:v>18</c:v>
                </c:pt>
                <c:pt idx="252">
                  <c:v>24</c:v>
                </c:pt>
                <c:pt idx="253">
                  <c:v>47</c:v>
                </c:pt>
                <c:pt idx="254">
                  <c:v>48</c:v>
                </c:pt>
                <c:pt idx="255">
                  <c:v>39</c:v>
                </c:pt>
                <c:pt idx="256">
                  <c:v>26</c:v>
                </c:pt>
                <c:pt idx="257">
                  <c:v>#N/A</c:v>
                </c:pt>
                <c:pt idx="258">
                  <c:v>32</c:v>
                </c:pt>
                <c:pt idx="259">
                  <c:v>38</c:v>
                </c:pt>
                <c:pt idx="260">
                  <c:v>41</c:v>
                </c:pt>
                <c:pt idx="261">
                  <c:v>27</c:v>
                </c:pt>
                <c:pt idx="262">
                  <c:v>#N/A</c:v>
                </c:pt>
                <c:pt idx="263">
                  <c:v>28</c:v>
                </c:pt>
                <c:pt idx="264">
                  <c:v>#N/A</c:v>
                </c:pt>
                <c:pt idx="265">
                  <c:v>71</c:v>
                </c:pt>
                <c:pt idx="266">
                  <c:v>#N/A</c:v>
                </c:pt>
                <c:pt idx="267">
                  <c:v>33</c:v>
                </c:pt>
                <c:pt idx="268">
                  <c:v>50</c:v>
                </c:pt>
                <c:pt idx="269">
                  <c:v>#N/A</c:v>
                </c:pt>
                <c:pt idx="270">
                  <c:v>41</c:v>
                </c:pt>
                <c:pt idx="271">
                  <c:v>25</c:v>
                </c:pt>
                <c:pt idx="272">
                  <c:v>31</c:v>
                </c:pt>
                <c:pt idx="273">
                  <c:v>#N/A</c:v>
                </c:pt>
                <c:pt idx="274">
                  <c:v>21</c:v>
                </c:pt>
                <c:pt idx="275">
                  <c:v>64</c:v>
                </c:pt>
                <c:pt idx="276">
                  <c:v>39</c:v>
                </c:pt>
                <c:pt idx="277">
                  <c:v>26</c:v>
                </c:pt>
                <c:pt idx="278">
                  <c:v>22</c:v>
                </c:pt>
                <c:pt idx="279">
                  <c:v>30</c:v>
                </c:pt>
                <c:pt idx="280">
                  <c:v>30</c:v>
                </c:pt>
                <c:pt idx="281">
                  <c:v>49</c:v>
                </c:pt>
                <c:pt idx="282">
                  <c:v>22</c:v>
                </c:pt>
                <c:pt idx="283">
                  <c:v>#N/A</c:v>
                </c:pt>
                <c:pt idx="284">
                  <c:v>55</c:v>
                </c:pt>
                <c:pt idx="285">
                  <c:v>41</c:v>
                </c:pt>
                <c:pt idx="286">
                  <c:v>#N/A</c:v>
                </c:pt>
                <c:pt idx="287">
                  <c:v>38</c:v>
                </c:pt>
                <c:pt idx="288">
                  <c:v>75</c:v>
                </c:pt>
                <c:pt idx="289">
                  <c:v>#N/A</c:v>
                </c:pt>
                <c:pt idx="290">
                  <c:v>43</c:v>
                </c:pt>
                <c:pt idx="291">
                  <c:v>20</c:v>
                </c:pt>
                <c:pt idx="292">
                  <c:v>#N/A</c:v>
                </c:pt>
                <c:pt idx="293">
                  <c:v>31</c:v>
                </c:pt>
                <c:pt idx="294">
                  <c:v>45</c:v>
                </c:pt>
                <c:pt idx="295">
                  <c:v>23</c:v>
                </c:pt>
                <c:pt idx="296">
                  <c:v>34</c:v>
                </c:pt>
                <c:pt idx="297">
                  <c:v>#N/A</c:v>
                </c:pt>
                <c:pt idx="298">
                  <c:v>#N/A</c:v>
                </c:pt>
                <c:pt idx="299">
                  <c:v>63</c:v>
                </c:pt>
                <c:pt idx="300">
                  <c:v>44</c:v>
                </c:pt>
                <c:pt idx="301">
                  <c:v>#N/A</c:v>
                </c:pt>
                <c:pt idx="302">
                  <c:v>30</c:v>
                </c:pt>
                <c:pt idx="303">
                  <c:v>47</c:v>
                </c:pt>
                <c:pt idx="304">
                  <c:v>34</c:v>
                </c:pt>
                <c:pt idx="305">
                  <c:v>38</c:v>
                </c:pt>
                <c:pt idx="306">
                  <c:v>31</c:v>
                </c:pt>
                <c:pt idx="307">
                  <c:v>#N/A</c:v>
                </c:pt>
                <c:pt idx="308">
                  <c:v>22</c:v>
                </c:pt>
                <c:pt idx="309">
                  <c:v>#N/A</c:v>
                </c:pt>
                <c:pt idx="310">
                  <c:v>90</c:v>
                </c:pt>
                <c:pt idx="311">
                  <c:v>39</c:v>
                </c:pt>
                <c:pt idx="312">
                  <c:v>#N/A</c:v>
                </c:pt>
                <c:pt idx="313">
                  <c:v>51</c:v>
                </c:pt>
                <c:pt idx="314">
                  <c:v>42</c:v>
                </c:pt>
                <c:pt idx="315">
                  <c:v>36</c:v>
                </c:pt>
                <c:pt idx="316">
                  <c:v>57</c:v>
                </c:pt>
                <c:pt idx="317">
                  <c:v>71</c:v>
                </c:pt>
                <c:pt idx="318">
                  <c:v>53</c:v>
                </c:pt>
                <c:pt idx="319">
                  <c:v>23</c:v>
                </c:pt>
                <c:pt idx="320">
                  <c:v>45</c:v>
                </c:pt>
                <c:pt idx="321">
                  <c:v>19</c:v>
                </c:pt>
                <c:pt idx="322">
                  <c:v>#N/A</c:v>
                </c:pt>
                <c:pt idx="323">
                  <c:v>#N/A</c:v>
                </c:pt>
                <c:pt idx="324">
                  <c:v>32</c:v>
                </c:pt>
                <c:pt idx="325">
                  <c:v>#N/A</c:v>
                </c:pt>
                <c:pt idx="326">
                  <c:v>23</c:v>
                </c:pt>
                <c:pt idx="327">
                  <c:v>32</c:v>
                </c:pt>
                <c:pt idx="328">
                  <c:v>35</c:v>
                </c:pt>
                <c:pt idx="329">
                  <c:v>30</c:v>
                </c:pt>
                <c:pt idx="330">
                  <c:v>59</c:v>
                </c:pt>
                <c:pt idx="331">
                  <c:v>37</c:v>
                </c:pt>
                <c:pt idx="332">
                  <c:v>36</c:v>
                </c:pt>
                <c:pt idx="333">
                  <c:v>34</c:v>
                </c:pt>
                <c:pt idx="334">
                  <c:v>25</c:v>
                </c:pt>
                <c:pt idx="335">
                  <c:v>#N/A</c:v>
                </c:pt>
                <c:pt idx="336">
                  <c:v>#N/A</c:v>
                </c:pt>
                <c:pt idx="337">
                  <c:v>58</c:v>
                </c:pt>
                <c:pt idx="338">
                  <c:v>23</c:v>
                </c:pt>
                <c:pt idx="339">
                  <c:v>25</c:v>
                </c:pt>
                <c:pt idx="340">
                  <c:v>28</c:v>
                </c:pt>
                <c:pt idx="341">
                  <c:v>#N/A</c:v>
                </c:pt>
                <c:pt idx="342">
                  <c:v>44</c:v>
                </c:pt>
                <c:pt idx="343">
                  <c:v>22</c:v>
                </c:pt>
                <c:pt idx="344">
                  <c:v>25</c:v>
                </c:pt>
                <c:pt idx="345">
                  <c:v>52</c:v>
                </c:pt>
                <c:pt idx="346">
                  <c:v>#N/A</c:v>
                </c:pt>
                <c:pt idx="347">
                  <c:v>41</c:v>
                </c:pt>
                <c:pt idx="348">
                  <c:v>18</c:v>
                </c:pt>
                <c:pt idx="349">
                  <c:v>37</c:v>
                </c:pt>
                <c:pt idx="350">
                  <c:v>#N/A</c:v>
                </c:pt>
                <c:pt idx="351">
                  <c:v>#N/A</c:v>
                </c:pt>
                <c:pt idx="352">
                  <c:v>40</c:v>
                </c:pt>
                <c:pt idx="353">
                  <c:v>#N/A</c:v>
                </c:pt>
                <c:pt idx="354">
                  <c:v>48</c:v>
                </c:pt>
                <c:pt idx="355">
                  <c:v>38</c:v>
                </c:pt>
                <c:pt idx="356">
                  <c:v>35</c:v>
                </c:pt>
                <c:pt idx="357">
                  <c:v>22</c:v>
                </c:pt>
                <c:pt idx="358">
                  <c:v>35</c:v>
                </c:pt>
                <c:pt idx="359">
                  <c:v>28</c:v>
                </c:pt>
                <c:pt idx="360">
                  <c:v>#N/A</c:v>
                </c:pt>
                <c:pt idx="361">
                  <c:v>39</c:v>
                </c:pt>
                <c:pt idx="362">
                  <c:v>18</c:v>
                </c:pt>
                <c:pt idx="363">
                  <c:v>57</c:v>
                </c:pt>
                <c:pt idx="364">
                  <c:v>37</c:v>
                </c:pt>
                <c:pt idx="365">
                  <c:v>33</c:v>
                </c:pt>
                <c:pt idx="366">
                  <c:v>17</c:v>
                </c:pt>
                <c:pt idx="367">
                  <c:v>64</c:v>
                </c:pt>
                <c:pt idx="368">
                  <c:v>33</c:v>
                </c:pt>
                <c:pt idx="369">
                  <c:v>20</c:v>
                </c:pt>
                <c:pt idx="370">
                  <c:v>44</c:v>
                </c:pt>
                <c:pt idx="371">
                  <c:v>42</c:v>
                </c:pt>
                <c:pt idx="372">
                  <c:v>28</c:v>
                </c:pt>
                <c:pt idx="373">
                  <c:v>39</c:v>
                </c:pt>
                <c:pt idx="374">
                  <c:v>32</c:v>
                </c:pt>
                <c:pt idx="375">
                  <c:v>22</c:v>
                </c:pt>
                <c:pt idx="376">
                  <c:v>#N/A</c:v>
                </c:pt>
                <c:pt idx="377">
                  <c:v>44</c:v>
                </c:pt>
                <c:pt idx="378">
                  <c:v>62</c:v>
                </c:pt>
                <c:pt idx="379">
                  <c:v>29</c:v>
                </c:pt>
                <c:pt idx="380">
                  <c:v>31</c:v>
                </c:pt>
                <c:pt idx="381">
                  <c:v>33</c:v>
                </c:pt>
                <c:pt idx="382">
                  <c:v>33</c:v>
                </c:pt>
                <c:pt idx="383">
                  <c:v>21</c:v>
                </c:pt>
                <c:pt idx="384">
                  <c:v>44</c:v>
                </c:pt>
                <c:pt idx="385">
                  <c:v>37</c:v>
                </c:pt>
                <c:pt idx="386">
                  <c:v>19</c:v>
                </c:pt>
                <c:pt idx="387">
                  <c:v>32</c:v>
                </c:pt>
                <c:pt idx="388">
                  <c:v>58</c:v>
                </c:pt>
                <c:pt idx="389">
                  <c:v>44</c:v>
                </c:pt>
                <c:pt idx="390">
                  <c:v>25</c:v>
                </c:pt>
                <c:pt idx="391">
                  <c:v>#N/A</c:v>
                </c:pt>
                <c:pt idx="392">
                  <c:v>#N/A</c:v>
                </c:pt>
                <c:pt idx="393">
                  <c:v>38</c:v>
                </c:pt>
                <c:pt idx="394">
                  <c:v>#N/A</c:v>
                </c:pt>
                <c:pt idx="395">
                  <c:v>#N/A</c:v>
                </c:pt>
                <c:pt idx="396">
                  <c:v>28</c:v>
                </c:pt>
                <c:pt idx="397">
                  <c:v>41</c:v>
                </c:pt>
                <c:pt idx="398">
                  <c:v>23</c:v>
                </c:pt>
                <c:pt idx="399">
                  <c:v>37</c:v>
                </c:pt>
                <c:pt idx="400">
                  <c:v>34</c:v>
                </c:pt>
                <c:pt idx="401">
                  <c:v>46</c:v>
                </c:pt>
                <c:pt idx="402">
                  <c:v>#N/A</c:v>
                </c:pt>
                <c:pt idx="403">
                  <c:v>30</c:v>
                </c:pt>
                <c:pt idx="404">
                  <c:v>27</c:v>
                </c:pt>
                <c:pt idx="405">
                  <c:v>29</c:v>
                </c:pt>
                <c:pt idx="406">
                  <c:v>25</c:v>
                </c:pt>
                <c:pt idx="407">
                  <c:v>23</c:v>
                </c:pt>
                <c:pt idx="408">
                  <c:v>27</c:v>
                </c:pt>
                <c:pt idx="409">
                  <c:v>#N/A</c:v>
                </c:pt>
                <c:pt idx="410">
                  <c:v>41</c:v>
                </c:pt>
                <c:pt idx="411">
                  <c:v>#N/A</c:v>
                </c:pt>
                <c:pt idx="412">
                  <c:v>34</c:v>
                </c:pt>
                <c:pt idx="413">
                  <c:v>23</c:v>
                </c:pt>
                <c:pt idx="414">
                  <c:v>#N/A</c:v>
                </c:pt>
                <c:pt idx="415">
                  <c:v>#N/A</c:v>
                </c:pt>
                <c:pt idx="416">
                  <c:v>21</c:v>
                </c:pt>
                <c:pt idx="417">
                  <c:v>59</c:v>
                </c:pt>
                <c:pt idx="418">
                  <c:v>27</c:v>
                </c:pt>
                <c:pt idx="419">
                  <c:v>#N/A</c:v>
                </c:pt>
                <c:pt idx="420">
                  <c:v>#N/A</c:v>
                </c:pt>
                <c:pt idx="421">
                  <c:v>49</c:v>
                </c:pt>
                <c:pt idx="422">
                  <c:v>57</c:v>
                </c:pt>
                <c:pt idx="423">
                  <c:v>55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42</c:v>
                </c:pt>
                <c:pt idx="428">
                  <c:v>41</c:v>
                </c:pt>
                <c:pt idx="429">
                  <c:v>43</c:v>
                </c:pt>
                <c:pt idx="430">
                  <c:v>26</c:v>
                </c:pt>
                <c:pt idx="431">
                  <c:v>27</c:v>
                </c:pt>
                <c:pt idx="432">
                  <c:v>#N/A</c:v>
                </c:pt>
                <c:pt idx="433">
                  <c:v>19</c:v>
                </c:pt>
                <c:pt idx="434">
                  <c:v>43</c:v>
                </c:pt>
                <c:pt idx="435">
                  <c:v>33</c:v>
                </c:pt>
                <c:pt idx="436">
                  <c:v>18</c:v>
                </c:pt>
                <c:pt idx="437">
                  <c:v>#N/A</c:v>
                </c:pt>
                <c:pt idx="438">
                  <c:v>#N/A</c:v>
                </c:pt>
                <c:pt idx="439">
                  <c:v>47</c:v>
                </c:pt>
                <c:pt idx="440">
                  <c:v>34</c:v>
                </c:pt>
                <c:pt idx="441">
                  <c:v>#N/A</c:v>
                </c:pt>
                <c:pt idx="442">
                  <c:v>23</c:v>
                </c:pt>
                <c:pt idx="443">
                  <c:v>25</c:v>
                </c:pt>
                <c:pt idx="444">
                  <c:v>36</c:v>
                </c:pt>
                <c:pt idx="445">
                  <c:v>25</c:v>
                </c:pt>
                <c:pt idx="446">
                  <c:v>25</c:v>
                </c:pt>
                <c:pt idx="447">
                  <c:v>#N/A</c:v>
                </c:pt>
                <c:pt idx="448">
                  <c:v>37</c:v>
                </c:pt>
                <c:pt idx="449">
                  <c:v>54</c:v>
                </c:pt>
                <c:pt idx="450">
                  <c:v>40</c:v>
                </c:pt>
                <c:pt idx="451">
                  <c:v>21</c:v>
                </c:pt>
                <c:pt idx="452">
                  <c:v>76</c:v>
                </c:pt>
                <c:pt idx="453">
                  <c:v>28</c:v>
                </c:pt>
                <c:pt idx="454">
                  <c:v>#N/A</c:v>
                </c:pt>
                <c:pt idx="455">
                  <c:v>#N/A</c:v>
                </c:pt>
                <c:pt idx="456">
                  <c:v>19</c:v>
                </c:pt>
                <c:pt idx="457">
                  <c:v>#N/A</c:v>
                </c:pt>
                <c:pt idx="458">
                  <c:v>#N/A</c:v>
                </c:pt>
                <c:pt idx="459">
                  <c:v>33</c:v>
                </c:pt>
                <c:pt idx="460">
                  <c:v>45</c:v>
                </c:pt>
                <c:pt idx="461">
                  <c:v>46</c:v>
                </c:pt>
                <c:pt idx="462">
                  <c:v>23</c:v>
                </c:pt>
                <c:pt idx="463">
                  <c:v>#N/A</c:v>
                </c:pt>
                <c:pt idx="464">
                  <c:v>56</c:v>
                </c:pt>
                <c:pt idx="465">
                  <c:v>44</c:v>
                </c:pt>
                <c:pt idx="466">
                  <c:v>47</c:v>
                </c:pt>
                <c:pt idx="467">
                  <c:v>55</c:v>
                </c:pt>
                <c:pt idx="468">
                  <c:v>32</c:v>
                </c:pt>
                <c:pt idx="469">
                  <c:v>26</c:v>
                </c:pt>
                <c:pt idx="470">
                  <c:v>25</c:v>
                </c:pt>
                <c:pt idx="471">
                  <c:v>18</c:v>
                </c:pt>
                <c:pt idx="472">
                  <c:v>60</c:v>
                </c:pt>
                <c:pt idx="473">
                  <c:v>25</c:v>
                </c:pt>
                <c:pt idx="474">
                  <c:v>#N/A</c:v>
                </c:pt>
                <c:pt idx="475">
                  <c:v>17</c:v>
                </c:pt>
                <c:pt idx="476">
                  <c:v>40</c:v>
                </c:pt>
                <c:pt idx="477">
                  <c:v>#N/A</c:v>
                </c:pt>
                <c:pt idx="478">
                  <c:v>#N/A</c:v>
                </c:pt>
                <c:pt idx="479">
                  <c:v>23</c:v>
                </c:pt>
                <c:pt idx="480">
                  <c:v>48</c:v>
                </c:pt>
                <c:pt idx="481">
                  <c:v>50</c:v>
                </c:pt>
                <c:pt idx="482">
                  <c:v>18</c:v>
                </c:pt>
                <c:pt idx="483">
                  <c:v>31</c:v>
                </c:pt>
                <c:pt idx="484">
                  <c:v>24</c:v>
                </c:pt>
                <c:pt idx="485">
                  <c:v>38</c:v>
                </c:pt>
                <c:pt idx="486">
                  <c:v>20</c:v>
                </c:pt>
                <c:pt idx="487">
                  <c:v>#N/A</c:v>
                </c:pt>
                <c:pt idx="488">
                  <c:v>#N/A</c:v>
                </c:pt>
                <c:pt idx="489">
                  <c:v>63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34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25</c:v>
                </c:pt>
                <c:pt idx="498">
                  <c:v>27</c:v>
                </c:pt>
                <c:pt idx="499">
                  <c:v>22</c:v>
                </c:pt>
                <c:pt idx="500">
                  <c:v>40</c:v>
                </c:pt>
                <c:pt idx="501">
                  <c:v>29</c:v>
                </c:pt>
                <c:pt idx="502">
                  <c:v>#N/A</c:v>
                </c:pt>
                <c:pt idx="503">
                  <c:v>19</c:v>
                </c:pt>
                <c:pt idx="504">
                  <c:v>#N/A</c:v>
                </c:pt>
                <c:pt idx="505">
                  <c:v>62</c:v>
                </c:pt>
                <c:pt idx="506">
                  <c:v>38</c:v>
                </c:pt>
                <c:pt idx="507">
                  <c:v>#N/A</c:v>
                </c:pt>
                <c:pt idx="508">
                  <c:v>#N/A</c:v>
                </c:pt>
                <c:pt idx="509">
                  <c:v>36</c:v>
                </c:pt>
                <c:pt idx="510">
                  <c:v>18</c:v>
                </c:pt>
                <c:pt idx="511">
                  <c:v>20</c:v>
                </c:pt>
                <c:pt idx="512">
                  <c:v>45</c:v>
                </c:pt>
                <c:pt idx="513">
                  <c:v>63</c:v>
                </c:pt>
                <c:pt idx="514">
                  <c:v>55</c:v>
                </c:pt>
                <c:pt idx="515">
                  <c:v>#N/A</c:v>
                </c:pt>
                <c:pt idx="516">
                  <c:v>33</c:v>
                </c:pt>
                <c:pt idx="517">
                  <c:v>27</c:v>
                </c:pt>
                <c:pt idx="518">
                  <c:v>47</c:v>
                </c:pt>
                <c:pt idx="519">
                  <c:v>40</c:v>
                </c:pt>
                <c:pt idx="520">
                  <c:v>#N/A</c:v>
                </c:pt>
                <c:pt idx="521">
                  <c:v>19</c:v>
                </c:pt>
                <c:pt idx="522">
                  <c:v>29</c:v>
                </c:pt>
                <c:pt idx="523">
                  <c:v>61</c:v>
                </c:pt>
                <c:pt idx="524">
                  <c:v>#N/A</c:v>
                </c:pt>
                <c:pt idx="525">
                  <c:v>19</c:v>
                </c:pt>
                <c:pt idx="526">
                  <c:v>40</c:v>
                </c:pt>
                <c:pt idx="527">
                  <c:v>62</c:v>
                </c:pt>
                <c:pt idx="528">
                  <c:v>42</c:v>
                </c:pt>
                <c:pt idx="529">
                  <c:v>30</c:v>
                </c:pt>
                <c:pt idx="530">
                  <c:v>#N/A</c:v>
                </c:pt>
                <c:pt idx="531">
                  <c:v>41</c:v>
                </c:pt>
                <c:pt idx="532">
                  <c:v>28</c:v>
                </c:pt>
                <c:pt idx="533">
                  <c:v>26</c:v>
                </c:pt>
                <c:pt idx="534">
                  <c:v>23</c:v>
                </c:pt>
                <c:pt idx="535">
                  <c:v>#N/A</c:v>
                </c:pt>
                <c:pt idx="536">
                  <c:v>#N/A</c:v>
                </c:pt>
                <c:pt idx="537">
                  <c:v>76</c:v>
                </c:pt>
                <c:pt idx="538">
                  <c:v>#N/A</c:v>
                </c:pt>
                <c:pt idx="539">
                  <c:v>33</c:v>
                </c:pt>
                <c:pt idx="540">
                  <c:v>35</c:v>
                </c:pt>
                <c:pt idx="541">
                  <c:v>23</c:v>
                </c:pt>
                <c:pt idx="542">
                  <c:v>36</c:v>
                </c:pt>
                <c:pt idx="543">
                  <c:v>33</c:v>
                </c:pt>
                <c:pt idx="544">
                  <c:v>#N/A</c:v>
                </c:pt>
                <c:pt idx="545">
                  <c:v>51</c:v>
                </c:pt>
                <c:pt idx="546">
                  <c:v>27</c:v>
                </c:pt>
                <c:pt idx="547">
                  <c:v>47</c:v>
                </c:pt>
                <c:pt idx="548">
                  <c:v>26</c:v>
                </c:pt>
                <c:pt idx="549">
                  <c:v>#N/A</c:v>
                </c:pt>
                <c:pt idx="550">
                  <c:v>25</c:v>
                </c:pt>
                <c:pt idx="551">
                  <c:v>#N/A</c:v>
                </c:pt>
                <c:pt idx="552">
                  <c:v>59</c:v>
                </c:pt>
                <c:pt idx="553">
                  <c:v>45</c:v>
                </c:pt>
                <c:pt idx="554">
                  <c:v>#N/A</c:v>
                </c:pt>
                <c:pt idx="555">
                  <c:v>#N/A</c:v>
                </c:pt>
                <c:pt idx="556">
                  <c:v>49</c:v>
                </c:pt>
                <c:pt idx="557">
                  <c:v>61</c:v>
                </c:pt>
                <c:pt idx="558">
                  <c:v>#N/A</c:v>
                </c:pt>
                <c:pt idx="559">
                  <c:v>30</c:v>
                </c:pt>
                <c:pt idx="560">
                  <c:v>22</c:v>
                </c:pt>
                <c:pt idx="561">
                  <c:v>41</c:v>
                </c:pt>
                <c:pt idx="562">
                  <c:v>60</c:v>
                </c:pt>
                <c:pt idx="563">
                  <c:v>28</c:v>
                </c:pt>
                <c:pt idx="564">
                  <c:v>66</c:v>
                </c:pt>
                <c:pt idx="565">
                  <c:v>51</c:v>
                </c:pt>
                <c:pt idx="566">
                  <c:v>46</c:v>
                </c:pt>
                <c:pt idx="567">
                  <c:v>29</c:v>
                </c:pt>
                <c:pt idx="568">
                  <c:v>32</c:v>
                </c:pt>
                <c:pt idx="569">
                  <c:v>25</c:v>
                </c:pt>
                <c:pt idx="570">
                  <c:v>27</c:v>
                </c:pt>
                <c:pt idx="571">
                  <c:v>24</c:v>
                </c:pt>
                <c:pt idx="572">
                  <c:v>51</c:v>
                </c:pt>
                <c:pt idx="573">
                  <c:v>22</c:v>
                </c:pt>
                <c:pt idx="574">
                  <c:v>#N/A</c:v>
                </c:pt>
                <c:pt idx="575">
                  <c:v>#N/A</c:v>
                </c:pt>
                <c:pt idx="576">
                  <c:v>49</c:v>
                </c:pt>
                <c:pt idx="577">
                  <c:v>#N/A</c:v>
                </c:pt>
                <c:pt idx="578">
                  <c:v>47</c:v>
                </c:pt>
                <c:pt idx="579">
                  <c:v>80</c:v>
                </c:pt>
                <c:pt idx="580">
                  <c:v>#N/A</c:v>
                </c:pt>
                <c:pt idx="581">
                  <c:v>29</c:v>
                </c:pt>
                <c:pt idx="582">
                  <c:v>20</c:v>
                </c:pt>
                <c:pt idx="583">
                  <c:v>#N/A</c:v>
                </c:pt>
                <c:pt idx="584">
                  <c:v>28</c:v>
                </c:pt>
                <c:pt idx="585">
                  <c:v>#N/A</c:v>
                </c:pt>
                <c:pt idx="586">
                  <c:v>#N/A</c:v>
                </c:pt>
                <c:pt idx="587">
                  <c:v>22</c:v>
                </c:pt>
                <c:pt idx="588">
                  <c:v>36</c:v>
                </c:pt>
                <c:pt idx="589">
                  <c:v>19</c:v>
                </c:pt>
                <c:pt idx="590">
                  <c:v>31</c:v>
                </c:pt>
                <c:pt idx="591">
                  <c:v>33</c:v>
                </c:pt>
                <c:pt idx="592">
                  <c:v>32</c:v>
                </c:pt>
                <c:pt idx="593">
                  <c:v>25</c:v>
                </c:pt>
                <c:pt idx="594">
                  <c:v>#N/A</c:v>
                </c:pt>
                <c:pt idx="595">
                  <c:v>#N/A</c:v>
                </c:pt>
                <c:pt idx="596">
                  <c:v>34</c:v>
                </c:pt>
                <c:pt idx="597">
                  <c:v>#N/A</c:v>
                </c:pt>
                <c:pt idx="598">
                  <c:v>29</c:v>
                </c:pt>
                <c:pt idx="599">
                  <c:v>38</c:v>
                </c:pt>
                <c:pt idx="600">
                  <c:v>32</c:v>
                </c:pt>
                <c:pt idx="601">
                  <c:v>33</c:v>
                </c:pt>
                <c:pt idx="602">
                  <c:v>33</c:v>
                </c:pt>
                <c:pt idx="603">
                  <c:v>34</c:v>
                </c:pt>
                <c:pt idx="604">
                  <c:v>26</c:v>
                </c:pt>
                <c:pt idx="605">
                  <c:v>30</c:v>
                </c:pt>
                <c:pt idx="606">
                  <c:v>33</c:v>
                </c:pt>
                <c:pt idx="607">
                  <c:v>37</c:v>
                </c:pt>
                <c:pt idx="608">
                  <c:v>#N/A</c:v>
                </c:pt>
                <c:pt idx="609">
                  <c:v>38</c:v>
                </c:pt>
                <c:pt idx="610">
                  <c:v>21</c:v>
                </c:pt>
                <c:pt idx="611">
                  <c:v>62</c:v>
                </c:pt>
                <c:pt idx="612">
                  <c:v>#N/A</c:v>
                </c:pt>
                <c:pt idx="613">
                  <c:v>38</c:v>
                </c:pt>
                <c:pt idx="614">
                  <c:v>21</c:v>
                </c:pt>
                <c:pt idx="615">
                  <c:v>23</c:v>
                </c:pt>
                <c:pt idx="616">
                  <c:v>#N/A</c:v>
                </c:pt>
                <c:pt idx="617">
                  <c:v>28</c:v>
                </c:pt>
                <c:pt idx="618">
                  <c:v>#N/A</c:v>
                </c:pt>
                <c:pt idx="619">
                  <c:v>43</c:v>
                </c:pt>
                <c:pt idx="620">
                  <c:v>#N/A</c:v>
                </c:pt>
                <c:pt idx="621">
                  <c:v>25</c:v>
                </c:pt>
                <c:pt idx="622">
                  <c:v>41</c:v>
                </c:pt>
                <c:pt idx="623">
                  <c:v>48</c:v>
                </c:pt>
                <c:pt idx="624">
                  <c:v>28</c:v>
                </c:pt>
                <c:pt idx="625">
                  <c:v>42</c:v>
                </c:pt>
                <c:pt idx="626">
                  <c:v>#N/A</c:v>
                </c:pt>
                <c:pt idx="627">
                  <c:v>#N/A</c:v>
                </c:pt>
                <c:pt idx="628">
                  <c:v>36</c:v>
                </c:pt>
                <c:pt idx="629">
                  <c:v>34</c:v>
                </c:pt>
                <c:pt idx="630">
                  <c:v>18</c:v>
                </c:pt>
                <c:pt idx="631">
                  <c:v>17</c:v>
                </c:pt>
                <c:pt idx="632">
                  <c:v>34</c:v>
                </c:pt>
                <c:pt idx="633">
                  <c:v>40</c:v>
                </c:pt>
                <c:pt idx="634">
                  <c:v>26</c:v>
                </c:pt>
                <c:pt idx="635">
                  <c:v>#N/A</c:v>
                </c:pt>
                <c:pt idx="636">
                  <c:v>37</c:v>
                </c:pt>
                <c:pt idx="637">
                  <c:v>#N/A</c:v>
                </c:pt>
                <c:pt idx="638">
                  <c:v>65</c:v>
                </c:pt>
                <c:pt idx="639">
                  <c:v>#N/A</c:v>
                </c:pt>
                <c:pt idx="640">
                  <c:v>42</c:v>
                </c:pt>
                <c:pt idx="641">
                  <c:v>#N/A</c:v>
                </c:pt>
                <c:pt idx="642">
                  <c:v>30</c:v>
                </c:pt>
              </c:numCache>
            </c:numRef>
          </c:xVal>
          <c:yVal>
            <c:numRef>
              <c:f>Scatter!$K$2:$K$644</c:f>
              <c:numCache>
                <c:formatCode>General</c:formatCode>
                <c:ptCount val="643"/>
                <c:pt idx="0">
                  <c:v>22</c:v>
                </c:pt>
                <c:pt idx="1">
                  <c:v>60</c:v>
                </c:pt>
                <c:pt idx="2">
                  <c:v>40</c:v>
                </c:pt>
                <c:pt idx="3">
                  <c:v>45</c:v>
                </c:pt>
                <c:pt idx="4">
                  <c:v>#N/A</c:v>
                </c:pt>
                <c:pt idx="5">
                  <c:v>40</c:v>
                </c:pt>
                <c:pt idx="6">
                  <c:v>40</c:v>
                </c:pt>
                <c:pt idx="7">
                  <c:v>20</c:v>
                </c:pt>
                <c:pt idx="8">
                  <c:v>32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30</c:v>
                </c:pt>
                <c:pt idx="13">
                  <c:v>40</c:v>
                </c:pt>
                <c:pt idx="14">
                  <c:v>40</c:v>
                </c:pt>
                <c:pt idx="15">
                  <c:v>40</c:v>
                </c:pt>
                <c:pt idx="16">
                  <c:v>40</c:v>
                </c:pt>
                <c:pt idx="17">
                  <c:v>50</c:v>
                </c:pt>
                <c:pt idx="18">
                  <c:v>#N/A</c:v>
                </c:pt>
                <c:pt idx="19">
                  <c:v>#N/A</c:v>
                </c:pt>
                <c:pt idx="20">
                  <c:v>40</c:v>
                </c:pt>
                <c:pt idx="21">
                  <c:v>30</c:v>
                </c:pt>
                <c:pt idx="22">
                  <c:v>40</c:v>
                </c:pt>
                <c:pt idx="23">
                  <c:v>60</c:v>
                </c:pt>
                <c:pt idx="24">
                  <c:v>20</c:v>
                </c:pt>
                <c:pt idx="25">
                  <c:v>24</c:v>
                </c:pt>
                <c:pt idx="26">
                  <c:v>50</c:v>
                </c:pt>
                <c:pt idx="27">
                  <c:v>40</c:v>
                </c:pt>
                <c:pt idx="28">
                  <c:v>40</c:v>
                </c:pt>
                <c:pt idx="29">
                  <c:v>40</c:v>
                </c:pt>
                <c:pt idx="30">
                  <c:v>#N/A</c:v>
                </c:pt>
                <c:pt idx="31">
                  <c:v>40</c:v>
                </c:pt>
                <c:pt idx="32">
                  <c:v>35</c:v>
                </c:pt>
                <c:pt idx="33">
                  <c:v>8</c:v>
                </c:pt>
                <c:pt idx="34">
                  <c:v>40</c:v>
                </c:pt>
                <c:pt idx="35">
                  <c:v>38</c:v>
                </c:pt>
                <c:pt idx="36">
                  <c:v>38</c:v>
                </c:pt>
                <c:pt idx="37">
                  <c:v>30</c:v>
                </c:pt>
                <c:pt idx="38">
                  <c:v>17</c:v>
                </c:pt>
                <c:pt idx="39">
                  <c:v>40</c:v>
                </c:pt>
                <c:pt idx="40">
                  <c:v>40</c:v>
                </c:pt>
                <c:pt idx="41">
                  <c:v>40</c:v>
                </c:pt>
                <c:pt idx="42">
                  <c:v>#N/A</c:v>
                </c:pt>
                <c:pt idx="43">
                  <c:v>40</c:v>
                </c:pt>
                <c:pt idx="44">
                  <c:v>40</c:v>
                </c:pt>
                <c:pt idx="45">
                  <c:v>37</c:v>
                </c:pt>
                <c:pt idx="46">
                  <c:v>25</c:v>
                </c:pt>
                <c:pt idx="47">
                  <c:v>50</c:v>
                </c:pt>
                <c:pt idx="48">
                  <c:v>55</c:v>
                </c:pt>
                <c:pt idx="49">
                  <c:v>40</c:v>
                </c:pt>
                <c:pt idx="50">
                  <c:v>#N/A</c:v>
                </c:pt>
                <c:pt idx="51">
                  <c:v>#N/A</c:v>
                </c:pt>
                <c:pt idx="52">
                  <c:v>40</c:v>
                </c:pt>
                <c:pt idx="53">
                  <c:v>13</c:v>
                </c:pt>
                <c:pt idx="54">
                  <c:v>40</c:v>
                </c:pt>
                <c:pt idx="55">
                  <c:v>25</c:v>
                </c:pt>
                <c:pt idx="56">
                  <c:v>#N/A</c:v>
                </c:pt>
                <c:pt idx="57">
                  <c:v>40</c:v>
                </c:pt>
                <c:pt idx="58">
                  <c:v>40</c:v>
                </c:pt>
                <c:pt idx="59">
                  <c:v>25</c:v>
                </c:pt>
                <c:pt idx="60">
                  <c:v>40</c:v>
                </c:pt>
                <c:pt idx="61">
                  <c:v>#N/A</c:v>
                </c:pt>
                <c:pt idx="62">
                  <c:v>40</c:v>
                </c:pt>
                <c:pt idx="63">
                  <c:v>40</c:v>
                </c:pt>
                <c:pt idx="64">
                  <c:v>50</c:v>
                </c:pt>
                <c:pt idx="65">
                  <c:v>40</c:v>
                </c:pt>
                <c:pt idx="66">
                  <c:v>#N/A</c:v>
                </c:pt>
                <c:pt idx="67">
                  <c:v>20</c:v>
                </c:pt>
                <c:pt idx="68">
                  <c:v>65</c:v>
                </c:pt>
                <c:pt idx="69">
                  <c:v>40</c:v>
                </c:pt>
                <c:pt idx="70">
                  <c:v>10</c:v>
                </c:pt>
                <c:pt idx="71">
                  <c:v>#N/A</c:v>
                </c:pt>
                <c:pt idx="72">
                  <c:v>50</c:v>
                </c:pt>
                <c:pt idx="73">
                  <c:v>#N/A</c:v>
                </c:pt>
                <c:pt idx="74">
                  <c:v>40</c:v>
                </c:pt>
                <c:pt idx="75">
                  <c:v>20</c:v>
                </c:pt>
                <c:pt idx="76">
                  <c:v>44</c:v>
                </c:pt>
                <c:pt idx="77">
                  <c:v>40</c:v>
                </c:pt>
                <c:pt idx="78">
                  <c:v>30</c:v>
                </c:pt>
                <c:pt idx="79">
                  <c:v>5</c:v>
                </c:pt>
                <c:pt idx="80">
                  <c:v>40</c:v>
                </c:pt>
                <c:pt idx="81">
                  <c:v>66</c:v>
                </c:pt>
                <c:pt idx="82">
                  <c:v>#N/A</c:v>
                </c:pt>
                <c:pt idx="83">
                  <c:v>50</c:v>
                </c:pt>
                <c:pt idx="84">
                  <c:v>40</c:v>
                </c:pt>
                <c:pt idx="85">
                  <c:v>40</c:v>
                </c:pt>
                <c:pt idx="86">
                  <c:v>54</c:v>
                </c:pt>
                <c:pt idx="87">
                  <c:v>#N/A</c:v>
                </c:pt>
                <c:pt idx="88">
                  <c:v>40</c:v>
                </c:pt>
                <c:pt idx="89">
                  <c:v>50</c:v>
                </c:pt>
                <c:pt idx="90">
                  <c:v>40</c:v>
                </c:pt>
                <c:pt idx="91">
                  <c:v>45</c:v>
                </c:pt>
                <c:pt idx="92">
                  <c:v>20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40</c:v>
                </c:pt>
                <c:pt idx="101">
                  <c:v>8</c:v>
                </c:pt>
                <c:pt idx="102">
                  <c:v>60</c:v>
                </c:pt>
                <c:pt idx="103">
                  <c:v>40</c:v>
                </c:pt>
                <c:pt idx="104">
                  <c:v>40</c:v>
                </c:pt>
                <c:pt idx="105">
                  <c:v>55</c:v>
                </c:pt>
                <c:pt idx="106">
                  <c:v>52</c:v>
                </c:pt>
                <c:pt idx="107">
                  <c:v>48</c:v>
                </c:pt>
                <c:pt idx="108">
                  <c:v>40</c:v>
                </c:pt>
                <c:pt idx="109">
                  <c:v>40</c:v>
                </c:pt>
                <c:pt idx="110">
                  <c:v>40</c:v>
                </c:pt>
                <c:pt idx="111">
                  <c:v>40</c:v>
                </c:pt>
                <c:pt idx="112">
                  <c:v>#N/A</c:v>
                </c:pt>
                <c:pt idx="113">
                  <c:v>40</c:v>
                </c:pt>
                <c:pt idx="114">
                  <c:v>48</c:v>
                </c:pt>
                <c:pt idx="115">
                  <c:v>40</c:v>
                </c:pt>
                <c:pt idx="116">
                  <c:v>40</c:v>
                </c:pt>
                <c:pt idx="117">
                  <c:v>25</c:v>
                </c:pt>
                <c:pt idx="118">
                  <c:v>20</c:v>
                </c:pt>
                <c:pt idx="119">
                  <c:v>#N/A</c:v>
                </c:pt>
                <c:pt idx="120">
                  <c:v>60</c:v>
                </c:pt>
                <c:pt idx="121">
                  <c:v>40</c:v>
                </c:pt>
                <c:pt idx="122">
                  <c:v>35</c:v>
                </c:pt>
                <c:pt idx="123">
                  <c:v>40</c:v>
                </c:pt>
                <c:pt idx="124">
                  <c:v>18</c:v>
                </c:pt>
                <c:pt idx="125">
                  <c:v>40</c:v>
                </c:pt>
                <c:pt idx="126">
                  <c:v>40</c:v>
                </c:pt>
                <c:pt idx="127">
                  <c:v>60</c:v>
                </c:pt>
                <c:pt idx="128">
                  <c:v>50</c:v>
                </c:pt>
                <c:pt idx="129">
                  <c:v>42</c:v>
                </c:pt>
                <c:pt idx="130">
                  <c:v>60</c:v>
                </c:pt>
                <c:pt idx="131">
                  <c:v>40</c:v>
                </c:pt>
                <c:pt idx="132">
                  <c:v>#N/A</c:v>
                </c:pt>
                <c:pt idx="133">
                  <c:v>60</c:v>
                </c:pt>
                <c:pt idx="134">
                  <c:v>#N/A</c:v>
                </c:pt>
                <c:pt idx="135">
                  <c:v>40</c:v>
                </c:pt>
                <c:pt idx="136">
                  <c:v>40</c:v>
                </c:pt>
                <c:pt idx="137">
                  <c:v>40</c:v>
                </c:pt>
                <c:pt idx="138">
                  <c:v>50</c:v>
                </c:pt>
                <c:pt idx="139">
                  <c:v>40</c:v>
                </c:pt>
                <c:pt idx="140">
                  <c:v>55</c:v>
                </c:pt>
                <c:pt idx="141">
                  <c:v>50</c:v>
                </c:pt>
                <c:pt idx="142">
                  <c:v>70</c:v>
                </c:pt>
                <c:pt idx="143">
                  <c:v>#N/A</c:v>
                </c:pt>
                <c:pt idx="144">
                  <c:v>50</c:v>
                </c:pt>
                <c:pt idx="145">
                  <c:v>40</c:v>
                </c:pt>
                <c:pt idx="146">
                  <c:v>40</c:v>
                </c:pt>
                <c:pt idx="147">
                  <c:v>40</c:v>
                </c:pt>
                <c:pt idx="148">
                  <c:v>45</c:v>
                </c:pt>
                <c:pt idx="149">
                  <c:v>40</c:v>
                </c:pt>
                <c:pt idx="150">
                  <c:v>24</c:v>
                </c:pt>
                <c:pt idx="151">
                  <c:v>40</c:v>
                </c:pt>
                <c:pt idx="152">
                  <c:v>40</c:v>
                </c:pt>
                <c:pt idx="153">
                  <c:v>#N/A</c:v>
                </c:pt>
                <c:pt idx="154">
                  <c:v>40</c:v>
                </c:pt>
                <c:pt idx="155">
                  <c:v>40</c:v>
                </c:pt>
                <c:pt idx="156">
                  <c:v>40</c:v>
                </c:pt>
                <c:pt idx="157">
                  <c:v>50</c:v>
                </c:pt>
                <c:pt idx="158">
                  <c:v>45</c:v>
                </c:pt>
                <c:pt idx="159">
                  <c:v>#N/A</c:v>
                </c:pt>
                <c:pt idx="160">
                  <c:v>40</c:v>
                </c:pt>
                <c:pt idx="161">
                  <c:v>36</c:v>
                </c:pt>
                <c:pt idx="162">
                  <c:v>40</c:v>
                </c:pt>
                <c:pt idx="163">
                  <c:v>42</c:v>
                </c:pt>
                <c:pt idx="164">
                  <c:v>40</c:v>
                </c:pt>
                <c:pt idx="165">
                  <c:v>#N/A</c:v>
                </c:pt>
                <c:pt idx="166">
                  <c:v>20</c:v>
                </c:pt>
                <c:pt idx="167">
                  <c:v>40</c:v>
                </c:pt>
                <c:pt idx="168">
                  <c:v>#N/A</c:v>
                </c:pt>
                <c:pt idx="169">
                  <c:v>#N/A</c:v>
                </c:pt>
                <c:pt idx="170">
                  <c:v>50</c:v>
                </c:pt>
                <c:pt idx="171">
                  <c:v>40</c:v>
                </c:pt>
                <c:pt idx="172">
                  <c:v>#N/A</c:v>
                </c:pt>
                <c:pt idx="173">
                  <c:v>40</c:v>
                </c:pt>
                <c:pt idx="174">
                  <c:v>#N/A</c:v>
                </c:pt>
                <c:pt idx="175">
                  <c:v>30</c:v>
                </c:pt>
                <c:pt idx="176">
                  <c:v>35</c:v>
                </c:pt>
                <c:pt idx="177">
                  <c:v>40</c:v>
                </c:pt>
                <c:pt idx="178">
                  <c:v>80</c:v>
                </c:pt>
                <c:pt idx="179">
                  <c:v>#N/A</c:v>
                </c:pt>
                <c:pt idx="180">
                  <c:v>40</c:v>
                </c:pt>
                <c:pt idx="181">
                  <c:v>35</c:v>
                </c:pt>
                <c:pt idx="182">
                  <c:v>40</c:v>
                </c:pt>
                <c:pt idx="183">
                  <c:v>#N/A</c:v>
                </c:pt>
                <c:pt idx="184">
                  <c:v>#N/A</c:v>
                </c:pt>
                <c:pt idx="185">
                  <c:v>40</c:v>
                </c:pt>
                <c:pt idx="186">
                  <c:v>40</c:v>
                </c:pt>
                <c:pt idx="187">
                  <c:v>#N/A</c:v>
                </c:pt>
                <c:pt idx="188">
                  <c:v>45</c:v>
                </c:pt>
                <c:pt idx="189">
                  <c:v>#N/A</c:v>
                </c:pt>
                <c:pt idx="190">
                  <c:v>60</c:v>
                </c:pt>
                <c:pt idx="191">
                  <c:v>12</c:v>
                </c:pt>
                <c:pt idx="192">
                  <c:v>#N/A</c:v>
                </c:pt>
                <c:pt idx="193">
                  <c:v>56</c:v>
                </c:pt>
                <c:pt idx="194">
                  <c:v>25</c:v>
                </c:pt>
                <c:pt idx="195">
                  <c:v>45</c:v>
                </c:pt>
                <c:pt idx="196">
                  <c:v>35</c:v>
                </c:pt>
                <c:pt idx="197">
                  <c:v>56</c:v>
                </c:pt>
                <c:pt idx="198">
                  <c:v>40</c:v>
                </c:pt>
                <c:pt idx="199">
                  <c:v>35</c:v>
                </c:pt>
                <c:pt idx="200">
                  <c:v>40</c:v>
                </c:pt>
                <c:pt idx="201">
                  <c:v>40</c:v>
                </c:pt>
                <c:pt idx="202">
                  <c:v>#N/A</c:v>
                </c:pt>
                <c:pt idx="203">
                  <c:v>53</c:v>
                </c:pt>
                <c:pt idx="204">
                  <c:v>40</c:v>
                </c:pt>
                <c:pt idx="205">
                  <c:v>40</c:v>
                </c:pt>
                <c:pt idx="206">
                  <c:v>70</c:v>
                </c:pt>
                <c:pt idx="207">
                  <c:v>40</c:v>
                </c:pt>
                <c:pt idx="208">
                  <c:v>#N/A</c:v>
                </c:pt>
                <c:pt idx="209">
                  <c:v>99</c:v>
                </c:pt>
                <c:pt idx="210">
                  <c:v>40</c:v>
                </c:pt>
                <c:pt idx="211">
                  <c:v>#N/A</c:v>
                </c:pt>
                <c:pt idx="212">
                  <c:v>15</c:v>
                </c:pt>
                <c:pt idx="213">
                  <c:v>20</c:v>
                </c:pt>
                <c:pt idx="214">
                  <c:v>40</c:v>
                </c:pt>
                <c:pt idx="215">
                  <c:v>35</c:v>
                </c:pt>
                <c:pt idx="216">
                  <c:v>25</c:v>
                </c:pt>
                <c:pt idx="217">
                  <c:v>40</c:v>
                </c:pt>
                <c:pt idx="218">
                  <c:v>45</c:v>
                </c:pt>
                <c:pt idx="219">
                  <c:v>#N/A</c:v>
                </c:pt>
                <c:pt idx="220">
                  <c:v>40</c:v>
                </c:pt>
                <c:pt idx="221">
                  <c:v>40</c:v>
                </c:pt>
                <c:pt idx="222">
                  <c:v>40</c:v>
                </c:pt>
                <c:pt idx="223">
                  <c:v>10</c:v>
                </c:pt>
                <c:pt idx="224">
                  <c:v>40</c:v>
                </c:pt>
                <c:pt idx="225">
                  <c:v>35</c:v>
                </c:pt>
                <c:pt idx="226">
                  <c:v>#N/A</c:v>
                </c:pt>
                <c:pt idx="227">
                  <c:v>#N/A</c:v>
                </c:pt>
                <c:pt idx="228">
                  <c:v>40</c:v>
                </c:pt>
                <c:pt idx="229">
                  <c:v>40</c:v>
                </c:pt>
                <c:pt idx="230">
                  <c:v>35</c:v>
                </c:pt>
                <c:pt idx="231">
                  <c:v>45</c:v>
                </c:pt>
                <c:pt idx="232">
                  <c:v>40</c:v>
                </c:pt>
                <c:pt idx="233">
                  <c:v>55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15</c:v>
                </c:pt>
                <c:pt idx="238">
                  <c:v>45</c:v>
                </c:pt>
                <c:pt idx="239">
                  <c:v>40</c:v>
                </c:pt>
                <c:pt idx="240">
                  <c:v>4</c:v>
                </c:pt>
                <c:pt idx="241">
                  <c:v>#N/A</c:v>
                </c:pt>
                <c:pt idx="242">
                  <c:v>15</c:v>
                </c:pt>
                <c:pt idx="243">
                  <c:v>40</c:v>
                </c:pt>
                <c:pt idx="244">
                  <c:v>45</c:v>
                </c:pt>
                <c:pt idx="245">
                  <c:v>40</c:v>
                </c:pt>
                <c:pt idx="246">
                  <c:v>40</c:v>
                </c:pt>
                <c:pt idx="247">
                  <c:v>#N/A</c:v>
                </c:pt>
                <c:pt idx="248">
                  <c:v>45</c:v>
                </c:pt>
                <c:pt idx="249">
                  <c:v>35</c:v>
                </c:pt>
                <c:pt idx="250">
                  <c:v>40</c:v>
                </c:pt>
                <c:pt idx="251">
                  <c:v>16</c:v>
                </c:pt>
                <c:pt idx="252">
                  <c:v>20</c:v>
                </c:pt>
                <c:pt idx="253">
                  <c:v>35</c:v>
                </c:pt>
                <c:pt idx="254">
                  <c:v>45</c:v>
                </c:pt>
                <c:pt idx="255">
                  <c:v>60</c:v>
                </c:pt>
                <c:pt idx="256">
                  <c:v>24</c:v>
                </c:pt>
                <c:pt idx="257">
                  <c:v>#N/A</c:v>
                </c:pt>
                <c:pt idx="258">
                  <c:v>40</c:v>
                </c:pt>
                <c:pt idx="259">
                  <c:v>40</c:v>
                </c:pt>
                <c:pt idx="260">
                  <c:v>65</c:v>
                </c:pt>
                <c:pt idx="261">
                  <c:v>40</c:v>
                </c:pt>
                <c:pt idx="262">
                  <c:v>#N/A</c:v>
                </c:pt>
                <c:pt idx="263">
                  <c:v>40</c:v>
                </c:pt>
                <c:pt idx="264">
                  <c:v>#N/A</c:v>
                </c:pt>
                <c:pt idx="265">
                  <c:v>40</c:v>
                </c:pt>
                <c:pt idx="266">
                  <c:v>#N/A</c:v>
                </c:pt>
                <c:pt idx="267">
                  <c:v>60</c:v>
                </c:pt>
                <c:pt idx="268">
                  <c:v>40</c:v>
                </c:pt>
                <c:pt idx="269">
                  <c:v>#N/A</c:v>
                </c:pt>
                <c:pt idx="270">
                  <c:v>45</c:v>
                </c:pt>
                <c:pt idx="271">
                  <c:v>38</c:v>
                </c:pt>
                <c:pt idx="272">
                  <c:v>40</c:v>
                </c:pt>
                <c:pt idx="273">
                  <c:v>#N/A</c:v>
                </c:pt>
                <c:pt idx="274">
                  <c:v>40</c:v>
                </c:pt>
                <c:pt idx="275">
                  <c:v>40</c:v>
                </c:pt>
                <c:pt idx="276">
                  <c:v>40</c:v>
                </c:pt>
                <c:pt idx="277">
                  <c:v>50</c:v>
                </c:pt>
                <c:pt idx="278">
                  <c:v>40</c:v>
                </c:pt>
                <c:pt idx="279">
                  <c:v>40</c:v>
                </c:pt>
                <c:pt idx="280">
                  <c:v>30</c:v>
                </c:pt>
                <c:pt idx="281">
                  <c:v>40</c:v>
                </c:pt>
                <c:pt idx="282">
                  <c:v>65</c:v>
                </c:pt>
                <c:pt idx="283">
                  <c:v>#N/A</c:v>
                </c:pt>
                <c:pt idx="284">
                  <c:v>40</c:v>
                </c:pt>
                <c:pt idx="285">
                  <c:v>40</c:v>
                </c:pt>
                <c:pt idx="286">
                  <c:v>#N/A</c:v>
                </c:pt>
                <c:pt idx="287">
                  <c:v>40</c:v>
                </c:pt>
                <c:pt idx="288">
                  <c:v>26</c:v>
                </c:pt>
                <c:pt idx="289">
                  <c:v>#N/A</c:v>
                </c:pt>
                <c:pt idx="290">
                  <c:v>40</c:v>
                </c:pt>
                <c:pt idx="291">
                  <c:v>20</c:v>
                </c:pt>
                <c:pt idx="292">
                  <c:v>#N/A</c:v>
                </c:pt>
                <c:pt idx="293">
                  <c:v>40</c:v>
                </c:pt>
                <c:pt idx="294">
                  <c:v>35</c:v>
                </c:pt>
                <c:pt idx="295">
                  <c:v>12</c:v>
                </c:pt>
                <c:pt idx="296">
                  <c:v>38</c:v>
                </c:pt>
                <c:pt idx="297">
                  <c:v>#N/A</c:v>
                </c:pt>
                <c:pt idx="298">
                  <c:v>#N/A</c:v>
                </c:pt>
                <c:pt idx="299">
                  <c:v>45</c:v>
                </c:pt>
                <c:pt idx="300">
                  <c:v>40</c:v>
                </c:pt>
                <c:pt idx="301">
                  <c:v>#N/A</c:v>
                </c:pt>
                <c:pt idx="302">
                  <c:v>45</c:v>
                </c:pt>
                <c:pt idx="303">
                  <c:v>20</c:v>
                </c:pt>
                <c:pt idx="304">
                  <c:v>40</c:v>
                </c:pt>
                <c:pt idx="305">
                  <c:v>40</c:v>
                </c:pt>
                <c:pt idx="306">
                  <c:v>45</c:v>
                </c:pt>
                <c:pt idx="307">
                  <c:v>#N/A</c:v>
                </c:pt>
                <c:pt idx="308">
                  <c:v>20</c:v>
                </c:pt>
                <c:pt idx="309">
                  <c:v>#N/A</c:v>
                </c:pt>
                <c:pt idx="310">
                  <c:v>99</c:v>
                </c:pt>
                <c:pt idx="311">
                  <c:v>40</c:v>
                </c:pt>
                <c:pt idx="312">
                  <c:v>#N/A</c:v>
                </c:pt>
                <c:pt idx="313">
                  <c:v>30</c:v>
                </c:pt>
                <c:pt idx="314">
                  <c:v>15</c:v>
                </c:pt>
                <c:pt idx="315">
                  <c:v>40</c:v>
                </c:pt>
                <c:pt idx="316">
                  <c:v>35</c:v>
                </c:pt>
                <c:pt idx="317">
                  <c:v>33</c:v>
                </c:pt>
                <c:pt idx="318">
                  <c:v>30</c:v>
                </c:pt>
                <c:pt idx="319">
                  <c:v>38</c:v>
                </c:pt>
                <c:pt idx="320">
                  <c:v>40</c:v>
                </c:pt>
                <c:pt idx="321">
                  <c:v>40</c:v>
                </c:pt>
                <c:pt idx="322">
                  <c:v>#N/A</c:v>
                </c:pt>
                <c:pt idx="323">
                  <c:v>#N/A</c:v>
                </c:pt>
                <c:pt idx="324">
                  <c:v>40</c:v>
                </c:pt>
                <c:pt idx="325">
                  <c:v>#N/A</c:v>
                </c:pt>
                <c:pt idx="326">
                  <c:v>40</c:v>
                </c:pt>
                <c:pt idx="327">
                  <c:v>50</c:v>
                </c:pt>
                <c:pt idx="328">
                  <c:v>20</c:v>
                </c:pt>
                <c:pt idx="329">
                  <c:v>40</c:v>
                </c:pt>
                <c:pt idx="330">
                  <c:v>50</c:v>
                </c:pt>
                <c:pt idx="331">
                  <c:v>40</c:v>
                </c:pt>
                <c:pt idx="332">
                  <c:v>40</c:v>
                </c:pt>
                <c:pt idx="333">
                  <c:v>80</c:v>
                </c:pt>
                <c:pt idx="334">
                  <c:v>15</c:v>
                </c:pt>
                <c:pt idx="335">
                  <c:v>#N/A</c:v>
                </c:pt>
                <c:pt idx="336">
                  <c:v>#N/A</c:v>
                </c:pt>
                <c:pt idx="337">
                  <c:v>42</c:v>
                </c:pt>
                <c:pt idx="338">
                  <c:v>38</c:v>
                </c:pt>
                <c:pt idx="339">
                  <c:v>40</c:v>
                </c:pt>
                <c:pt idx="340">
                  <c:v>40</c:v>
                </c:pt>
                <c:pt idx="341">
                  <c:v>#N/A</c:v>
                </c:pt>
                <c:pt idx="342">
                  <c:v>40</c:v>
                </c:pt>
                <c:pt idx="343">
                  <c:v>40</c:v>
                </c:pt>
                <c:pt idx="344">
                  <c:v>40</c:v>
                </c:pt>
                <c:pt idx="345">
                  <c:v>45</c:v>
                </c:pt>
                <c:pt idx="346">
                  <c:v>#N/A</c:v>
                </c:pt>
                <c:pt idx="347">
                  <c:v>40</c:v>
                </c:pt>
                <c:pt idx="348">
                  <c:v>28</c:v>
                </c:pt>
                <c:pt idx="349">
                  <c:v>50</c:v>
                </c:pt>
                <c:pt idx="350">
                  <c:v>#N/A</c:v>
                </c:pt>
                <c:pt idx="351">
                  <c:v>#N/A</c:v>
                </c:pt>
                <c:pt idx="352">
                  <c:v>44</c:v>
                </c:pt>
                <c:pt idx="353">
                  <c:v>#N/A</c:v>
                </c:pt>
                <c:pt idx="354">
                  <c:v>25</c:v>
                </c:pt>
                <c:pt idx="355">
                  <c:v>50</c:v>
                </c:pt>
                <c:pt idx="356">
                  <c:v>50</c:v>
                </c:pt>
                <c:pt idx="357">
                  <c:v>40</c:v>
                </c:pt>
                <c:pt idx="358">
                  <c:v>40</c:v>
                </c:pt>
                <c:pt idx="359">
                  <c:v>40</c:v>
                </c:pt>
                <c:pt idx="360">
                  <c:v>#N/A</c:v>
                </c:pt>
                <c:pt idx="361">
                  <c:v>35</c:v>
                </c:pt>
                <c:pt idx="362">
                  <c:v>18</c:v>
                </c:pt>
                <c:pt idx="363">
                  <c:v>40</c:v>
                </c:pt>
                <c:pt idx="364">
                  <c:v>30</c:v>
                </c:pt>
                <c:pt idx="365">
                  <c:v>35</c:v>
                </c:pt>
                <c:pt idx="366">
                  <c:v>18</c:v>
                </c:pt>
                <c:pt idx="367">
                  <c:v>30</c:v>
                </c:pt>
                <c:pt idx="368">
                  <c:v>40</c:v>
                </c:pt>
                <c:pt idx="369">
                  <c:v>40</c:v>
                </c:pt>
                <c:pt idx="370">
                  <c:v>37</c:v>
                </c:pt>
                <c:pt idx="371">
                  <c:v>65</c:v>
                </c:pt>
                <c:pt idx="372">
                  <c:v>40</c:v>
                </c:pt>
                <c:pt idx="373">
                  <c:v>40</c:v>
                </c:pt>
                <c:pt idx="374">
                  <c:v>60</c:v>
                </c:pt>
                <c:pt idx="375">
                  <c:v>37</c:v>
                </c:pt>
                <c:pt idx="376">
                  <c:v>#N/A</c:v>
                </c:pt>
                <c:pt idx="377">
                  <c:v>30</c:v>
                </c:pt>
                <c:pt idx="378">
                  <c:v>25</c:v>
                </c:pt>
                <c:pt idx="379">
                  <c:v>40</c:v>
                </c:pt>
                <c:pt idx="380">
                  <c:v>40</c:v>
                </c:pt>
                <c:pt idx="381">
                  <c:v>99</c:v>
                </c:pt>
                <c:pt idx="382">
                  <c:v>50</c:v>
                </c:pt>
                <c:pt idx="383">
                  <c:v>10</c:v>
                </c:pt>
                <c:pt idx="384">
                  <c:v>40</c:v>
                </c:pt>
                <c:pt idx="385">
                  <c:v>25</c:v>
                </c:pt>
                <c:pt idx="386">
                  <c:v>20</c:v>
                </c:pt>
                <c:pt idx="387">
                  <c:v>40</c:v>
                </c:pt>
                <c:pt idx="388">
                  <c:v>50</c:v>
                </c:pt>
                <c:pt idx="389">
                  <c:v>60</c:v>
                </c:pt>
                <c:pt idx="390">
                  <c:v>40</c:v>
                </c:pt>
                <c:pt idx="391">
                  <c:v>#N/A</c:v>
                </c:pt>
                <c:pt idx="392">
                  <c:v>#N/A</c:v>
                </c:pt>
                <c:pt idx="393">
                  <c:v>45</c:v>
                </c:pt>
                <c:pt idx="394">
                  <c:v>#N/A</c:v>
                </c:pt>
                <c:pt idx="395">
                  <c:v>#N/A</c:v>
                </c:pt>
                <c:pt idx="396">
                  <c:v>40</c:v>
                </c:pt>
                <c:pt idx="397">
                  <c:v>40</c:v>
                </c:pt>
                <c:pt idx="398">
                  <c:v>32</c:v>
                </c:pt>
                <c:pt idx="399">
                  <c:v>40</c:v>
                </c:pt>
                <c:pt idx="400">
                  <c:v>40</c:v>
                </c:pt>
                <c:pt idx="401">
                  <c:v>40</c:v>
                </c:pt>
                <c:pt idx="402">
                  <c:v>#N/A</c:v>
                </c:pt>
                <c:pt idx="403">
                  <c:v>44</c:v>
                </c:pt>
                <c:pt idx="404">
                  <c:v>40</c:v>
                </c:pt>
                <c:pt idx="405">
                  <c:v>30</c:v>
                </c:pt>
                <c:pt idx="406">
                  <c:v>24</c:v>
                </c:pt>
                <c:pt idx="407">
                  <c:v>60</c:v>
                </c:pt>
                <c:pt idx="408">
                  <c:v>40</c:v>
                </c:pt>
                <c:pt idx="409">
                  <c:v>#N/A</c:v>
                </c:pt>
                <c:pt idx="410">
                  <c:v>40</c:v>
                </c:pt>
                <c:pt idx="411">
                  <c:v>#N/A</c:v>
                </c:pt>
                <c:pt idx="412">
                  <c:v>50</c:v>
                </c:pt>
                <c:pt idx="413">
                  <c:v>80</c:v>
                </c:pt>
                <c:pt idx="414">
                  <c:v>#N/A</c:v>
                </c:pt>
                <c:pt idx="415">
                  <c:v>#N/A</c:v>
                </c:pt>
                <c:pt idx="416">
                  <c:v>15</c:v>
                </c:pt>
                <c:pt idx="417">
                  <c:v>40</c:v>
                </c:pt>
                <c:pt idx="418">
                  <c:v>40</c:v>
                </c:pt>
                <c:pt idx="419">
                  <c:v>#N/A</c:v>
                </c:pt>
                <c:pt idx="420">
                  <c:v>#N/A</c:v>
                </c:pt>
                <c:pt idx="421">
                  <c:v>40</c:v>
                </c:pt>
                <c:pt idx="422">
                  <c:v>40</c:v>
                </c:pt>
                <c:pt idx="423">
                  <c:v>40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45</c:v>
                </c:pt>
                <c:pt idx="428">
                  <c:v>50</c:v>
                </c:pt>
                <c:pt idx="429">
                  <c:v>40</c:v>
                </c:pt>
                <c:pt idx="430">
                  <c:v>50</c:v>
                </c:pt>
                <c:pt idx="431">
                  <c:v>40</c:v>
                </c:pt>
                <c:pt idx="432">
                  <c:v>#N/A</c:v>
                </c:pt>
                <c:pt idx="433">
                  <c:v>24</c:v>
                </c:pt>
                <c:pt idx="434">
                  <c:v>40</c:v>
                </c:pt>
                <c:pt idx="435">
                  <c:v>42</c:v>
                </c:pt>
                <c:pt idx="436">
                  <c:v>20</c:v>
                </c:pt>
                <c:pt idx="437">
                  <c:v>#N/A</c:v>
                </c:pt>
                <c:pt idx="438">
                  <c:v>#N/A</c:v>
                </c:pt>
                <c:pt idx="439">
                  <c:v>40</c:v>
                </c:pt>
                <c:pt idx="440">
                  <c:v>55</c:v>
                </c:pt>
                <c:pt idx="441">
                  <c:v>#N/A</c:v>
                </c:pt>
                <c:pt idx="442">
                  <c:v>35</c:v>
                </c:pt>
                <c:pt idx="443">
                  <c:v>35</c:v>
                </c:pt>
                <c:pt idx="444">
                  <c:v>65</c:v>
                </c:pt>
                <c:pt idx="445">
                  <c:v>40</c:v>
                </c:pt>
                <c:pt idx="446">
                  <c:v>40</c:v>
                </c:pt>
                <c:pt idx="447">
                  <c:v>#N/A</c:v>
                </c:pt>
                <c:pt idx="448">
                  <c:v>55</c:v>
                </c:pt>
                <c:pt idx="449">
                  <c:v>40</c:v>
                </c:pt>
                <c:pt idx="450">
                  <c:v>40</c:v>
                </c:pt>
                <c:pt idx="451">
                  <c:v>30</c:v>
                </c:pt>
                <c:pt idx="452">
                  <c:v>25</c:v>
                </c:pt>
                <c:pt idx="453">
                  <c:v>50</c:v>
                </c:pt>
                <c:pt idx="454">
                  <c:v>#N/A</c:v>
                </c:pt>
                <c:pt idx="455">
                  <c:v>#N/A</c:v>
                </c:pt>
                <c:pt idx="456">
                  <c:v>40</c:v>
                </c:pt>
                <c:pt idx="457">
                  <c:v>#N/A</c:v>
                </c:pt>
                <c:pt idx="458">
                  <c:v>#N/A</c:v>
                </c:pt>
                <c:pt idx="459">
                  <c:v>40</c:v>
                </c:pt>
                <c:pt idx="460">
                  <c:v>70</c:v>
                </c:pt>
                <c:pt idx="461">
                  <c:v>40</c:v>
                </c:pt>
                <c:pt idx="462">
                  <c:v>30</c:v>
                </c:pt>
                <c:pt idx="463">
                  <c:v>#N/A</c:v>
                </c:pt>
                <c:pt idx="464">
                  <c:v>50</c:v>
                </c:pt>
                <c:pt idx="465">
                  <c:v>40</c:v>
                </c:pt>
                <c:pt idx="466">
                  <c:v>40</c:v>
                </c:pt>
                <c:pt idx="467">
                  <c:v>20</c:v>
                </c:pt>
                <c:pt idx="468">
                  <c:v>50</c:v>
                </c:pt>
                <c:pt idx="469">
                  <c:v>35</c:v>
                </c:pt>
                <c:pt idx="470">
                  <c:v>38</c:v>
                </c:pt>
                <c:pt idx="471">
                  <c:v>15</c:v>
                </c:pt>
                <c:pt idx="472">
                  <c:v>45</c:v>
                </c:pt>
                <c:pt idx="473">
                  <c:v>40</c:v>
                </c:pt>
                <c:pt idx="474">
                  <c:v>#N/A</c:v>
                </c:pt>
                <c:pt idx="475">
                  <c:v>4</c:v>
                </c:pt>
                <c:pt idx="476">
                  <c:v>30</c:v>
                </c:pt>
                <c:pt idx="477">
                  <c:v>#N/A</c:v>
                </c:pt>
                <c:pt idx="478">
                  <c:v>#N/A</c:v>
                </c:pt>
                <c:pt idx="479">
                  <c:v>40</c:v>
                </c:pt>
                <c:pt idx="480">
                  <c:v>40</c:v>
                </c:pt>
                <c:pt idx="481">
                  <c:v>40</c:v>
                </c:pt>
                <c:pt idx="482">
                  <c:v>20</c:v>
                </c:pt>
                <c:pt idx="483">
                  <c:v>99</c:v>
                </c:pt>
                <c:pt idx="484">
                  <c:v>40</c:v>
                </c:pt>
                <c:pt idx="485">
                  <c:v>20</c:v>
                </c:pt>
                <c:pt idx="486">
                  <c:v>40</c:v>
                </c:pt>
                <c:pt idx="487">
                  <c:v>#N/A</c:v>
                </c:pt>
                <c:pt idx="488">
                  <c:v>#N/A</c:v>
                </c:pt>
                <c:pt idx="489">
                  <c:v>70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20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40</c:v>
                </c:pt>
                <c:pt idx="498">
                  <c:v>40</c:v>
                </c:pt>
                <c:pt idx="499">
                  <c:v>40</c:v>
                </c:pt>
                <c:pt idx="500">
                  <c:v>40</c:v>
                </c:pt>
                <c:pt idx="501">
                  <c:v>60</c:v>
                </c:pt>
                <c:pt idx="502">
                  <c:v>#N/A</c:v>
                </c:pt>
                <c:pt idx="503">
                  <c:v>40</c:v>
                </c:pt>
                <c:pt idx="504">
                  <c:v>#N/A</c:v>
                </c:pt>
                <c:pt idx="505">
                  <c:v>20</c:v>
                </c:pt>
                <c:pt idx="506">
                  <c:v>40</c:v>
                </c:pt>
                <c:pt idx="507">
                  <c:v>#N/A</c:v>
                </c:pt>
                <c:pt idx="508">
                  <c:v>#N/A</c:v>
                </c:pt>
                <c:pt idx="509">
                  <c:v>50</c:v>
                </c:pt>
                <c:pt idx="510">
                  <c:v>20</c:v>
                </c:pt>
                <c:pt idx="511">
                  <c:v>40</c:v>
                </c:pt>
                <c:pt idx="512">
                  <c:v>50</c:v>
                </c:pt>
                <c:pt idx="513">
                  <c:v>30</c:v>
                </c:pt>
                <c:pt idx="514">
                  <c:v>45</c:v>
                </c:pt>
                <c:pt idx="515">
                  <c:v>#N/A</c:v>
                </c:pt>
                <c:pt idx="516">
                  <c:v>40</c:v>
                </c:pt>
                <c:pt idx="517">
                  <c:v>45</c:v>
                </c:pt>
                <c:pt idx="518">
                  <c:v>38</c:v>
                </c:pt>
                <c:pt idx="519">
                  <c:v>40</c:v>
                </c:pt>
                <c:pt idx="520">
                  <c:v>#N/A</c:v>
                </c:pt>
                <c:pt idx="521">
                  <c:v>53</c:v>
                </c:pt>
                <c:pt idx="522">
                  <c:v>40</c:v>
                </c:pt>
                <c:pt idx="523">
                  <c:v>20</c:v>
                </c:pt>
                <c:pt idx="524">
                  <c:v>#N/A</c:v>
                </c:pt>
                <c:pt idx="525">
                  <c:v>20</c:v>
                </c:pt>
                <c:pt idx="526">
                  <c:v>40</c:v>
                </c:pt>
                <c:pt idx="527">
                  <c:v>24</c:v>
                </c:pt>
                <c:pt idx="528">
                  <c:v>40</c:v>
                </c:pt>
                <c:pt idx="529">
                  <c:v>40</c:v>
                </c:pt>
                <c:pt idx="530">
                  <c:v>#N/A</c:v>
                </c:pt>
                <c:pt idx="531">
                  <c:v>40</c:v>
                </c:pt>
                <c:pt idx="532">
                  <c:v>40</c:v>
                </c:pt>
                <c:pt idx="533">
                  <c:v>20</c:v>
                </c:pt>
                <c:pt idx="534">
                  <c:v>40</c:v>
                </c:pt>
                <c:pt idx="535">
                  <c:v>#N/A</c:v>
                </c:pt>
                <c:pt idx="536">
                  <c:v>#N/A</c:v>
                </c:pt>
                <c:pt idx="537">
                  <c:v>30</c:v>
                </c:pt>
                <c:pt idx="538">
                  <c:v>#N/A</c:v>
                </c:pt>
                <c:pt idx="539">
                  <c:v>45</c:v>
                </c:pt>
                <c:pt idx="540">
                  <c:v>36</c:v>
                </c:pt>
                <c:pt idx="541">
                  <c:v>40</c:v>
                </c:pt>
                <c:pt idx="542">
                  <c:v>50</c:v>
                </c:pt>
                <c:pt idx="543">
                  <c:v>40</c:v>
                </c:pt>
                <c:pt idx="544">
                  <c:v>#N/A</c:v>
                </c:pt>
                <c:pt idx="545">
                  <c:v>30</c:v>
                </c:pt>
                <c:pt idx="546">
                  <c:v>60</c:v>
                </c:pt>
                <c:pt idx="547">
                  <c:v>33</c:v>
                </c:pt>
                <c:pt idx="548">
                  <c:v>45</c:v>
                </c:pt>
                <c:pt idx="549">
                  <c:v>#N/A</c:v>
                </c:pt>
                <c:pt idx="550">
                  <c:v>40</c:v>
                </c:pt>
                <c:pt idx="551">
                  <c:v>#N/A</c:v>
                </c:pt>
                <c:pt idx="552">
                  <c:v>40</c:v>
                </c:pt>
                <c:pt idx="553">
                  <c:v>40</c:v>
                </c:pt>
                <c:pt idx="554">
                  <c:v>#N/A</c:v>
                </c:pt>
                <c:pt idx="555">
                  <c:v>#N/A</c:v>
                </c:pt>
                <c:pt idx="556">
                  <c:v>70</c:v>
                </c:pt>
                <c:pt idx="557">
                  <c:v>45</c:v>
                </c:pt>
                <c:pt idx="558">
                  <c:v>#N/A</c:v>
                </c:pt>
                <c:pt idx="559">
                  <c:v>25</c:v>
                </c:pt>
                <c:pt idx="560">
                  <c:v>40</c:v>
                </c:pt>
                <c:pt idx="561">
                  <c:v>38</c:v>
                </c:pt>
                <c:pt idx="562">
                  <c:v>40</c:v>
                </c:pt>
                <c:pt idx="563">
                  <c:v>40</c:v>
                </c:pt>
                <c:pt idx="564">
                  <c:v>40</c:v>
                </c:pt>
                <c:pt idx="565">
                  <c:v>40</c:v>
                </c:pt>
                <c:pt idx="566">
                  <c:v>40</c:v>
                </c:pt>
                <c:pt idx="567">
                  <c:v>40</c:v>
                </c:pt>
                <c:pt idx="568">
                  <c:v>35</c:v>
                </c:pt>
                <c:pt idx="569">
                  <c:v>50</c:v>
                </c:pt>
                <c:pt idx="570">
                  <c:v>35</c:v>
                </c:pt>
                <c:pt idx="571">
                  <c:v>30</c:v>
                </c:pt>
                <c:pt idx="572">
                  <c:v>30</c:v>
                </c:pt>
                <c:pt idx="573">
                  <c:v>20</c:v>
                </c:pt>
                <c:pt idx="574">
                  <c:v>#N/A</c:v>
                </c:pt>
                <c:pt idx="575">
                  <c:v>#N/A</c:v>
                </c:pt>
                <c:pt idx="576">
                  <c:v>46</c:v>
                </c:pt>
                <c:pt idx="577">
                  <c:v>#N/A</c:v>
                </c:pt>
                <c:pt idx="578">
                  <c:v>40</c:v>
                </c:pt>
                <c:pt idx="579">
                  <c:v>40</c:v>
                </c:pt>
                <c:pt idx="580">
                  <c:v>#N/A</c:v>
                </c:pt>
                <c:pt idx="581">
                  <c:v>50</c:v>
                </c:pt>
                <c:pt idx="582">
                  <c:v>15</c:v>
                </c:pt>
                <c:pt idx="583">
                  <c:v>#N/A</c:v>
                </c:pt>
                <c:pt idx="584">
                  <c:v>50</c:v>
                </c:pt>
                <c:pt idx="585">
                  <c:v>#N/A</c:v>
                </c:pt>
                <c:pt idx="586">
                  <c:v>#N/A</c:v>
                </c:pt>
                <c:pt idx="587">
                  <c:v>20</c:v>
                </c:pt>
                <c:pt idx="588">
                  <c:v>40</c:v>
                </c:pt>
                <c:pt idx="589">
                  <c:v>25</c:v>
                </c:pt>
                <c:pt idx="590">
                  <c:v>60</c:v>
                </c:pt>
                <c:pt idx="591">
                  <c:v>55</c:v>
                </c:pt>
                <c:pt idx="592">
                  <c:v>50</c:v>
                </c:pt>
                <c:pt idx="593">
                  <c:v>40</c:v>
                </c:pt>
                <c:pt idx="594">
                  <c:v>#N/A</c:v>
                </c:pt>
                <c:pt idx="595">
                  <c:v>#N/A</c:v>
                </c:pt>
                <c:pt idx="596">
                  <c:v>40</c:v>
                </c:pt>
                <c:pt idx="597">
                  <c:v>#N/A</c:v>
                </c:pt>
                <c:pt idx="598">
                  <c:v>40</c:v>
                </c:pt>
                <c:pt idx="599">
                  <c:v>35</c:v>
                </c:pt>
                <c:pt idx="600">
                  <c:v>50</c:v>
                </c:pt>
                <c:pt idx="601">
                  <c:v>40</c:v>
                </c:pt>
                <c:pt idx="602">
                  <c:v>40</c:v>
                </c:pt>
                <c:pt idx="603">
                  <c:v>40</c:v>
                </c:pt>
                <c:pt idx="604">
                  <c:v>20</c:v>
                </c:pt>
                <c:pt idx="605">
                  <c:v>40</c:v>
                </c:pt>
                <c:pt idx="606">
                  <c:v>20</c:v>
                </c:pt>
                <c:pt idx="607">
                  <c:v>40</c:v>
                </c:pt>
                <c:pt idx="608">
                  <c:v>#N/A</c:v>
                </c:pt>
                <c:pt idx="609">
                  <c:v>40</c:v>
                </c:pt>
                <c:pt idx="610">
                  <c:v>30</c:v>
                </c:pt>
                <c:pt idx="611">
                  <c:v>40</c:v>
                </c:pt>
                <c:pt idx="612">
                  <c:v>#N/A</c:v>
                </c:pt>
                <c:pt idx="613">
                  <c:v>15</c:v>
                </c:pt>
                <c:pt idx="614">
                  <c:v>40</c:v>
                </c:pt>
                <c:pt idx="615">
                  <c:v>10</c:v>
                </c:pt>
                <c:pt idx="616">
                  <c:v>#N/A</c:v>
                </c:pt>
                <c:pt idx="617">
                  <c:v>40</c:v>
                </c:pt>
                <c:pt idx="618">
                  <c:v>#N/A</c:v>
                </c:pt>
                <c:pt idx="619">
                  <c:v>40</c:v>
                </c:pt>
                <c:pt idx="620">
                  <c:v>#N/A</c:v>
                </c:pt>
                <c:pt idx="621">
                  <c:v>50</c:v>
                </c:pt>
                <c:pt idx="622">
                  <c:v>20</c:v>
                </c:pt>
                <c:pt idx="623">
                  <c:v>50</c:v>
                </c:pt>
                <c:pt idx="624">
                  <c:v>20</c:v>
                </c:pt>
                <c:pt idx="625">
                  <c:v>40</c:v>
                </c:pt>
                <c:pt idx="626">
                  <c:v>#N/A</c:v>
                </c:pt>
                <c:pt idx="627">
                  <c:v>#N/A</c:v>
                </c:pt>
                <c:pt idx="628">
                  <c:v>40</c:v>
                </c:pt>
                <c:pt idx="629">
                  <c:v>60</c:v>
                </c:pt>
                <c:pt idx="630">
                  <c:v>60</c:v>
                </c:pt>
                <c:pt idx="631">
                  <c:v>24</c:v>
                </c:pt>
                <c:pt idx="632">
                  <c:v>55</c:v>
                </c:pt>
                <c:pt idx="633">
                  <c:v>50</c:v>
                </c:pt>
                <c:pt idx="634">
                  <c:v>25</c:v>
                </c:pt>
                <c:pt idx="635">
                  <c:v>#N/A</c:v>
                </c:pt>
                <c:pt idx="636">
                  <c:v>40</c:v>
                </c:pt>
                <c:pt idx="637">
                  <c:v>#N/A</c:v>
                </c:pt>
                <c:pt idx="638">
                  <c:v>40</c:v>
                </c:pt>
                <c:pt idx="639">
                  <c:v>#N/A</c:v>
                </c:pt>
                <c:pt idx="640">
                  <c:v>40</c:v>
                </c:pt>
                <c:pt idx="641">
                  <c:v>#N/A</c:v>
                </c:pt>
                <c:pt idx="642">
                  <c:v>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ED5-4118-BCF0-1C263CF95CDB}"/>
            </c:ext>
          </c:extLst>
        </c:ser>
        <c:ser>
          <c:idx val="1"/>
          <c:order val="1"/>
          <c:tx>
            <c:v>&gt;50K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Scatter!$L$2:$L$644</c:f>
              <c:numCache>
                <c:formatCode>General</c:formatCode>
                <c:ptCount val="64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35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54</c:v>
                </c:pt>
                <c:pt idx="10">
                  <c:v>30</c:v>
                </c:pt>
                <c:pt idx="11">
                  <c:v>42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40</c:v>
                </c:pt>
                <c:pt idx="19">
                  <c:v>37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50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51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55</c:v>
                </c:pt>
                <c:pt idx="51">
                  <c:v>39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30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48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51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36</c:v>
                </c:pt>
                <c:pt idx="72">
                  <c:v>#N/A</c:v>
                </c:pt>
                <c:pt idx="73">
                  <c:v>59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51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38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29</c:v>
                </c:pt>
                <c:pt idx="97">
                  <c:v>34</c:v>
                </c:pt>
                <c:pt idx="98">
                  <c:v>42</c:v>
                </c:pt>
                <c:pt idx="99">
                  <c:v>39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39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53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48</c:v>
                </c:pt>
                <c:pt idx="133">
                  <c:v>#N/A</c:v>
                </c:pt>
                <c:pt idx="134">
                  <c:v>33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45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63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43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32</c:v>
                </c:pt>
                <c:pt idx="166">
                  <c:v>#N/A</c:v>
                </c:pt>
                <c:pt idx="167">
                  <c:v>#N/A</c:v>
                </c:pt>
                <c:pt idx="168">
                  <c:v>34</c:v>
                </c:pt>
                <c:pt idx="169">
                  <c:v>48</c:v>
                </c:pt>
                <c:pt idx="170">
                  <c:v>#N/A</c:v>
                </c:pt>
                <c:pt idx="171">
                  <c:v>#N/A</c:v>
                </c:pt>
                <c:pt idx="172">
                  <c:v>43</c:v>
                </c:pt>
                <c:pt idx="173">
                  <c:v>#N/A</c:v>
                </c:pt>
                <c:pt idx="174">
                  <c:v>27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27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56</c:v>
                </c:pt>
                <c:pt idx="184">
                  <c:v>25</c:v>
                </c:pt>
                <c:pt idx="185">
                  <c:v>#N/A</c:v>
                </c:pt>
                <c:pt idx="186">
                  <c:v>#N/A</c:v>
                </c:pt>
                <c:pt idx="187">
                  <c:v>34</c:v>
                </c:pt>
                <c:pt idx="188">
                  <c:v>#N/A</c:v>
                </c:pt>
                <c:pt idx="189">
                  <c:v>50</c:v>
                </c:pt>
                <c:pt idx="190">
                  <c:v>#N/A</c:v>
                </c:pt>
                <c:pt idx="191">
                  <c:v>#N/A</c:v>
                </c:pt>
                <c:pt idx="192">
                  <c:v>41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59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48</c:v>
                </c:pt>
                <c:pt idx="209">
                  <c:v>#N/A</c:v>
                </c:pt>
                <c:pt idx="210">
                  <c:v>#N/A</c:v>
                </c:pt>
                <c:pt idx="211">
                  <c:v>46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55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60</c:v>
                </c:pt>
                <c:pt idx="227">
                  <c:v>28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62</c:v>
                </c:pt>
                <c:pt idx="235">
                  <c:v>41</c:v>
                </c:pt>
                <c:pt idx="236">
                  <c:v>40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54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36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51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52</c:v>
                </c:pt>
                <c:pt idx="263">
                  <c:v>#N/A</c:v>
                </c:pt>
                <c:pt idx="264">
                  <c:v>54</c:v>
                </c:pt>
                <c:pt idx="265">
                  <c:v>#N/A</c:v>
                </c:pt>
                <c:pt idx="266">
                  <c:v>57</c:v>
                </c:pt>
                <c:pt idx="267">
                  <c:v>#N/A</c:v>
                </c:pt>
                <c:pt idx="268">
                  <c:v>#N/A</c:v>
                </c:pt>
                <c:pt idx="269">
                  <c:v>66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47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46</c:v>
                </c:pt>
                <c:pt idx="284">
                  <c:v>#N/A</c:v>
                </c:pt>
                <c:pt idx="285">
                  <c:v>#N/A</c:v>
                </c:pt>
                <c:pt idx="286">
                  <c:v>65</c:v>
                </c:pt>
                <c:pt idx="287">
                  <c:v>#N/A</c:v>
                </c:pt>
                <c:pt idx="288">
                  <c:v>#N/A</c:v>
                </c:pt>
                <c:pt idx="289">
                  <c:v>68</c:v>
                </c:pt>
                <c:pt idx="290">
                  <c:v>#N/A</c:v>
                </c:pt>
                <c:pt idx="291">
                  <c:v>#N/A</c:v>
                </c:pt>
                <c:pt idx="292">
                  <c:v>32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36</c:v>
                </c:pt>
                <c:pt idx="298">
                  <c:v>42</c:v>
                </c:pt>
                <c:pt idx="299">
                  <c:v>#N/A</c:v>
                </c:pt>
                <c:pt idx="300">
                  <c:v>#N/A</c:v>
                </c:pt>
                <c:pt idx="301">
                  <c:v>35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60</c:v>
                </c:pt>
                <c:pt idx="308">
                  <c:v>#N/A</c:v>
                </c:pt>
                <c:pt idx="309">
                  <c:v>53</c:v>
                </c:pt>
                <c:pt idx="310">
                  <c:v>#N/A</c:v>
                </c:pt>
                <c:pt idx="311">
                  <c:v>#N/A</c:v>
                </c:pt>
                <c:pt idx="312">
                  <c:v>51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49</c:v>
                </c:pt>
                <c:pt idx="323">
                  <c:v>36</c:v>
                </c:pt>
                <c:pt idx="324">
                  <c:v>#N/A</c:v>
                </c:pt>
                <c:pt idx="325">
                  <c:v>43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32</c:v>
                </c:pt>
                <c:pt idx="336">
                  <c:v>43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34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32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41</c:v>
                </c:pt>
                <c:pt idx="351">
                  <c:v>28</c:v>
                </c:pt>
                <c:pt idx="352">
                  <c:v>#N/A</c:v>
                </c:pt>
                <c:pt idx="353">
                  <c:v>44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61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54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45</c:v>
                </c:pt>
                <c:pt idx="392">
                  <c:v>46</c:v>
                </c:pt>
                <c:pt idx="393">
                  <c:v>#N/A</c:v>
                </c:pt>
                <c:pt idx="394">
                  <c:v>47</c:v>
                </c:pt>
                <c:pt idx="395">
                  <c:v>39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30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40</c:v>
                </c:pt>
                <c:pt idx="410">
                  <c:v>#N/A</c:v>
                </c:pt>
                <c:pt idx="411">
                  <c:v>56</c:v>
                </c:pt>
                <c:pt idx="412">
                  <c:v>#N/A</c:v>
                </c:pt>
                <c:pt idx="413">
                  <c:v>#N/A</c:v>
                </c:pt>
                <c:pt idx="414">
                  <c:v>33</c:v>
                </c:pt>
                <c:pt idx="415">
                  <c:v>64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40</c:v>
                </c:pt>
                <c:pt idx="420">
                  <c:v>36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59</c:v>
                </c:pt>
                <c:pt idx="425">
                  <c:v>35</c:v>
                </c:pt>
                <c:pt idx="426">
                  <c:v>42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51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45</c:v>
                </c:pt>
                <c:pt idx="438">
                  <c:v>58</c:v>
                </c:pt>
                <c:pt idx="439">
                  <c:v>#N/A</c:v>
                </c:pt>
                <c:pt idx="440">
                  <c:v>#N/A</c:v>
                </c:pt>
                <c:pt idx="441">
                  <c:v>34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38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47</c:v>
                </c:pt>
                <c:pt idx="455">
                  <c:v>58</c:v>
                </c:pt>
                <c:pt idx="456">
                  <c:v>#N/A</c:v>
                </c:pt>
                <c:pt idx="457">
                  <c:v>42</c:v>
                </c:pt>
                <c:pt idx="458">
                  <c:v>48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59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54</c:v>
                </c:pt>
                <c:pt idx="475">
                  <c:v>#N/A</c:v>
                </c:pt>
                <c:pt idx="476">
                  <c:v>#N/A</c:v>
                </c:pt>
                <c:pt idx="477">
                  <c:v>62</c:v>
                </c:pt>
                <c:pt idx="478">
                  <c:v>56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45</c:v>
                </c:pt>
                <c:pt idx="488">
                  <c:v>45</c:v>
                </c:pt>
                <c:pt idx="489">
                  <c:v>#N/A</c:v>
                </c:pt>
                <c:pt idx="490">
                  <c:v>40</c:v>
                </c:pt>
                <c:pt idx="491">
                  <c:v>32</c:v>
                </c:pt>
                <c:pt idx="492">
                  <c:v>37</c:v>
                </c:pt>
                <c:pt idx="493">
                  <c:v>#N/A</c:v>
                </c:pt>
                <c:pt idx="494">
                  <c:v>35</c:v>
                </c:pt>
                <c:pt idx="495">
                  <c:v>35</c:v>
                </c:pt>
                <c:pt idx="496">
                  <c:v>59</c:v>
                </c:pt>
                <c:pt idx="497">
                  <c:v>#N/A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42</c:v>
                </c:pt>
                <c:pt idx="503">
                  <c:v>#N/A</c:v>
                </c:pt>
                <c:pt idx="504">
                  <c:v>31</c:v>
                </c:pt>
                <c:pt idx="505">
                  <c:v>#N/A</c:v>
                </c:pt>
                <c:pt idx="506">
                  <c:v>#N/A</c:v>
                </c:pt>
                <c:pt idx="507">
                  <c:v>47</c:v>
                </c:pt>
                <c:pt idx="508">
                  <c:v>37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40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54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22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65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45</c:v>
                </c:pt>
                <c:pt idx="536">
                  <c:v>61</c:v>
                </c:pt>
                <c:pt idx="537">
                  <c:v>#N/A</c:v>
                </c:pt>
                <c:pt idx="538">
                  <c:v>60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36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49</c:v>
                </c:pt>
                <c:pt idx="550">
                  <c:v>#N/A</c:v>
                </c:pt>
                <c:pt idx="551">
                  <c:v>62</c:v>
                </c:pt>
                <c:pt idx="552">
                  <c:v>#N/A</c:v>
                </c:pt>
                <c:pt idx="553">
                  <c:v>#N/A</c:v>
                </c:pt>
                <c:pt idx="554">
                  <c:v>43</c:v>
                </c:pt>
                <c:pt idx="555">
                  <c:v>36</c:v>
                </c:pt>
                <c:pt idx="556">
                  <c:v>#N/A</c:v>
                </c:pt>
                <c:pt idx="557">
                  <c:v>#N/A</c:v>
                </c:pt>
                <c:pt idx="558">
                  <c:v>32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60</c:v>
                </c:pt>
                <c:pt idx="575">
                  <c:v>38</c:v>
                </c:pt>
                <c:pt idx="576">
                  <c:v>#N/A</c:v>
                </c:pt>
                <c:pt idx="577">
                  <c:v>50</c:v>
                </c:pt>
                <c:pt idx="578">
                  <c:v>#N/A</c:v>
                </c:pt>
                <c:pt idx="579">
                  <c:v>#N/A</c:v>
                </c:pt>
                <c:pt idx="580">
                  <c:v>45</c:v>
                </c:pt>
                <c:pt idx="581">
                  <c:v>#N/A</c:v>
                </c:pt>
                <c:pt idx="582">
                  <c:v>#N/A</c:v>
                </c:pt>
                <c:pt idx="583">
                  <c:v>39</c:v>
                </c:pt>
                <c:pt idx="584">
                  <c:v>#N/A</c:v>
                </c:pt>
                <c:pt idx="585">
                  <c:v>32</c:v>
                </c:pt>
                <c:pt idx="586">
                  <c:v>41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60</c:v>
                </c:pt>
                <c:pt idx="595">
                  <c:v>45</c:v>
                </c:pt>
                <c:pt idx="596">
                  <c:v>#N/A</c:v>
                </c:pt>
                <c:pt idx="597">
                  <c:v>81</c:v>
                </c:pt>
                <c:pt idx="598">
                  <c:v>#N/A</c:v>
                </c:pt>
                <c:pt idx="599">
                  <c:v>#N/A</c:v>
                </c:pt>
                <c:pt idx="600">
                  <c:v>#N/A</c:v>
                </c:pt>
                <c:pt idx="601">
                  <c:v>#N/A</c:v>
                </c:pt>
                <c:pt idx="602">
                  <c:v>#N/A</c:v>
                </c:pt>
                <c:pt idx="603">
                  <c:v>#N/A</c:v>
                </c:pt>
                <c:pt idx="604">
                  <c:v>#N/A</c:v>
                </c:pt>
                <c:pt idx="605">
                  <c:v>#N/A</c:v>
                </c:pt>
                <c:pt idx="606">
                  <c:v>#N/A</c:v>
                </c:pt>
                <c:pt idx="607">
                  <c:v>#N/A</c:v>
                </c:pt>
                <c:pt idx="608">
                  <c:v>37</c:v>
                </c:pt>
                <c:pt idx="609">
                  <c:v>#N/A</c:v>
                </c:pt>
                <c:pt idx="610">
                  <c:v>#N/A</c:v>
                </c:pt>
                <c:pt idx="611">
                  <c:v>#N/A</c:v>
                </c:pt>
                <c:pt idx="612">
                  <c:v>46</c:v>
                </c:pt>
                <c:pt idx="613">
                  <c:v>#N/A</c:v>
                </c:pt>
                <c:pt idx="614">
                  <c:v>#N/A</c:v>
                </c:pt>
                <c:pt idx="615">
                  <c:v>#N/A</c:v>
                </c:pt>
                <c:pt idx="616">
                  <c:v>41</c:v>
                </c:pt>
                <c:pt idx="617">
                  <c:v>#N/A</c:v>
                </c:pt>
                <c:pt idx="618">
                  <c:v>39</c:v>
                </c:pt>
                <c:pt idx="619">
                  <c:v>#N/A</c:v>
                </c:pt>
                <c:pt idx="620">
                  <c:v>37</c:v>
                </c:pt>
                <c:pt idx="621">
                  <c:v>#N/A</c:v>
                </c:pt>
                <c:pt idx="622">
                  <c:v>#N/A</c:v>
                </c:pt>
                <c:pt idx="623">
                  <c:v>#N/A</c:v>
                </c:pt>
                <c:pt idx="624">
                  <c:v>#N/A</c:v>
                </c:pt>
                <c:pt idx="625">
                  <c:v>#N/A</c:v>
                </c:pt>
                <c:pt idx="626">
                  <c:v>42</c:v>
                </c:pt>
                <c:pt idx="627">
                  <c:v>57</c:v>
                </c:pt>
                <c:pt idx="628">
                  <c:v>#N/A</c:v>
                </c:pt>
                <c:pt idx="629">
                  <c:v>#N/A</c:v>
                </c:pt>
                <c:pt idx="630">
                  <c:v>#N/A</c:v>
                </c:pt>
                <c:pt idx="631">
                  <c:v>#N/A</c:v>
                </c:pt>
                <c:pt idx="632">
                  <c:v>#N/A</c:v>
                </c:pt>
                <c:pt idx="633">
                  <c:v>#N/A</c:v>
                </c:pt>
                <c:pt idx="634">
                  <c:v>#N/A</c:v>
                </c:pt>
                <c:pt idx="635">
                  <c:v>66</c:v>
                </c:pt>
                <c:pt idx="636">
                  <c:v>#N/A</c:v>
                </c:pt>
                <c:pt idx="637">
                  <c:v>41</c:v>
                </c:pt>
                <c:pt idx="638">
                  <c:v>#N/A</c:v>
                </c:pt>
                <c:pt idx="639">
                  <c:v>54</c:v>
                </c:pt>
                <c:pt idx="640">
                  <c:v>#N/A</c:v>
                </c:pt>
                <c:pt idx="641">
                  <c:v>30</c:v>
                </c:pt>
                <c:pt idx="642">
                  <c:v>#N/A</c:v>
                </c:pt>
              </c:numCache>
            </c:numRef>
          </c:xVal>
          <c:yVal>
            <c:numRef>
              <c:f>Scatter!$M$2:$M$644</c:f>
              <c:numCache>
                <c:formatCode>General</c:formatCode>
                <c:ptCount val="64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50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35</c:v>
                </c:pt>
                <c:pt idx="10">
                  <c:v>40</c:v>
                </c:pt>
                <c:pt idx="11">
                  <c:v>40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35</c:v>
                </c:pt>
                <c:pt idx="19">
                  <c:v>50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50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40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35</c:v>
                </c:pt>
                <c:pt idx="51">
                  <c:v>20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40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45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40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40</c:v>
                </c:pt>
                <c:pt idx="72">
                  <c:v>#N/A</c:v>
                </c:pt>
                <c:pt idx="73">
                  <c:v>40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40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40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40</c:v>
                </c:pt>
                <c:pt idx="97">
                  <c:v>54</c:v>
                </c:pt>
                <c:pt idx="98">
                  <c:v>38</c:v>
                </c:pt>
                <c:pt idx="99">
                  <c:v>50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35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48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60</c:v>
                </c:pt>
                <c:pt idx="133">
                  <c:v>#N/A</c:v>
                </c:pt>
                <c:pt idx="134">
                  <c:v>50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40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40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43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40</c:v>
                </c:pt>
                <c:pt idx="166">
                  <c:v>#N/A</c:v>
                </c:pt>
                <c:pt idx="167">
                  <c:v>#N/A</c:v>
                </c:pt>
                <c:pt idx="168">
                  <c:v>60</c:v>
                </c:pt>
                <c:pt idx="169">
                  <c:v>50</c:v>
                </c:pt>
                <c:pt idx="170">
                  <c:v>#N/A</c:v>
                </c:pt>
                <c:pt idx="171">
                  <c:v>#N/A</c:v>
                </c:pt>
                <c:pt idx="172">
                  <c:v>40</c:v>
                </c:pt>
                <c:pt idx="173">
                  <c:v>#N/A</c:v>
                </c:pt>
                <c:pt idx="174">
                  <c:v>40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65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45</c:v>
                </c:pt>
                <c:pt idx="184">
                  <c:v>44</c:v>
                </c:pt>
                <c:pt idx="185">
                  <c:v>#N/A</c:v>
                </c:pt>
                <c:pt idx="186">
                  <c:v>#N/A</c:v>
                </c:pt>
                <c:pt idx="187">
                  <c:v>40</c:v>
                </c:pt>
                <c:pt idx="188">
                  <c:v>#N/A</c:v>
                </c:pt>
                <c:pt idx="189">
                  <c:v>40</c:v>
                </c:pt>
                <c:pt idx="190">
                  <c:v>#N/A</c:v>
                </c:pt>
                <c:pt idx="191">
                  <c:v>#N/A</c:v>
                </c:pt>
                <c:pt idx="192">
                  <c:v>40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50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60</c:v>
                </c:pt>
                <c:pt idx="209">
                  <c:v>#N/A</c:v>
                </c:pt>
                <c:pt idx="210">
                  <c:v>#N/A</c:v>
                </c:pt>
                <c:pt idx="211">
                  <c:v>49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20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40</c:v>
                </c:pt>
                <c:pt idx="227">
                  <c:v>40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50</c:v>
                </c:pt>
                <c:pt idx="235">
                  <c:v>12</c:v>
                </c:pt>
                <c:pt idx="236">
                  <c:v>40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40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50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40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50</c:v>
                </c:pt>
                <c:pt idx="263">
                  <c:v>#N/A</c:v>
                </c:pt>
                <c:pt idx="264">
                  <c:v>50</c:v>
                </c:pt>
                <c:pt idx="265">
                  <c:v>#N/A</c:v>
                </c:pt>
                <c:pt idx="266">
                  <c:v>40</c:v>
                </c:pt>
                <c:pt idx="267">
                  <c:v>#N/A</c:v>
                </c:pt>
                <c:pt idx="268">
                  <c:v>#N/A</c:v>
                </c:pt>
                <c:pt idx="269">
                  <c:v>40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40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50</c:v>
                </c:pt>
                <c:pt idx="284">
                  <c:v>#N/A</c:v>
                </c:pt>
                <c:pt idx="285">
                  <c:v>#N/A</c:v>
                </c:pt>
                <c:pt idx="286">
                  <c:v>40</c:v>
                </c:pt>
                <c:pt idx="287">
                  <c:v>#N/A</c:v>
                </c:pt>
                <c:pt idx="288">
                  <c:v>#N/A</c:v>
                </c:pt>
                <c:pt idx="289">
                  <c:v>40</c:v>
                </c:pt>
                <c:pt idx="290">
                  <c:v>#N/A</c:v>
                </c:pt>
                <c:pt idx="291">
                  <c:v>#N/A</c:v>
                </c:pt>
                <c:pt idx="292">
                  <c:v>40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40</c:v>
                </c:pt>
                <c:pt idx="298">
                  <c:v>60</c:v>
                </c:pt>
                <c:pt idx="299">
                  <c:v>#N/A</c:v>
                </c:pt>
                <c:pt idx="300">
                  <c:v>#N/A</c:v>
                </c:pt>
                <c:pt idx="301">
                  <c:v>40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40</c:v>
                </c:pt>
                <c:pt idx="308">
                  <c:v>#N/A</c:v>
                </c:pt>
                <c:pt idx="309">
                  <c:v>55</c:v>
                </c:pt>
                <c:pt idx="310">
                  <c:v>#N/A</c:v>
                </c:pt>
                <c:pt idx="311">
                  <c:v>#N/A</c:v>
                </c:pt>
                <c:pt idx="312">
                  <c:v>47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40</c:v>
                </c:pt>
                <c:pt idx="323">
                  <c:v>40</c:v>
                </c:pt>
                <c:pt idx="324">
                  <c:v>#N/A</c:v>
                </c:pt>
                <c:pt idx="325">
                  <c:v>50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40</c:v>
                </c:pt>
                <c:pt idx="336">
                  <c:v>38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50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42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45</c:v>
                </c:pt>
                <c:pt idx="351">
                  <c:v>65</c:v>
                </c:pt>
                <c:pt idx="352">
                  <c:v>#N/A</c:v>
                </c:pt>
                <c:pt idx="353">
                  <c:v>36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30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45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60</c:v>
                </c:pt>
                <c:pt idx="392">
                  <c:v>55</c:v>
                </c:pt>
                <c:pt idx="393">
                  <c:v>#N/A</c:v>
                </c:pt>
                <c:pt idx="394">
                  <c:v>40</c:v>
                </c:pt>
                <c:pt idx="395">
                  <c:v>40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48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40</c:v>
                </c:pt>
                <c:pt idx="410">
                  <c:v>#N/A</c:v>
                </c:pt>
                <c:pt idx="411">
                  <c:v>20</c:v>
                </c:pt>
                <c:pt idx="412">
                  <c:v>#N/A</c:v>
                </c:pt>
                <c:pt idx="413">
                  <c:v>#N/A</c:v>
                </c:pt>
                <c:pt idx="414">
                  <c:v>50</c:v>
                </c:pt>
                <c:pt idx="415">
                  <c:v>40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30</c:v>
                </c:pt>
                <c:pt idx="420">
                  <c:v>40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45</c:v>
                </c:pt>
                <c:pt idx="425">
                  <c:v>80</c:v>
                </c:pt>
                <c:pt idx="426">
                  <c:v>40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40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40</c:v>
                </c:pt>
                <c:pt idx="438">
                  <c:v>60</c:v>
                </c:pt>
                <c:pt idx="439">
                  <c:v>#N/A</c:v>
                </c:pt>
                <c:pt idx="440">
                  <c:v>#N/A</c:v>
                </c:pt>
                <c:pt idx="441">
                  <c:v>10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50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40</c:v>
                </c:pt>
                <c:pt idx="455">
                  <c:v>55</c:v>
                </c:pt>
                <c:pt idx="456">
                  <c:v>#N/A</c:v>
                </c:pt>
                <c:pt idx="457">
                  <c:v>40</c:v>
                </c:pt>
                <c:pt idx="458">
                  <c:v>37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40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40</c:v>
                </c:pt>
                <c:pt idx="475">
                  <c:v>#N/A</c:v>
                </c:pt>
                <c:pt idx="476">
                  <c:v>#N/A</c:v>
                </c:pt>
                <c:pt idx="477">
                  <c:v>40</c:v>
                </c:pt>
                <c:pt idx="478">
                  <c:v>65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60</c:v>
                </c:pt>
                <c:pt idx="488">
                  <c:v>50</c:v>
                </c:pt>
                <c:pt idx="489">
                  <c:v>#N/A</c:v>
                </c:pt>
                <c:pt idx="490">
                  <c:v>40</c:v>
                </c:pt>
                <c:pt idx="491">
                  <c:v>40</c:v>
                </c:pt>
                <c:pt idx="492">
                  <c:v>60</c:v>
                </c:pt>
                <c:pt idx="493">
                  <c:v>#N/A</c:v>
                </c:pt>
                <c:pt idx="494">
                  <c:v>45</c:v>
                </c:pt>
                <c:pt idx="495">
                  <c:v>50</c:v>
                </c:pt>
                <c:pt idx="496">
                  <c:v>48</c:v>
                </c:pt>
                <c:pt idx="497">
                  <c:v>#N/A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65</c:v>
                </c:pt>
                <c:pt idx="503">
                  <c:v>#N/A</c:v>
                </c:pt>
                <c:pt idx="504">
                  <c:v>70</c:v>
                </c:pt>
                <c:pt idx="505">
                  <c:v>#N/A</c:v>
                </c:pt>
                <c:pt idx="506">
                  <c:v>#N/A</c:v>
                </c:pt>
                <c:pt idx="507">
                  <c:v>60</c:v>
                </c:pt>
                <c:pt idx="508">
                  <c:v>45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75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44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40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50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84</c:v>
                </c:pt>
                <c:pt idx="536">
                  <c:v>40</c:v>
                </c:pt>
                <c:pt idx="537">
                  <c:v>#N/A</c:v>
                </c:pt>
                <c:pt idx="538">
                  <c:v>50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60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40</c:v>
                </c:pt>
                <c:pt idx="550">
                  <c:v>#N/A</c:v>
                </c:pt>
                <c:pt idx="551">
                  <c:v>40</c:v>
                </c:pt>
                <c:pt idx="552">
                  <c:v>#N/A</c:v>
                </c:pt>
                <c:pt idx="553">
                  <c:v>#N/A</c:v>
                </c:pt>
                <c:pt idx="554">
                  <c:v>50</c:v>
                </c:pt>
                <c:pt idx="555">
                  <c:v>55</c:v>
                </c:pt>
                <c:pt idx="556">
                  <c:v>#N/A</c:v>
                </c:pt>
                <c:pt idx="557">
                  <c:v>#N/A</c:v>
                </c:pt>
                <c:pt idx="558">
                  <c:v>56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40</c:v>
                </c:pt>
                <c:pt idx="575">
                  <c:v>60</c:v>
                </c:pt>
                <c:pt idx="576">
                  <c:v>#N/A</c:v>
                </c:pt>
                <c:pt idx="577">
                  <c:v>30</c:v>
                </c:pt>
                <c:pt idx="578">
                  <c:v>#N/A</c:v>
                </c:pt>
                <c:pt idx="579">
                  <c:v>#N/A</c:v>
                </c:pt>
                <c:pt idx="580">
                  <c:v>55</c:v>
                </c:pt>
                <c:pt idx="581">
                  <c:v>#N/A</c:v>
                </c:pt>
                <c:pt idx="582">
                  <c:v>#N/A</c:v>
                </c:pt>
                <c:pt idx="583">
                  <c:v>40</c:v>
                </c:pt>
                <c:pt idx="584">
                  <c:v>#N/A</c:v>
                </c:pt>
                <c:pt idx="585">
                  <c:v>32</c:v>
                </c:pt>
                <c:pt idx="586">
                  <c:v>38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40</c:v>
                </c:pt>
                <c:pt idx="595">
                  <c:v>40</c:v>
                </c:pt>
                <c:pt idx="596">
                  <c:v>#N/A</c:v>
                </c:pt>
                <c:pt idx="597">
                  <c:v>24</c:v>
                </c:pt>
                <c:pt idx="598">
                  <c:v>#N/A</c:v>
                </c:pt>
                <c:pt idx="599">
                  <c:v>#N/A</c:v>
                </c:pt>
                <c:pt idx="600">
                  <c:v>#N/A</c:v>
                </c:pt>
                <c:pt idx="601">
                  <c:v>#N/A</c:v>
                </c:pt>
                <c:pt idx="602">
                  <c:v>#N/A</c:v>
                </c:pt>
                <c:pt idx="603">
                  <c:v>#N/A</c:v>
                </c:pt>
                <c:pt idx="604">
                  <c:v>#N/A</c:v>
                </c:pt>
                <c:pt idx="605">
                  <c:v>#N/A</c:v>
                </c:pt>
                <c:pt idx="606">
                  <c:v>#N/A</c:v>
                </c:pt>
                <c:pt idx="607">
                  <c:v>#N/A</c:v>
                </c:pt>
                <c:pt idx="608">
                  <c:v>40</c:v>
                </c:pt>
                <c:pt idx="609">
                  <c:v>#N/A</c:v>
                </c:pt>
                <c:pt idx="610">
                  <c:v>#N/A</c:v>
                </c:pt>
                <c:pt idx="611">
                  <c:v>#N/A</c:v>
                </c:pt>
                <c:pt idx="612">
                  <c:v>60</c:v>
                </c:pt>
                <c:pt idx="613">
                  <c:v>#N/A</c:v>
                </c:pt>
                <c:pt idx="614">
                  <c:v>#N/A</c:v>
                </c:pt>
                <c:pt idx="615">
                  <c:v>#N/A</c:v>
                </c:pt>
                <c:pt idx="616">
                  <c:v>70</c:v>
                </c:pt>
                <c:pt idx="617">
                  <c:v>#N/A</c:v>
                </c:pt>
                <c:pt idx="618">
                  <c:v>45</c:v>
                </c:pt>
                <c:pt idx="619">
                  <c:v>#N/A</c:v>
                </c:pt>
                <c:pt idx="620">
                  <c:v>35</c:v>
                </c:pt>
                <c:pt idx="621">
                  <c:v>#N/A</c:v>
                </c:pt>
                <c:pt idx="622">
                  <c:v>#N/A</c:v>
                </c:pt>
                <c:pt idx="623">
                  <c:v>#N/A</c:v>
                </c:pt>
                <c:pt idx="624">
                  <c:v>#N/A</c:v>
                </c:pt>
                <c:pt idx="625">
                  <c:v>#N/A</c:v>
                </c:pt>
                <c:pt idx="626">
                  <c:v>40</c:v>
                </c:pt>
                <c:pt idx="627">
                  <c:v>40</c:v>
                </c:pt>
                <c:pt idx="628">
                  <c:v>#N/A</c:v>
                </c:pt>
                <c:pt idx="629">
                  <c:v>#N/A</c:v>
                </c:pt>
                <c:pt idx="630">
                  <c:v>#N/A</c:v>
                </c:pt>
                <c:pt idx="631">
                  <c:v>#N/A</c:v>
                </c:pt>
                <c:pt idx="632">
                  <c:v>#N/A</c:v>
                </c:pt>
                <c:pt idx="633">
                  <c:v>#N/A</c:v>
                </c:pt>
                <c:pt idx="634">
                  <c:v>#N/A</c:v>
                </c:pt>
                <c:pt idx="635">
                  <c:v>55</c:v>
                </c:pt>
                <c:pt idx="636">
                  <c:v>#N/A</c:v>
                </c:pt>
                <c:pt idx="637">
                  <c:v>48</c:v>
                </c:pt>
                <c:pt idx="638">
                  <c:v>#N/A</c:v>
                </c:pt>
                <c:pt idx="639">
                  <c:v>40</c:v>
                </c:pt>
                <c:pt idx="640">
                  <c:v>#N/A</c:v>
                </c:pt>
                <c:pt idx="641">
                  <c:v>60</c:v>
                </c:pt>
                <c:pt idx="642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ED5-4118-BCF0-1C263CF95C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7623439"/>
        <c:axId val="1107626319"/>
      </c:scatterChart>
      <c:valAx>
        <c:axId val="1107623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Age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626319"/>
        <c:crosses val="autoZero"/>
        <c:crossBetween val="midCat"/>
      </c:valAx>
      <c:valAx>
        <c:axId val="110762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hours-per-week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6234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1400" b="0" i="0" u="none" strike="noStrike" baseline="0"/>
              <a:t>R</a:t>
            </a:r>
            <a:r>
              <a:rPr lang="en-US" sz="1400" b="0" i="0" u="none" strike="noStrike" baseline="0"/>
              <a:t>ozkład normalny wieku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Gestosc!$B$2:$B$102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xVal>
          <c:yVal>
            <c:numRef>
              <c:f>Gestosc!$A$2:$A$102</c:f>
              <c:numCache>
                <c:formatCode>General</c:formatCode>
                <c:ptCount val="101"/>
                <c:pt idx="0">
                  <c:v>6.2350530716379852E-4</c:v>
                </c:pt>
                <c:pt idx="1">
                  <c:v>7.583041210660952E-4</c:v>
                </c:pt>
                <c:pt idx="2">
                  <c:v>9.1751847838662565E-4</c:v>
                </c:pt>
                <c:pt idx="3">
                  <c:v>1.1044711201028878E-3</c:v>
                </c:pt>
                <c:pt idx="4">
                  <c:v>1.3227021234662524E-3</c:v>
                </c:pt>
                <c:pt idx="5">
                  <c:v>1.5759334681047855E-3</c:v>
                </c:pt>
                <c:pt idx="6">
                  <c:v>1.8680214046298133E-3</c:v>
                </c:pt>
                <c:pt idx="7">
                  <c:v>2.2028958225335528E-3</c:v>
                </c:pt>
                <c:pt idx="8">
                  <c:v>2.5844861668458305E-3</c:v>
                </c:pt>
                <c:pt idx="9">
                  <c:v>3.0166338930591456E-3</c:v>
                </c:pt>
                <c:pt idx="10">
                  <c:v>3.5029919715941688E-3</c:v>
                </c:pt>
                <c:pt idx="11">
                  <c:v>4.0469125453490244E-3</c:v>
                </c:pt>
                <c:pt idx="12">
                  <c:v>4.6513244895372763E-3</c:v>
                </c:pt>
                <c:pt idx="13">
                  <c:v>5.318603299055303E-3</c:v>
                </c:pt>
                <c:pt idx="14">
                  <c:v>6.0504364065100688E-3</c:v>
                </c:pt>
                <c:pt idx="15">
                  <c:v>6.847687680584324E-3</c:v>
                </c:pt>
                <c:pt idx="16">
                  <c:v>7.7102654330056209E-3</c:v>
                </c:pt>
                <c:pt idx="17">
                  <c:v>8.6369987346742103E-3</c:v>
                </c:pt>
                <c:pt idx="18">
                  <c:v>9.625527169466094E-3</c:v>
                </c:pt>
                <c:pt idx="19">
                  <c:v>1.0672209302468733E-2</c:v>
                </c:pt>
                <c:pt idx="20">
                  <c:v>1.1772055077634904E-2</c:v>
                </c:pt>
                <c:pt idx="21">
                  <c:v>1.2918687065316719E-2</c:v>
                </c:pt>
                <c:pt idx="22">
                  <c:v>1.4104334939958406E-2</c:v>
                </c:pt>
                <c:pt idx="23">
                  <c:v>1.5319866781215259E-2</c:v>
                </c:pt>
                <c:pt idx="24">
                  <c:v>1.6554859769873614E-2</c:v>
                </c:pt>
                <c:pt idx="25">
                  <c:v>1.7797711618910864E-2</c:v>
                </c:pt>
                <c:pt idx="26">
                  <c:v>1.9035792679250006E-2</c:v>
                </c:pt>
                <c:pt idx="27">
                  <c:v>2.0255637141258827E-2</c:v>
                </c:pt>
                <c:pt idx="28">
                  <c:v>2.1443170179561405E-2</c:v>
                </c:pt>
                <c:pt idx="29">
                  <c:v>2.2583966330957574E-2</c:v>
                </c:pt>
                <c:pt idx="30">
                  <c:v>2.3663532928326819E-2</c:v>
                </c:pt>
                <c:pt idx="31">
                  <c:v>2.4667611112886834E-2</c:v>
                </c:pt>
                <c:pt idx="32">
                  <c:v>2.5582485884722023E-2</c:v>
                </c:pt>
                <c:pt idx="33">
                  <c:v>2.639529589043808E-2</c:v>
                </c:pt>
                <c:pt idx="34">
                  <c:v>2.7094333238081764E-2</c:v>
                </c:pt>
                <c:pt idx="35">
                  <c:v>2.7669323608092069E-2</c:v>
                </c:pt>
                <c:pt idx="36">
                  <c:v>2.8111677311359041E-2</c:v>
                </c:pt>
                <c:pt idx="37">
                  <c:v>2.8414702727463912E-2</c:v>
                </c:pt>
                <c:pt idx="38">
                  <c:v>2.8573774713060843E-2</c:v>
                </c:pt>
                <c:pt idx="39">
                  <c:v>2.8586452057338757E-2</c:v>
                </c:pt>
                <c:pt idx="40">
                  <c:v>2.8452539815839461E-2</c:v>
                </c:pt>
                <c:pt idx="41">
                  <c:v>2.8174094298149141E-2</c:v>
                </c:pt>
                <c:pt idx="42">
                  <c:v>2.7755370531112673E-2</c:v>
                </c:pt>
                <c:pt idx="43">
                  <c:v>2.7202714073538331E-2</c:v>
                </c:pt>
                <c:pt idx="44">
                  <c:v>2.6524401026699698E-2</c:v>
                </c:pt>
                <c:pt idx="45">
                  <c:v>2.5730431877945902E-2</c:v>
                </c:pt>
                <c:pt idx="46">
                  <c:v>2.4832286352801235E-2</c:v>
                </c:pt>
                <c:pt idx="47">
                  <c:v>2.3842647668537571E-2</c:v>
                </c:pt>
                <c:pt idx="48">
                  <c:v>2.2775105431263768E-2</c:v>
                </c:pt>
                <c:pt idx="49">
                  <c:v>2.1643846870750445E-2</c:v>
                </c:pt>
                <c:pt idx="50">
                  <c:v>2.0463346154908725E-2</c:v>
                </c:pt>
                <c:pt idx="51">
                  <c:v>1.9248061181982835E-2</c:v>
                </c:pt>
                <c:pt idx="52">
                  <c:v>1.8012146545047267E-2</c:v>
                </c:pt>
                <c:pt idx="53">
                  <c:v>1.6769190348745876E-2</c:v>
                </c:pt>
                <c:pt idx="54">
                  <c:v>1.5531981293859151E-2</c:v>
                </c:pt>
                <c:pt idx="55">
                  <c:v>1.4312311001751274E-2</c:v>
                </c:pt>
                <c:pt idx="56">
                  <c:v>1.3120815003228694E-2</c:v>
                </c:pt>
                <c:pt idx="57">
                  <c:v>1.1966854240351108E-2</c:v>
                </c:pt>
                <c:pt idx="58">
                  <c:v>1.0858437396998268E-2</c:v>
                </c:pt>
                <c:pt idx="59">
                  <c:v>9.8021829488457828E-3</c:v>
                </c:pt>
                <c:pt idx="60">
                  <c:v>8.8033185598798153E-3</c:v>
                </c:pt>
                <c:pt idx="61">
                  <c:v>7.8657143923580759E-3</c:v>
                </c:pt>
                <c:pt idx="62">
                  <c:v>6.9919460683325468E-3</c:v>
                </c:pt>
                <c:pt idx="63">
                  <c:v>6.1833824377877777E-3</c:v>
                </c:pt>
                <c:pt idx="64">
                  <c:v>5.4402929721332162E-3</c:v>
                </c:pt>
                <c:pt idx="65">
                  <c:v>4.76196950121348E-3</c:v>
                </c:pt>
                <c:pt idx="66">
                  <c:v>4.146857125970729E-3</c:v>
                </c:pt>
                <c:pt idx="67">
                  <c:v>3.5926894382466283E-3</c:v>
                </c:pt>
                <c:pt idx="68">
                  <c:v>3.0966236292580898E-3</c:v>
                </c:pt>
                <c:pt idx="69">
                  <c:v>2.655371631277006E-3</c:v>
                </c:pt>
                <c:pt idx="70">
                  <c:v>2.2653240745456609E-3</c:v>
                </c:pt>
                <c:pt idx="71">
                  <c:v>1.9226645164236921E-3</c:v>
                </c:pt>
                <c:pt idx="72">
                  <c:v>1.6234720782984386E-3</c:v>
                </c:pt>
                <c:pt idx="73">
                  <c:v>1.3638112785004583E-3</c:v>
                </c:pt>
                <c:pt idx="74">
                  <c:v>1.1398084523428777E-3</c:v>
                </c:pt>
                <c:pt idx="75">
                  <c:v>9.4771468530111729E-4</c:v>
                </c:pt>
                <c:pt idx="76">
                  <c:v>7.8395564005009216E-4</c:v>
                </c:pt>
                <c:pt idx="77">
                  <c:v>6.4516902601445504E-4</c:v>
                </c:pt>
                <c:pt idx="78">
                  <c:v>5.2823073980123154E-4</c:v>
                </c:pt>
                <c:pt idx="79">
                  <c:v>4.3027089926535593E-4</c:v>
                </c:pt>
                <c:pt idx="80">
                  <c:v>3.4868110938349878E-4</c:v>
                </c:pt>
                <c:pt idx="81">
                  <c:v>2.8111434352360583E-4</c:v>
                </c:pt>
                <c:pt idx="82">
                  <c:v>2.254788097043542E-4</c:v>
                </c:pt>
                <c:pt idx="83">
                  <c:v>1.7992710947582844E-4</c:v>
                </c:pt>
                <c:pt idx="84">
                  <c:v>1.4284189865329292E-4</c:v>
                </c:pt>
                <c:pt idx="85">
                  <c:v>1.128191353286525E-4</c:v>
                </c:pt>
                <c:pt idx="86">
                  <c:v>8.8649861433756316E-5</c:v>
                </c:pt>
                <c:pt idx="87">
                  <c:v>6.930131841790945E-5</c:v>
                </c:pt>
                <c:pt idx="88">
                  <c:v>5.3898052642694672E-5</c:v>
                </c:pt>
                <c:pt idx="89">
                  <c:v>4.1703527668256159E-5</c:v>
                </c:pt>
                <c:pt idx="90">
                  <c:v>3.2102632978188431E-5</c:v>
                </c:pt>
                <c:pt idx="91">
                  <c:v>2.4585364735968823E-5</c:v>
                </c:pt>
                <c:pt idx="92">
                  <c:v>1.8731855513491508E-5</c:v>
                </c:pt>
                <c:pt idx="93">
                  <c:v>1.4198847160587881E-5</c:v>
                </c:pt>
                <c:pt idx="94">
                  <c:v>1.0707633828003728E-5</c:v>
                </c:pt>
                <c:pt idx="95">
                  <c:v>8.0334497104662342E-6</c:v>
                </c:pt>
                <c:pt idx="96">
                  <c:v>5.9962369895782911E-6</c:v>
                </c:pt>
                <c:pt idx="97">
                  <c:v>4.4527021012570928E-6</c:v>
                </c:pt>
                <c:pt idx="98">
                  <c:v>3.2895510723043552E-6</c:v>
                </c:pt>
                <c:pt idx="99">
                  <c:v>2.4177854959831808E-6</c:v>
                </c:pt>
                <c:pt idx="100">
                  <c:v>1.7679380545486139E-6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796-4EFD-8371-0799A2E0E8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7632559"/>
        <c:axId val="1107633039"/>
      </c:scatterChart>
      <c:valAx>
        <c:axId val="11076325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633039"/>
        <c:crosses val="autoZero"/>
        <c:crossBetween val="midCat"/>
      </c:valAx>
      <c:valAx>
        <c:axId val="1107633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6325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pl-PL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latin typeface="Calibri"/>
                <a:ea typeface="Calibri" panose="020F0502020204030204" pitchFamily="34" charset="0"/>
                <a:cs typeface="Calibri" panose="020F0502020204030204" pitchFamily="34" charset="0"/>
              </a:rPr>
              <a:t>1a. H</a:t>
            </a:r>
            <a:r>
              <a:rPr 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latin typeface="Calibri"/>
                <a:ea typeface="Calibri" panose="020F0502020204030204" pitchFamily="34" charset="0"/>
                <a:cs typeface="Calibri" panose="020F0502020204030204" pitchFamily="34" charset="0"/>
              </a:rPr>
              <a:t>istogram wieku</a:t>
            </a:r>
            <a:endPara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endParaRPr>
          </a:p>
        </cx:rich>
      </cx:tx>
    </cx:title>
    <cx:plotArea>
      <cx:plotAreaRegion>
        <cx:series layoutId="clusteredColumn" uniqueId="{0118B3E8-B2DF-480D-834C-CFB34D01EF03}">
          <cx:tx>
            <cx:txData>
              <cx:f>_xlchart.v1.4</cx:f>
              <cx:v>Age</cx:v>
            </cx:txData>
          </cx:tx>
          <cx:dataId val="0"/>
          <cx:layoutPr>
            <cx:binning intervalClosed="r">
              <cx:binSize val="1"/>
            </cx:binning>
          </cx:layoutPr>
        </cx:series>
      </cx:plotAreaRegion>
      <cx:axis id="0">
        <cx:catScaling gapWidth="0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endParaRPr lang="en-US" sz="9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endParaRPr>
          </a:p>
        </cx:txPr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_xlchart.v1.7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pl-PL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/>
              </a:rPr>
              <a:t>7a. </a:t>
            </a:r>
            <a:r>
              <a:rPr lang="en-US"/>
              <a:t>Boxplot dla hours-per-week</a:t>
            </a:r>
            <a:endParaRPr lang="pl-PL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endParaRPr>
          </a:p>
        </cx:rich>
      </cx:tx>
    </cx:title>
    <cx:plotArea>
      <cx:plotAreaRegion>
        <cx:series layoutId="boxWhisker" uniqueId="{90AC6442-5DE9-451B-9367-38B50E70C595}">
          <cx:tx>
            <cx:txData>
              <cx:f>_xlchart.v1.6</cx:f>
              <cx:v>hours-per-week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pl-PL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/>
              </a:rPr>
              <a:t>7b. </a:t>
            </a:r>
            <a:r>
              <a:rPr lang="en-US"/>
              <a:t>Boxplot dla kobiet i mężczyzn</a:t>
            </a:r>
            <a:endParaRPr lang="pl-PL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endParaRPr>
          </a:p>
        </cx:rich>
      </cx:tx>
    </cx:title>
    <cx:plotArea>
      <cx:plotAreaRegion>
        <cx:series layoutId="boxWhisker" uniqueId="{7BC347FB-F3ED-49EB-9727-B9A2273EAD0B}">
          <cx:tx>
            <cx:txData>
              <cx:f>_xlchart.v1.0</cx:f>
              <cx:v>Female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A62DEEB3-2915-43D5-A23E-022C4C340B0A}">
          <cx:tx>
            <cx:txData>
              <cx:f>_xlchart.v1.2</cx:f>
              <cx:v>Male</cx:v>
            </cx:txData>
          </cx:tx>
          <cx:dataId val="1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.xml"/><Relationship Id="rId3" Type="http://schemas.microsoft.com/office/2014/relationships/chartEx" Target="../charts/chartEx2.xml"/><Relationship Id="rId7" Type="http://schemas.openxmlformats.org/officeDocument/2006/relationships/chart" Target="../charts/chart5.xml"/><Relationship Id="rId2" Type="http://schemas.openxmlformats.org/officeDocument/2006/relationships/chart" Target="../charts/chart2.xml"/><Relationship Id="rId1" Type="http://schemas.microsoft.com/office/2014/relationships/chartEx" Target="../charts/chartEx1.xml"/><Relationship Id="rId6" Type="http://schemas.openxmlformats.org/officeDocument/2006/relationships/chart" Target="../charts/chart4.xml"/><Relationship Id="rId5" Type="http://schemas.openxmlformats.org/officeDocument/2006/relationships/chart" Target="../charts/chart3.xml"/><Relationship Id="rId4" Type="http://schemas.microsoft.com/office/2014/relationships/chartEx" Target="../charts/chartEx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157162</xdr:colOff>
      <xdr:row>2</xdr:row>
      <xdr:rowOff>9525</xdr:rowOff>
    </xdr:from>
    <xdr:to>
      <xdr:col>8</xdr:col>
      <xdr:colOff>614362</xdr:colOff>
      <xdr:row>17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7368704-100F-6251-5CEF-49F98C1D48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699079</xdr:colOff>
      <xdr:row>1</xdr:row>
      <xdr:rowOff>5165</xdr:rowOff>
    </xdr:from>
    <xdr:to>
      <xdr:col>25</xdr:col>
      <xdr:colOff>486001</xdr:colOff>
      <xdr:row>16</xdr:row>
      <xdr:rowOff>33740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6F623B94-8051-B786-30FB-8177139F9FC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11029" y="186140"/>
              <a:ext cx="10635897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Ten wykres jest niedostępny w Twojej wersji programu Excel.
Edytowanie tego kształtu lub zapisanie tego skoroszytu w innym formacie pliku spowoduje trwałe uszkodzenie wykresu.</a:t>
              </a:r>
            </a:p>
          </xdr:txBody>
        </xdr:sp>
      </mc:Fallback>
    </mc:AlternateContent>
    <xdr:clientData/>
  </xdr:twoCellAnchor>
  <xdr:twoCellAnchor>
    <xdr:from>
      <xdr:col>26</xdr:col>
      <xdr:colOff>11476</xdr:colOff>
      <xdr:row>0</xdr:row>
      <xdr:rowOff>309850</xdr:rowOff>
    </xdr:from>
    <xdr:to>
      <xdr:col>32</xdr:col>
      <xdr:colOff>452151</xdr:colOff>
      <xdr:row>15</xdr:row>
      <xdr:rowOff>161122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6B3D7630-2FFD-4208-89F4-6BFE456A20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22952</xdr:colOff>
      <xdr:row>22</xdr:row>
      <xdr:rowOff>34428</xdr:rowOff>
    </xdr:from>
    <xdr:to>
      <xdr:col>24</xdr:col>
      <xdr:colOff>176729</xdr:colOff>
      <xdr:row>37</xdr:row>
      <xdr:rowOff>23411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Wykres 4">
              <a:extLst>
                <a:ext uri="{FF2B5EF4-FFF2-40B4-BE49-F238E27FC236}">
                  <a16:creationId xmlns:a16="http://schemas.microsoft.com/office/drawing/2014/main" id="{2828ABAD-88D1-4A8E-9821-32BA0BA452F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30227" y="4015878"/>
              <a:ext cx="9621627" cy="270360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Ten wykres jest niedostępny w Twojej wersji programu Excel.
Edytowanie tego kształtu lub zapisanie tego skoroszytu w innym formacie pliku spowoduje trwałe uszkodzenie wykresu.</a:t>
              </a:r>
            </a:p>
          </xdr:txBody>
        </xdr:sp>
      </mc:Fallback>
    </mc:AlternateContent>
    <xdr:clientData/>
  </xdr:twoCellAnchor>
  <xdr:twoCellAnchor>
    <xdr:from>
      <xdr:col>24</xdr:col>
      <xdr:colOff>378705</xdr:colOff>
      <xdr:row>22</xdr:row>
      <xdr:rowOff>22952</xdr:rowOff>
    </xdr:from>
    <xdr:to>
      <xdr:col>31</xdr:col>
      <xdr:colOff>130826</xdr:colOff>
      <xdr:row>37</xdr:row>
      <xdr:rowOff>11935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Wykres 6">
              <a:extLst>
                <a:ext uri="{FF2B5EF4-FFF2-40B4-BE49-F238E27FC236}">
                  <a16:creationId xmlns:a16="http://schemas.microsoft.com/office/drawing/2014/main" id="{7F4DDB64-2A20-4DAA-88B2-0B1D11776BB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9953830" y="4004402"/>
              <a:ext cx="4552721" cy="270360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Ten wykres jest niedostępny w Twojej wersji programu Excel.
Edytowanie tego kształtu lub zapisanie tego skoroszytu w innym formacie pliku spowoduje trwałe uszkodzenie wykresu.</a:t>
              </a:r>
            </a:p>
          </xdr:txBody>
        </xdr:sp>
      </mc:Fallback>
    </mc:AlternateContent>
    <xdr:clientData/>
  </xdr:twoCellAnchor>
  <xdr:twoCellAnchor>
    <xdr:from>
      <xdr:col>19</xdr:col>
      <xdr:colOff>22952</xdr:colOff>
      <xdr:row>38</xdr:row>
      <xdr:rowOff>22952</xdr:rowOff>
    </xdr:from>
    <xdr:to>
      <xdr:col>22</xdr:col>
      <xdr:colOff>853807</xdr:colOff>
      <xdr:row>53</xdr:row>
      <xdr:rowOff>11935</xdr:rowOff>
    </xdr:to>
    <xdr:graphicFrame macro="">
      <xdr:nvGraphicFramePr>
        <xdr:cNvPr id="8" name="Wykres 7">
          <a:extLst>
            <a:ext uri="{FF2B5EF4-FFF2-40B4-BE49-F238E27FC236}">
              <a16:creationId xmlns:a16="http://schemas.microsoft.com/office/drawing/2014/main" id="{CF001C4F-F44E-4AE0-977D-F67762291C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22</xdr:col>
      <xdr:colOff>986928</xdr:colOff>
      <xdr:row>38</xdr:row>
      <xdr:rowOff>34428</xdr:rowOff>
    </xdr:from>
    <xdr:to>
      <xdr:col>23</xdr:col>
      <xdr:colOff>509531</xdr:colOff>
      <xdr:row>53</xdr:row>
      <xdr:rowOff>23411</xdr:rowOff>
    </xdr:to>
    <xdr:graphicFrame macro="">
      <xdr:nvGraphicFramePr>
        <xdr:cNvPr id="9" name="Wykres 8">
          <a:extLst>
            <a:ext uri="{FF2B5EF4-FFF2-40B4-BE49-F238E27FC236}">
              <a16:creationId xmlns:a16="http://schemas.microsoft.com/office/drawing/2014/main" id="{B353EE75-15F9-40E6-8822-5553108C05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665603</xdr:colOff>
      <xdr:row>38</xdr:row>
      <xdr:rowOff>34428</xdr:rowOff>
    </xdr:from>
    <xdr:to>
      <xdr:col>30</xdr:col>
      <xdr:colOff>417723</xdr:colOff>
      <xdr:row>53</xdr:row>
      <xdr:rowOff>23411</xdr:rowOff>
    </xdr:to>
    <xdr:graphicFrame macro="">
      <xdr:nvGraphicFramePr>
        <xdr:cNvPr id="10" name="Wykres 9">
          <a:extLst>
            <a:ext uri="{FF2B5EF4-FFF2-40B4-BE49-F238E27FC236}">
              <a16:creationId xmlns:a16="http://schemas.microsoft.com/office/drawing/2014/main" id="{BD526350-F879-499C-9D95-13DACF5B2D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19</xdr:col>
      <xdr:colOff>11476</xdr:colOff>
      <xdr:row>53</xdr:row>
      <xdr:rowOff>126235</xdr:rowOff>
    </xdr:from>
    <xdr:to>
      <xdr:col>22</xdr:col>
      <xdr:colOff>842331</xdr:colOff>
      <xdr:row>68</xdr:row>
      <xdr:rowOff>115218</xdr:rowOff>
    </xdr:to>
    <xdr:graphicFrame macro="">
      <xdr:nvGraphicFramePr>
        <xdr:cNvPr id="11" name="Wykres 10">
          <a:extLst>
            <a:ext uri="{FF2B5EF4-FFF2-40B4-BE49-F238E27FC236}">
              <a16:creationId xmlns:a16="http://schemas.microsoft.com/office/drawing/2014/main" id="{88FDE6B9-0CF3-4DEC-9E42-944D9E1365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190499</xdr:colOff>
      <xdr:row>7</xdr:row>
      <xdr:rowOff>101974</xdr:rowOff>
    </xdr:from>
    <xdr:to>
      <xdr:col>20</xdr:col>
      <xdr:colOff>661146</xdr:colOff>
      <xdr:row>22</xdr:row>
      <xdr:rowOff>155762</xdr:rowOff>
    </xdr:to>
    <xdr:graphicFrame macro="">
      <xdr:nvGraphicFramePr>
        <xdr:cNvPr id="6" name="Wykres 5">
          <a:extLst>
            <a:ext uri="{FF2B5EF4-FFF2-40B4-BE49-F238E27FC236}">
              <a16:creationId xmlns:a16="http://schemas.microsoft.com/office/drawing/2014/main" id="{7E9D36C9-0FE1-52C9-0139-E58A1D2E4E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228600</xdr:colOff>
      <xdr:row>0</xdr:row>
      <xdr:rowOff>95250</xdr:rowOff>
    </xdr:from>
    <xdr:to>
      <xdr:col>9</xdr:col>
      <xdr:colOff>0</xdr:colOff>
      <xdr:row>15</xdr:row>
      <xdr:rowOff>123825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99F2FD7E-E957-437B-A478-97EC0CD3BC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uba Świerczyński" refreshedDate="46098.692506250001" createdVersion="8" refreshedVersion="8" minRefreshableVersion="3" recordCount="643" xr:uid="{059AF82B-C90B-409A-87D7-8274E5CBADA9}">
  <cacheSource type="worksheet">
    <worksheetSource ref="B1:P644" sheet="Data"/>
  </cacheSource>
  <cacheFields count="15">
    <cacheField name="Age" numFmtId="0">
      <sharedItems containsSemiMixedTypes="0" containsString="0" containsNumber="1" containsInteger="1" minValue="17" maxValue="90" count="62">
        <n v="18"/>
        <n v="28"/>
        <n v="35"/>
        <n v="46"/>
        <n v="34"/>
        <n v="44"/>
        <n v="54"/>
        <n v="30"/>
        <n v="42"/>
        <n v="21"/>
        <n v="36"/>
        <n v="31"/>
        <n v="55"/>
        <n v="45"/>
        <n v="23"/>
        <n v="40"/>
        <n v="37"/>
        <n v="43"/>
        <n v="29"/>
        <n v="17"/>
        <n v="66"/>
        <n v="69"/>
        <n v="27"/>
        <n v="26"/>
        <n v="50"/>
        <n v="59"/>
        <n v="64"/>
        <n v="19"/>
        <n v="47"/>
        <n v="56"/>
        <n v="51"/>
        <n v="20"/>
        <n v="25"/>
        <n v="22"/>
        <n v="39"/>
        <n v="53"/>
        <n v="24"/>
        <n v="58"/>
        <n v="41"/>
        <n v="48"/>
        <n v="33"/>
        <n v="73"/>
        <n v="70"/>
        <n v="38"/>
        <n v="32"/>
        <n v="52"/>
        <n v="57"/>
        <n v="61"/>
        <n v="63"/>
        <n v="49"/>
        <n v="90"/>
        <n v="62"/>
        <n v="74"/>
        <n v="60"/>
        <n v="67"/>
        <n v="71"/>
        <n v="65"/>
        <n v="75"/>
        <n v="68"/>
        <n v="76"/>
        <n v="80"/>
        <n v="81"/>
      </sharedItems>
      <fieldGroup base="0">
        <rangePr autoStart="0" autoEnd="0" startNum="15" endNum="90" groupInterval="5"/>
        <groupItems count="17">
          <s v="&lt;15"/>
          <s v="15-19"/>
          <s v="20-24"/>
          <s v="25-29"/>
          <s v="30-34"/>
          <s v="35-39"/>
          <s v="40-44"/>
          <s v="45-49"/>
          <s v="50-54"/>
          <s v="55-59"/>
          <s v="60-64"/>
          <s v="65-69"/>
          <s v="70-74"/>
          <s v="75-79"/>
          <s v="80-84"/>
          <s v="85-90"/>
          <s v="&gt;90"/>
        </groupItems>
      </fieldGroup>
    </cacheField>
    <cacheField name="Work_class" numFmtId="0">
      <sharedItems/>
    </cacheField>
    <cacheField name="fnlwgt" numFmtId="0">
      <sharedItems containsSemiMixedTypes="0" containsString="0" containsNumber="1" containsInteger="1" minValue="19302" maxValue="592930"/>
    </cacheField>
    <cacheField name="education" numFmtId="0">
      <sharedItems/>
    </cacheField>
    <cacheField name="education-num" numFmtId="0">
      <sharedItems containsSemiMixedTypes="0" containsString="0" containsNumber="1" containsInteger="1" minValue="1" maxValue="16"/>
    </cacheField>
    <cacheField name="marital-status" numFmtId="0">
      <sharedItems/>
    </cacheField>
    <cacheField name="occupation" numFmtId="0">
      <sharedItems/>
    </cacheField>
    <cacheField name="relationship" numFmtId="0">
      <sharedItems/>
    </cacheField>
    <cacheField name="race" numFmtId="0">
      <sharedItems/>
    </cacheField>
    <cacheField name="sex" numFmtId="0">
      <sharedItems/>
    </cacheField>
    <cacheField name="capital-gain" numFmtId="0">
      <sharedItems containsSemiMixedTypes="0" containsString="0" containsNumber="1" containsInteger="1" minValue="0" maxValue="99999"/>
    </cacheField>
    <cacheField name="capital-loss" numFmtId="0">
      <sharedItems containsSemiMixedTypes="0" containsString="0" containsNumber="1" containsInteger="1" minValue="0" maxValue="2824"/>
    </cacheField>
    <cacheField name="hours-per-week" numFmtId="0">
      <sharedItems containsSemiMixedTypes="0" containsString="0" containsNumber="1" containsInteger="1" minValue="4" maxValue="99"/>
    </cacheField>
    <cacheField name="native-country" numFmtId="0">
      <sharedItems/>
    </cacheField>
    <cacheField name="Income" numFmtId="0">
      <sharedItems count="2">
        <s v="&lt;=50K"/>
        <s v="&gt;50K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om" refreshedDate="46104.59283090278" createdVersion="8" refreshedVersion="8" minRefreshableVersion="3" recordCount="643" xr:uid="{BA22ED04-83D4-4708-AB12-44A31C6C4A96}">
  <cacheSource type="worksheet">
    <worksheetSource name="Tabela2"/>
  </cacheSource>
  <cacheFields count="18">
    <cacheField name="Kolumna1" numFmtId="0">
      <sharedItems/>
    </cacheField>
    <cacheField name="Age" numFmtId="0">
      <sharedItems containsSemiMixedTypes="0" containsString="0" containsNumber="1" containsInteger="1" minValue="17" maxValue="90"/>
    </cacheField>
    <cacheField name="Work_class" numFmtId="0">
      <sharedItems/>
    </cacheField>
    <cacheField name="fnlwgt" numFmtId="0">
      <sharedItems containsSemiMixedTypes="0" containsString="0" containsNumber="1" containsInteger="1" minValue="19302" maxValue="592930"/>
    </cacheField>
    <cacheField name="education" numFmtId="0">
      <sharedItems count="16">
        <s v="11th"/>
        <s v="Assoc-acdm"/>
        <s v="Some-college"/>
        <s v="5th-6th"/>
        <s v="12th"/>
        <s v="Bachelors"/>
        <s v="HS-grad"/>
        <s v="Masters"/>
        <s v="10th"/>
        <s v="Assoc-voc"/>
        <s v="Prof-school"/>
        <s v="Preschool"/>
        <s v="7th-8th"/>
        <s v="Doctorate"/>
        <s v="9th"/>
        <s v="1st-4th"/>
      </sharedItems>
    </cacheField>
    <cacheField name="education-num" numFmtId="0">
      <sharedItems containsSemiMixedTypes="0" containsString="0" containsNumber="1" containsInteger="1" minValue="1" maxValue="16"/>
    </cacheField>
    <cacheField name="marital-status" numFmtId="0">
      <sharedItems/>
    </cacheField>
    <cacheField name="occupation" numFmtId="0">
      <sharedItems/>
    </cacheField>
    <cacheField name="relationship" numFmtId="0">
      <sharedItems/>
    </cacheField>
    <cacheField name="race" numFmtId="0">
      <sharedItems/>
    </cacheField>
    <cacheField name="sex" numFmtId="0">
      <sharedItems count="2">
        <s v="Female"/>
        <s v="Male"/>
      </sharedItems>
    </cacheField>
    <cacheField name="capital-gain" numFmtId="0">
      <sharedItems containsSemiMixedTypes="0" containsString="0" containsNumber="1" containsInteger="1" minValue="0" maxValue="99999"/>
    </cacheField>
    <cacheField name="capital-loss" numFmtId="0">
      <sharedItems containsSemiMixedTypes="0" containsString="0" containsNumber="1" containsInteger="1" minValue="0" maxValue="2824"/>
    </cacheField>
    <cacheField name="hours-per-week" numFmtId="0">
      <sharedItems containsSemiMixedTypes="0" containsString="0" containsNumber="1" containsInteger="1" minValue="4" maxValue="99"/>
    </cacheField>
    <cacheField name="native-country" numFmtId="0">
      <sharedItems/>
    </cacheField>
    <cacheField name="Income" numFmtId="0">
      <sharedItems count="2">
        <s v="&lt;=50K"/>
        <s v="&gt;50K"/>
      </sharedItems>
    </cacheField>
    <cacheField name="Female" numFmtId="0">
      <sharedItems containsMixedTypes="1" containsNumber="1" containsInteger="1" minValue="4" maxValue="99"/>
    </cacheField>
    <cacheField name="Male" numFmtId="0">
      <sharedItems containsMixedTypes="1" containsNumber="1" containsInteger="1" minValue="4" maxValue="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3">
  <r>
    <x v="0"/>
    <s v="Private"/>
    <n v="309634"/>
    <s v="11th"/>
    <n v="7"/>
    <s v="Never-married"/>
    <s v="Other-service"/>
    <s v="Own-child"/>
    <s v="White"/>
    <s v="Female"/>
    <n v="0"/>
    <n v="0"/>
    <n v="22"/>
    <s v="United-States"/>
    <x v="0"/>
  </r>
  <r>
    <x v="1"/>
    <s v="Private"/>
    <n v="69621"/>
    <s v="Assoc-acdm"/>
    <n v="12"/>
    <s v="Never-married"/>
    <s v="Sales"/>
    <s v="Not-in-family"/>
    <s v="White"/>
    <s v="Female"/>
    <n v="0"/>
    <n v="0"/>
    <n v="60"/>
    <s v="United-States"/>
    <x v="0"/>
  </r>
  <r>
    <x v="2"/>
    <s v="Private"/>
    <n v="153790"/>
    <s v="Some-college"/>
    <n v="10"/>
    <s v="Never-married"/>
    <s v="Sales"/>
    <s v="Not-in-family"/>
    <s v="Amer-Indian-Eskimo"/>
    <s v="Female"/>
    <n v="0"/>
    <n v="0"/>
    <n v="40"/>
    <s v="United-States"/>
    <x v="0"/>
  </r>
  <r>
    <x v="3"/>
    <s v="Private"/>
    <n v="214955"/>
    <s v="5th-6th"/>
    <n v="3"/>
    <s v="Divorced"/>
    <s v="Craft-repair"/>
    <s v="Not-in-family"/>
    <s v="White"/>
    <s v="Female"/>
    <n v="0"/>
    <n v="2339"/>
    <n v="45"/>
    <s v="United-States"/>
    <x v="0"/>
  </r>
  <r>
    <x v="2"/>
    <s v="Private"/>
    <n v="92440"/>
    <s v="12th"/>
    <n v="8"/>
    <s v="Divorced"/>
    <s v="Craft-repair"/>
    <s v="Not-in-family"/>
    <s v="White"/>
    <s v="Male"/>
    <n v="0"/>
    <n v="0"/>
    <n v="50"/>
    <s v="United-States"/>
    <x v="1"/>
  </r>
  <r>
    <x v="4"/>
    <s v="Local-gov"/>
    <n v="243867"/>
    <s v="11th"/>
    <n v="7"/>
    <s v="Separated"/>
    <s v="Machine-op-inspct"/>
    <s v="Not-in-family"/>
    <s v="Black"/>
    <s v="Male"/>
    <n v="0"/>
    <n v="0"/>
    <n v="40"/>
    <s v="United-States"/>
    <x v="0"/>
  </r>
  <r>
    <x v="5"/>
    <s v="Private"/>
    <n v="116632"/>
    <s v="Assoc-acdm"/>
    <n v="12"/>
    <s v="Never-married"/>
    <s v="Farming-fishing"/>
    <s v="Own-child"/>
    <s v="White"/>
    <s v="Male"/>
    <n v="0"/>
    <n v="0"/>
    <n v="40"/>
    <s v="United-States"/>
    <x v="0"/>
  </r>
  <r>
    <x v="1"/>
    <s v="State-gov"/>
    <n v="70100"/>
    <s v="Bachelors"/>
    <n v="13"/>
    <s v="Never-married"/>
    <s v="Prof-specialty"/>
    <s v="Not-in-family"/>
    <s v="White"/>
    <s v="Male"/>
    <n v="0"/>
    <n v="0"/>
    <n v="20"/>
    <s v="United-States"/>
    <x v="0"/>
  </r>
  <r>
    <x v="4"/>
    <s v="Private"/>
    <n v="148291"/>
    <s v="HS-grad"/>
    <n v="9"/>
    <s v="Married-civ-spouse"/>
    <s v="Tech-support"/>
    <s v="Wife"/>
    <s v="White"/>
    <s v="Female"/>
    <n v="0"/>
    <n v="0"/>
    <n v="32"/>
    <s v="United-States"/>
    <x v="0"/>
  </r>
  <r>
    <x v="6"/>
    <s v="Private"/>
    <n v="212960"/>
    <s v="Bachelors"/>
    <n v="13"/>
    <s v="Married-civ-spouse"/>
    <s v="Sales"/>
    <s v="Husband"/>
    <s v="White"/>
    <s v="Male"/>
    <n v="0"/>
    <n v="0"/>
    <n v="35"/>
    <s v="United-States"/>
    <x v="1"/>
  </r>
  <r>
    <x v="7"/>
    <s v="Private"/>
    <n v="103649"/>
    <s v="Bachelors"/>
    <n v="13"/>
    <s v="Married-civ-spouse"/>
    <s v="Adm-clerical"/>
    <s v="Wife"/>
    <s v="Black"/>
    <s v="Female"/>
    <n v="0"/>
    <n v="0"/>
    <n v="40"/>
    <s v="United-States"/>
    <x v="1"/>
  </r>
  <r>
    <x v="8"/>
    <s v="Private"/>
    <n v="247019"/>
    <s v="HS-grad"/>
    <n v="9"/>
    <s v="Married-civ-spouse"/>
    <s v="Craft-repair"/>
    <s v="Husband"/>
    <s v="Black"/>
    <s v="Male"/>
    <n v="0"/>
    <n v="0"/>
    <n v="40"/>
    <s v="United-States"/>
    <x v="1"/>
  </r>
  <r>
    <x v="9"/>
    <s v="Private"/>
    <n v="163870"/>
    <s v="Some-college"/>
    <n v="10"/>
    <s v="Never-married"/>
    <s v="Handlers-cleaners"/>
    <s v="Own-child"/>
    <s v="White"/>
    <s v="Male"/>
    <n v="0"/>
    <n v="0"/>
    <n v="30"/>
    <s v="United-States"/>
    <x v="0"/>
  </r>
  <r>
    <x v="10"/>
    <s v="Private"/>
    <n v="70282"/>
    <s v="Some-college"/>
    <n v="10"/>
    <s v="Divorced"/>
    <s v="Adm-clerical"/>
    <s v="Unmarried"/>
    <s v="Black"/>
    <s v="Female"/>
    <n v="0"/>
    <n v="0"/>
    <n v="40"/>
    <s v="United-States"/>
    <x v="0"/>
  </r>
  <r>
    <x v="11"/>
    <s v="Private"/>
    <n v="295697"/>
    <s v="HS-grad"/>
    <n v="9"/>
    <s v="Separated"/>
    <s v="Other-service"/>
    <s v="Unmarried"/>
    <s v="Black"/>
    <s v="Female"/>
    <n v="0"/>
    <n v="0"/>
    <n v="40"/>
    <s v="United-States"/>
    <x v="0"/>
  </r>
  <r>
    <x v="12"/>
    <s v="Private"/>
    <n v="173093"/>
    <s v="Some-college"/>
    <n v="10"/>
    <s v="Divorced"/>
    <s v="Adm-clerical"/>
    <s v="Not-in-family"/>
    <s v="Asian-Pac-Islander"/>
    <s v="Female"/>
    <n v="0"/>
    <n v="0"/>
    <n v="40"/>
    <s v="United-States"/>
    <x v="0"/>
  </r>
  <r>
    <x v="13"/>
    <s v="?"/>
    <n v="51164"/>
    <s v="Some-college"/>
    <n v="10"/>
    <s v="Married-civ-spouse"/>
    <s v="?"/>
    <s v="Wife"/>
    <s v="Black"/>
    <s v="Female"/>
    <n v="0"/>
    <n v="0"/>
    <n v="40"/>
    <s v="United-States"/>
    <x v="0"/>
  </r>
  <r>
    <x v="14"/>
    <s v="Private"/>
    <n v="145111"/>
    <s v="HS-grad"/>
    <n v="9"/>
    <s v="Never-married"/>
    <s v="Transport-moving"/>
    <s v="Unmarried"/>
    <s v="White"/>
    <s v="Male"/>
    <n v="0"/>
    <n v="0"/>
    <n v="50"/>
    <s v="United-States"/>
    <x v="0"/>
  </r>
  <r>
    <x v="15"/>
    <s v="State-gov"/>
    <n v="188693"/>
    <s v="Masters"/>
    <n v="14"/>
    <s v="Married-civ-spouse"/>
    <s v="Prof-specialty"/>
    <s v="Husband"/>
    <s v="White"/>
    <s v="Male"/>
    <n v="0"/>
    <n v="0"/>
    <n v="35"/>
    <s v="United-States"/>
    <x v="1"/>
  </r>
  <r>
    <x v="16"/>
    <s v="Private"/>
    <n v="215310"/>
    <s v="HS-grad"/>
    <n v="9"/>
    <s v="Married-civ-spouse"/>
    <s v="Craft-repair"/>
    <s v="Husband"/>
    <s v="White"/>
    <s v="Male"/>
    <n v="0"/>
    <n v="0"/>
    <n v="50"/>
    <s v="United-States"/>
    <x v="1"/>
  </r>
  <r>
    <x v="17"/>
    <s v="Private"/>
    <n v="173728"/>
    <s v="Bachelors"/>
    <n v="13"/>
    <s v="Separated"/>
    <s v="Prof-specialty"/>
    <s v="Unmarried"/>
    <s v="White"/>
    <s v="Female"/>
    <n v="0"/>
    <n v="0"/>
    <n v="40"/>
    <s v="United-States"/>
    <x v="0"/>
  </r>
  <r>
    <x v="11"/>
    <s v="Private"/>
    <n v="185732"/>
    <s v="HS-grad"/>
    <n v="9"/>
    <s v="Never-married"/>
    <s v="Other-service"/>
    <s v="Own-child"/>
    <s v="White"/>
    <s v="Female"/>
    <n v="0"/>
    <n v="0"/>
    <n v="30"/>
    <s v="United-States"/>
    <x v="0"/>
  </r>
  <r>
    <x v="1"/>
    <s v="Self-emp-not-inc"/>
    <n v="218555"/>
    <s v="Some-college"/>
    <n v="10"/>
    <s v="Never-married"/>
    <s v="Transport-moving"/>
    <s v="Not-in-family"/>
    <s v="White"/>
    <s v="Male"/>
    <n v="0"/>
    <n v="1762"/>
    <n v="40"/>
    <s v="United-States"/>
    <x v="0"/>
  </r>
  <r>
    <x v="18"/>
    <s v="Federal-gov"/>
    <n v="301010"/>
    <s v="Some-college"/>
    <n v="10"/>
    <s v="Never-married"/>
    <s v="Armed-Forces"/>
    <s v="Not-in-family"/>
    <s v="Black"/>
    <s v="Male"/>
    <n v="0"/>
    <n v="0"/>
    <n v="60"/>
    <s v="United-States"/>
    <x v="0"/>
  </r>
  <r>
    <x v="19"/>
    <s v="?"/>
    <n v="138507"/>
    <s v="10th"/>
    <n v="6"/>
    <s v="Never-married"/>
    <s v="?"/>
    <s v="Own-child"/>
    <s v="White"/>
    <s v="Male"/>
    <n v="0"/>
    <n v="0"/>
    <n v="20"/>
    <s v="United-States"/>
    <x v="0"/>
  </r>
  <r>
    <x v="19"/>
    <s v="Private"/>
    <n v="197850"/>
    <s v="11th"/>
    <n v="7"/>
    <s v="Never-married"/>
    <s v="Adm-clerical"/>
    <s v="Own-child"/>
    <s v="Asian-Pac-Islander"/>
    <s v="Female"/>
    <n v="0"/>
    <n v="0"/>
    <n v="24"/>
    <s v="United-States"/>
    <x v="0"/>
  </r>
  <r>
    <x v="20"/>
    <s v="Self-emp-not-inc"/>
    <n v="298834"/>
    <s v="Assoc-voc"/>
    <n v="11"/>
    <s v="Married-civ-spouse"/>
    <s v="Prof-specialty"/>
    <s v="Husband"/>
    <s v="White"/>
    <s v="Male"/>
    <n v="0"/>
    <n v="0"/>
    <n v="50"/>
    <s v="United-States"/>
    <x v="0"/>
  </r>
  <r>
    <x v="21"/>
    <s v="?"/>
    <n v="473040"/>
    <s v="5th-6th"/>
    <n v="3"/>
    <s v="Divorced"/>
    <s v="?"/>
    <s v="Not-in-family"/>
    <s v="White"/>
    <s v="Male"/>
    <n v="0"/>
    <n v="0"/>
    <n v="40"/>
    <s v="United-States"/>
    <x v="0"/>
  </r>
  <r>
    <x v="22"/>
    <s v="Private"/>
    <n v="168107"/>
    <s v="Bachelors"/>
    <n v="13"/>
    <s v="Married-civ-spouse"/>
    <s v="Craft-repair"/>
    <s v="Husband"/>
    <s v="White"/>
    <s v="Male"/>
    <n v="0"/>
    <n v="0"/>
    <n v="40"/>
    <s v="United-States"/>
    <x v="0"/>
  </r>
  <r>
    <x v="23"/>
    <s v="Private"/>
    <n v="294493"/>
    <s v="Bachelors"/>
    <n v="13"/>
    <s v="Never-married"/>
    <s v="Craft-repair"/>
    <s v="Other-relative"/>
    <s v="White"/>
    <s v="Male"/>
    <n v="0"/>
    <n v="0"/>
    <n v="40"/>
    <s v="United-States"/>
    <x v="0"/>
  </r>
  <r>
    <x v="24"/>
    <s v="Private"/>
    <n v="171338"/>
    <s v="Some-college"/>
    <n v="10"/>
    <s v="Married-civ-spouse"/>
    <s v="Exec-managerial"/>
    <s v="Husband"/>
    <s v="White"/>
    <s v="Male"/>
    <n v="99999"/>
    <n v="0"/>
    <n v="50"/>
    <s v="United-States"/>
    <x v="1"/>
  </r>
  <r>
    <x v="25"/>
    <s v="Private"/>
    <n v="183606"/>
    <s v="11th"/>
    <n v="7"/>
    <s v="Married-civ-spouse"/>
    <s v="Machine-op-inspct"/>
    <s v="Husband"/>
    <s v="White"/>
    <s v="Male"/>
    <n v="0"/>
    <n v="0"/>
    <n v="40"/>
    <s v="United-States"/>
    <x v="0"/>
  </r>
  <r>
    <x v="16"/>
    <s v="Local-gov"/>
    <n v="118909"/>
    <s v="HS-grad"/>
    <n v="9"/>
    <s v="Divorced"/>
    <s v="Adm-clerical"/>
    <s v="Unmarried"/>
    <s v="Black"/>
    <s v="Female"/>
    <n v="0"/>
    <n v="0"/>
    <n v="35"/>
    <s v="United-States"/>
    <x v="0"/>
  </r>
  <r>
    <x v="0"/>
    <s v="Private"/>
    <n v="152545"/>
    <s v="HS-grad"/>
    <n v="9"/>
    <s v="Never-married"/>
    <s v="Other-service"/>
    <s v="Own-child"/>
    <s v="White"/>
    <s v="Female"/>
    <n v="0"/>
    <n v="0"/>
    <n v="8"/>
    <s v="United-States"/>
    <x v="0"/>
  </r>
  <r>
    <x v="9"/>
    <s v="Private"/>
    <n v="165475"/>
    <s v="HS-grad"/>
    <n v="9"/>
    <s v="Married-civ-spouse"/>
    <s v="Machine-op-inspct"/>
    <s v="Husband"/>
    <s v="White"/>
    <s v="Male"/>
    <n v="0"/>
    <n v="0"/>
    <n v="40"/>
    <s v="United-States"/>
    <x v="0"/>
  </r>
  <r>
    <x v="26"/>
    <s v="Private"/>
    <n v="170483"/>
    <s v="HS-grad"/>
    <n v="9"/>
    <s v="Widowed"/>
    <s v="Other-service"/>
    <s v="Not-in-family"/>
    <s v="White"/>
    <s v="Female"/>
    <n v="0"/>
    <n v="0"/>
    <n v="38"/>
    <s v="United-States"/>
    <x v="0"/>
  </r>
  <r>
    <x v="24"/>
    <s v="Private"/>
    <n v="112351"/>
    <s v="HS-grad"/>
    <n v="9"/>
    <s v="Divorced"/>
    <s v="Exec-managerial"/>
    <s v="Unmarried"/>
    <s v="White"/>
    <s v="Male"/>
    <n v="0"/>
    <n v="0"/>
    <n v="38"/>
    <s v="United-States"/>
    <x v="0"/>
  </r>
  <r>
    <x v="27"/>
    <s v="Private"/>
    <n v="354104"/>
    <s v="HS-grad"/>
    <n v="9"/>
    <s v="Never-married"/>
    <s v="Handlers-cleaners"/>
    <s v="Own-child"/>
    <s v="White"/>
    <s v="Male"/>
    <n v="0"/>
    <n v="0"/>
    <n v="30"/>
    <s v="United-States"/>
    <x v="0"/>
  </r>
  <r>
    <x v="1"/>
    <s v="?"/>
    <n v="308493"/>
    <s v="HS-grad"/>
    <n v="9"/>
    <s v="Married-civ-spouse"/>
    <s v="?"/>
    <s v="Wife"/>
    <s v="White"/>
    <s v="Female"/>
    <n v="0"/>
    <n v="0"/>
    <n v="17"/>
    <s v="Honduras"/>
    <x v="0"/>
  </r>
  <r>
    <x v="28"/>
    <s v="Private"/>
    <n v="326857"/>
    <s v="Assoc-voc"/>
    <n v="11"/>
    <s v="Married-civ-spouse"/>
    <s v="Craft-repair"/>
    <s v="Husband"/>
    <s v="White"/>
    <s v="Male"/>
    <n v="5013"/>
    <n v="0"/>
    <n v="40"/>
    <s v="United-States"/>
    <x v="0"/>
  </r>
  <r>
    <x v="29"/>
    <s v="Local-gov"/>
    <n v="242670"/>
    <s v="Some-college"/>
    <n v="10"/>
    <s v="Widowed"/>
    <s v="Adm-clerical"/>
    <s v="Unmarried"/>
    <s v="White"/>
    <s v="Female"/>
    <n v="0"/>
    <n v="0"/>
    <n v="40"/>
    <s v="United-States"/>
    <x v="0"/>
  </r>
  <r>
    <x v="23"/>
    <s v="Private"/>
    <n v="60726"/>
    <s v="Some-college"/>
    <n v="10"/>
    <s v="Married-civ-spouse"/>
    <s v="Craft-repair"/>
    <s v="Husband"/>
    <s v="Black"/>
    <s v="Male"/>
    <n v="0"/>
    <n v="0"/>
    <n v="40"/>
    <s v="United-States"/>
    <x v="0"/>
  </r>
  <r>
    <x v="30"/>
    <s v="Private"/>
    <n v="204322"/>
    <s v="Assoc-voc"/>
    <n v="11"/>
    <s v="Married-civ-spouse"/>
    <s v="Handlers-cleaners"/>
    <s v="Husband"/>
    <s v="White"/>
    <s v="Male"/>
    <n v="0"/>
    <n v="0"/>
    <n v="40"/>
    <s v="United-States"/>
    <x v="1"/>
  </r>
  <r>
    <x v="31"/>
    <s v="Private"/>
    <n v="236769"/>
    <s v="Some-college"/>
    <n v="10"/>
    <s v="Never-married"/>
    <s v="Handlers-cleaners"/>
    <s v="Own-child"/>
    <s v="White"/>
    <s v="Male"/>
    <n v="0"/>
    <n v="0"/>
    <n v="40"/>
    <s v="United-States"/>
    <x v="0"/>
  </r>
  <r>
    <x v="32"/>
    <s v="Private"/>
    <n v="73289"/>
    <s v="HS-grad"/>
    <n v="9"/>
    <s v="Never-married"/>
    <s v="Transport-moving"/>
    <s v="Own-child"/>
    <s v="White"/>
    <s v="Male"/>
    <n v="0"/>
    <n v="0"/>
    <n v="40"/>
    <s v="United-States"/>
    <x v="0"/>
  </r>
  <r>
    <x v="3"/>
    <s v="Private"/>
    <n v="109089"/>
    <s v="HS-grad"/>
    <n v="9"/>
    <s v="Divorced"/>
    <s v="Craft-repair"/>
    <s v="Not-in-family"/>
    <s v="White"/>
    <s v="Male"/>
    <n v="0"/>
    <n v="0"/>
    <n v="37"/>
    <s v="United-States"/>
    <x v="0"/>
  </r>
  <r>
    <x v="33"/>
    <s v="Private"/>
    <n v="230574"/>
    <s v="10th"/>
    <n v="6"/>
    <s v="Never-married"/>
    <s v="Transport-moving"/>
    <s v="Own-child"/>
    <s v="White"/>
    <s v="Male"/>
    <n v="0"/>
    <n v="0"/>
    <n v="25"/>
    <s v="United-States"/>
    <x v="0"/>
  </r>
  <r>
    <x v="16"/>
    <s v="Private"/>
    <n v="65390"/>
    <s v="Bachelors"/>
    <n v="13"/>
    <s v="Married-civ-spouse"/>
    <s v="Farming-fishing"/>
    <s v="Husband"/>
    <s v="White"/>
    <s v="Male"/>
    <n v="0"/>
    <n v="0"/>
    <n v="50"/>
    <s v="United-States"/>
    <x v="0"/>
  </r>
  <r>
    <x v="33"/>
    <s v="Private"/>
    <n v="189950"/>
    <s v="Bachelors"/>
    <n v="13"/>
    <s v="Never-married"/>
    <s v="Prof-specialty"/>
    <s v="Not-in-family"/>
    <s v="White"/>
    <s v="Male"/>
    <n v="0"/>
    <n v="0"/>
    <n v="55"/>
    <s v="United-States"/>
    <x v="0"/>
  </r>
  <r>
    <x v="22"/>
    <s v="Private"/>
    <n v="387776"/>
    <s v="Some-college"/>
    <n v="10"/>
    <s v="Never-married"/>
    <s v="Other-service"/>
    <s v="Own-child"/>
    <s v="White"/>
    <s v="Male"/>
    <n v="0"/>
    <n v="0"/>
    <n v="40"/>
    <s v="United-States"/>
    <x v="0"/>
  </r>
  <r>
    <x v="12"/>
    <s v="Self-emp-inc"/>
    <n v="124137"/>
    <s v="Prof-school"/>
    <n v="15"/>
    <s v="Married-civ-spouse"/>
    <s v="Prof-specialty"/>
    <s v="Husband"/>
    <s v="White"/>
    <s v="Male"/>
    <n v="0"/>
    <n v="2415"/>
    <n v="35"/>
    <s v="Greece"/>
    <x v="1"/>
  </r>
  <r>
    <x v="34"/>
    <s v="Private"/>
    <n v="172425"/>
    <s v="Assoc-voc"/>
    <n v="11"/>
    <s v="Married-civ-spouse"/>
    <s v="Adm-clerical"/>
    <s v="Wife"/>
    <s v="White"/>
    <s v="Female"/>
    <n v="0"/>
    <n v="0"/>
    <n v="20"/>
    <s v="United-States"/>
    <x v="1"/>
  </r>
  <r>
    <x v="35"/>
    <s v="?"/>
    <n v="181317"/>
    <s v="HS-grad"/>
    <n v="9"/>
    <s v="Married-civ-spouse"/>
    <s v="?"/>
    <s v="Husband"/>
    <s v="White"/>
    <s v="Male"/>
    <n v="0"/>
    <n v="0"/>
    <n v="40"/>
    <s v="United-States"/>
    <x v="0"/>
  </r>
  <r>
    <x v="36"/>
    <s v="State-gov"/>
    <n v="166851"/>
    <s v="Masters"/>
    <n v="14"/>
    <s v="Never-married"/>
    <s v="Prof-specialty"/>
    <s v="Not-in-family"/>
    <s v="White"/>
    <s v="Male"/>
    <n v="0"/>
    <n v="0"/>
    <n v="13"/>
    <s v="United-States"/>
    <x v="0"/>
  </r>
  <r>
    <x v="36"/>
    <s v="Private"/>
    <n v="145964"/>
    <s v="Bachelors"/>
    <n v="13"/>
    <s v="Never-married"/>
    <s v="Exec-managerial"/>
    <s v="Not-in-family"/>
    <s v="White"/>
    <s v="Male"/>
    <n v="0"/>
    <n v="0"/>
    <n v="40"/>
    <s v="United-States"/>
    <x v="0"/>
  </r>
  <r>
    <x v="9"/>
    <s v="Private"/>
    <n v="34616"/>
    <s v="Some-college"/>
    <n v="10"/>
    <s v="Never-married"/>
    <s v="Other-service"/>
    <s v="Own-child"/>
    <s v="White"/>
    <s v="Female"/>
    <n v="0"/>
    <n v="0"/>
    <n v="25"/>
    <s v="United-States"/>
    <x v="0"/>
  </r>
  <r>
    <x v="7"/>
    <s v="Federal-gov"/>
    <n v="68330"/>
    <s v="Bachelors"/>
    <n v="13"/>
    <s v="Never-married"/>
    <s v="Prof-specialty"/>
    <s v="Not-in-family"/>
    <s v="White"/>
    <s v="Male"/>
    <n v="0"/>
    <n v="0"/>
    <n v="40"/>
    <s v="United-States"/>
    <x v="1"/>
  </r>
  <r>
    <x v="37"/>
    <s v="Private"/>
    <n v="205896"/>
    <s v="HS-grad"/>
    <n v="9"/>
    <s v="Divorced"/>
    <s v="Sales"/>
    <s v="Other-relative"/>
    <s v="White"/>
    <s v="Female"/>
    <n v="0"/>
    <n v="0"/>
    <n v="40"/>
    <s v="United-States"/>
    <x v="0"/>
  </r>
  <r>
    <x v="38"/>
    <s v="Private"/>
    <n v="194710"/>
    <s v="HS-grad"/>
    <n v="9"/>
    <s v="Never-married"/>
    <s v="Exec-managerial"/>
    <s v="Not-in-family"/>
    <s v="White"/>
    <s v="Female"/>
    <n v="0"/>
    <n v="0"/>
    <n v="40"/>
    <s v="United-States"/>
    <x v="0"/>
  </r>
  <r>
    <x v="19"/>
    <s v="Private"/>
    <n v="295488"/>
    <s v="11th"/>
    <n v="7"/>
    <s v="Never-married"/>
    <s v="Other-service"/>
    <s v="Own-child"/>
    <s v="Black"/>
    <s v="Female"/>
    <n v="0"/>
    <n v="0"/>
    <n v="25"/>
    <s v="United-States"/>
    <x v="0"/>
  </r>
  <r>
    <x v="11"/>
    <s v="Private"/>
    <n v="169240"/>
    <s v="HS-grad"/>
    <n v="9"/>
    <s v="Never-married"/>
    <s v="Other-service"/>
    <s v="Not-in-family"/>
    <s v="White"/>
    <s v="Female"/>
    <n v="0"/>
    <n v="0"/>
    <n v="40"/>
    <s v="United-States"/>
    <x v="0"/>
  </r>
  <r>
    <x v="39"/>
    <s v="Private"/>
    <n v="186172"/>
    <s v="Bachelors"/>
    <n v="13"/>
    <s v="Married-civ-spouse"/>
    <s v="Exec-managerial"/>
    <s v="Husband"/>
    <s v="White"/>
    <s v="Male"/>
    <n v="0"/>
    <n v="0"/>
    <n v="45"/>
    <s v="United-States"/>
    <x v="1"/>
  </r>
  <r>
    <x v="8"/>
    <s v="Private"/>
    <n v="200574"/>
    <s v="Some-college"/>
    <n v="10"/>
    <s v="Married-civ-spouse"/>
    <s v="Sales"/>
    <s v="Husband"/>
    <s v="White"/>
    <s v="Male"/>
    <n v="0"/>
    <n v="0"/>
    <n v="40"/>
    <s v="United-States"/>
    <x v="0"/>
  </r>
  <r>
    <x v="23"/>
    <s v="Private"/>
    <n v="198163"/>
    <s v="Masters"/>
    <n v="14"/>
    <s v="Married-civ-spouse"/>
    <s v="Sales"/>
    <s v="Wife"/>
    <s v="White"/>
    <s v="Female"/>
    <n v="0"/>
    <n v="0"/>
    <n v="40"/>
    <s v="United-States"/>
    <x v="0"/>
  </r>
  <r>
    <x v="40"/>
    <s v="Private"/>
    <n v="144064"/>
    <s v="Bachelors"/>
    <n v="13"/>
    <s v="Married-civ-spouse"/>
    <s v="Exec-managerial"/>
    <s v="Husband"/>
    <s v="White"/>
    <s v="Male"/>
    <n v="0"/>
    <n v="0"/>
    <n v="50"/>
    <s v="United-States"/>
    <x v="0"/>
  </r>
  <r>
    <x v="15"/>
    <s v="Private"/>
    <n v="220609"/>
    <s v="Some-college"/>
    <n v="10"/>
    <s v="Divorced"/>
    <s v="Exec-managerial"/>
    <s v="Not-in-family"/>
    <s v="White"/>
    <s v="Female"/>
    <n v="0"/>
    <n v="0"/>
    <n v="40"/>
    <s v="United-States"/>
    <x v="0"/>
  </r>
  <r>
    <x v="30"/>
    <s v="Private"/>
    <n v="24185"/>
    <s v="Bachelors"/>
    <n v="13"/>
    <s v="Married-civ-spouse"/>
    <s v="Craft-repair"/>
    <s v="Husband"/>
    <s v="White"/>
    <s v="Male"/>
    <n v="0"/>
    <n v="0"/>
    <n v="40"/>
    <s v="United-States"/>
    <x v="1"/>
  </r>
  <r>
    <x v="2"/>
    <s v="?"/>
    <n v="169809"/>
    <s v="Bachelors"/>
    <n v="13"/>
    <s v="Married-civ-spouse"/>
    <s v="?"/>
    <s v="Husband"/>
    <s v="White"/>
    <s v="Male"/>
    <n v="0"/>
    <n v="0"/>
    <n v="20"/>
    <s v="United-States"/>
    <x v="0"/>
  </r>
  <r>
    <x v="5"/>
    <s v="Private"/>
    <n v="248973"/>
    <s v="Bachelors"/>
    <n v="13"/>
    <s v="Divorced"/>
    <s v="Adm-clerical"/>
    <s v="Not-in-family"/>
    <s v="Black"/>
    <s v="Male"/>
    <n v="0"/>
    <n v="0"/>
    <n v="65"/>
    <s v="United-States"/>
    <x v="0"/>
  </r>
  <r>
    <x v="37"/>
    <s v="Local-gov"/>
    <n v="310085"/>
    <s v="10th"/>
    <n v="6"/>
    <s v="Married-civ-spouse"/>
    <s v="Transport-moving"/>
    <s v="Husband"/>
    <s v="White"/>
    <s v="Male"/>
    <n v="0"/>
    <n v="0"/>
    <n v="40"/>
    <s v="United-States"/>
    <x v="0"/>
  </r>
  <r>
    <x v="41"/>
    <s v="Private"/>
    <n v="123160"/>
    <s v="10th"/>
    <n v="6"/>
    <s v="Widowed"/>
    <s v="Other-service"/>
    <s v="Not-in-family"/>
    <s v="White"/>
    <s v="Female"/>
    <n v="0"/>
    <n v="0"/>
    <n v="10"/>
    <s v="United-States"/>
    <x v="0"/>
  </r>
  <r>
    <x v="10"/>
    <s v="Private"/>
    <n v="166988"/>
    <s v="Bachelors"/>
    <n v="13"/>
    <s v="Married-civ-spouse"/>
    <s v="Prof-specialty"/>
    <s v="Wife"/>
    <s v="White"/>
    <s v="Female"/>
    <n v="0"/>
    <n v="0"/>
    <n v="40"/>
    <s v="United-States"/>
    <x v="1"/>
  </r>
  <r>
    <x v="14"/>
    <s v="Self-emp-inc"/>
    <n v="214542"/>
    <s v="Some-college"/>
    <n v="10"/>
    <s v="Never-married"/>
    <s v="Prof-specialty"/>
    <s v="Not-in-family"/>
    <s v="White"/>
    <s v="Male"/>
    <n v="0"/>
    <n v="0"/>
    <n v="50"/>
    <s v="United-States"/>
    <x v="0"/>
  </r>
  <r>
    <x v="25"/>
    <s v="Private"/>
    <n v="146391"/>
    <s v="Assoc-voc"/>
    <n v="11"/>
    <s v="Married-civ-spouse"/>
    <s v="Tech-support"/>
    <s v="Husband"/>
    <s v="White"/>
    <s v="Male"/>
    <n v="7298"/>
    <n v="0"/>
    <n v="40"/>
    <s v="United-States"/>
    <x v="1"/>
  </r>
  <r>
    <x v="36"/>
    <s v="Private"/>
    <n v="102493"/>
    <s v="HS-grad"/>
    <n v="9"/>
    <s v="Married-civ-spouse"/>
    <s v="Handlers-cleaners"/>
    <s v="Husband"/>
    <s v="White"/>
    <s v="Male"/>
    <n v="0"/>
    <n v="0"/>
    <n v="40"/>
    <s v="United-States"/>
    <x v="0"/>
  </r>
  <r>
    <x v="34"/>
    <s v="?"/>
    <n v="362685"/>
    <s v="Preschool"/>
    <n v="1"/>
    <s v="Widowed"/>
    <s v="?"/>
    <s v="Not-in-family"/>
    <s v="White"/>
    <s v="Female"/>
    <n v="0"/>
    <n v="0"/>
    <n v="20"/>
    <s v="El-Salvador"/>
    <x v="0"/>
  </r>
  <r>
    <x v="17"/>
    <s v="Private"/>
    <n v="245842"/>
    <s v="HS-grad"/>
    <n v="9"/>
    <s v="Married-civ-spouse"/>
    <s v="Machine-op-inspct"/>
    <s v="Husband"/>
    <s v="White"/>
    <s v="Male"/>
    <n v="0"/>
    <n v="0"/>
    <n v="44"/>
    <s v="Mexico"/>
    <x v="0"/>
  </r>
  <r>
    <x v="30"/>
    <s v="Private"/>
    <n v="53197"/>
    <s v="HS-grad"/>
    <n v="9"/>
    <s v="Married-civ-spouse"/>
    <s v="Craft-repair"/>
    <s v="Husband"/>
    <s v="White"/>
    <s v="Male"/>
    <n v="0"/>
    <n v="0"/>
    <n v="40"/>
    <s v="United-States"/>
    <x v="0"/>
  </r>
  <r>
    <x v="42"/>
    <s v="Private"/>
    <n v="35494"/>
    <s v="HS-grad"/>
    <n v="9"/>
    <s v="Married-civ-spouse"/>
    <s v="Exec-managerial"/>
    <s v="Husband"/>
    <s v="White"/>
    <s v="Male"/>
    <n v="0"/>
    <n v="0"/>
    <n v="30"/>
    <s v="United-States"/>
    <x v="0"/>
  </r>
  <r>
    <x v="42"/>
    <s v="Private"/>
    <n v="121993"/>
    <s v="HS-grad"/>
    <n v="9"/>
    <s v="Married-civ-spouse"/>
    <s v="Adm-clerical"/>
    <s v="Wife"/>
    <s v="White"/>
    <s v="Female"/>
    <n v="0"/>
    <n v="0"/>
    <n v="5"/>
    <s v="United-States"/>
    <x v="0"/>
  </r>
  <r>
    <x v="1"/>
    <s v="Local-gov"/>
    <n v="154863"/>
    <s v="HS-grad"/>
    <n v="9"/>
    <s v="Never-married"/>
    <s v="Protective-serv"/>
    <s v="Other-relative"/>
    <s v="Black"/>
    <s v="Male"/>
    <n v="0"/>
    <n v="1876"/>
    <n v="40"/>
    <s v="United-States"/>
    <x v="0"/>
  </r>
  <r>
    <x v="27"/>
    <s v="Private"/>
    <n v="38619"/>
    <s v="Some-college"/>
    <n v="10"/>
    <s v="Never-married"/>
    <s v="Farming-fishing"/>
    <s v="Own-child"/>
    <s v="White"/>
    <s v="Male"/>
    <n v="0"/>
    <n v="0"/>
    <n v="66"/>
    <s v="United-States"/>
    <x v="0"/>
  </r>
  <r>
    <x v="30"/>
    <s v="Private"/>
    <n v="186338"/>
    <s v="HS-grad"/>
    <n v="9"/>
    <s v="Married-civ-spouse"/>
    <s v="Craft-repair"/>
    <s v="Husband"/>
    <s v="White"/>
    <s v="Male"/>
    <n v="0"/>
    <n v="0"/>
    <n v="40"/>
    <s v="United-States"/>
    <x v="1"/>
  </r>
  <r>
    <x v="28"/>
    <s v="Private"/>
    <n v="76612"/>
    <s v="HS-grad"/>
    <n v="9"/>
    <s v="Married-civ-spouse"/>
    <s v="Prof-specialty"/>
    <s v="Husband"/>
    <s v="White"/>
    <s v="Male"/>
    <n v="0"/>
    <n v="0"/>
    <n v="50"/>
    <s v="United-States"/>
    <x v="0"/>
  </r>
  <r>
    <x v="1"/>
    <s v="Private"/>
    <n v="210867"/>
    <s v="11th"/>
    <n v="7"/>
    <s v="Divorced"/>
    <s v="Sales"/>
    <s v="Own-child"/>
    <s v="White"/>
    <s v="Male"/>
    <n v="0"/>
    <n v="0"/>
    <n v="40"/>
    <s v="United-States"/>
    <x v="0"/>
  </r>
  <r>
    <x v="38"/>
    <s v="Local-gov"/>
    <n v="52037"/>
    <s v="Some-college"/>
    <n v="10"/>
    <s v="Divorced"/>
    <s v="Adm-clerical"/>
    <s v="Unmarried"/>
    <s v="White"/>
    <s v="Female"/>
    <n v="0"/>
    <n v="0"/>
    <n v="40"/>
    <s v="United-States"/>
    <x v="0"/>
  </r>
  <r>
    <x v="11"/>
    <s v="Private"/>
    <n v="45604"/>
    <s v="HS-grad"/>
    <n v="9"/>
    <s v="Married-civ-spouse"/>
    <s v="Exec-managerial"/>
    <s v="Husband"/>
    <s v="White"/>
    <s v="Male"/>
    <n v="0"/>
    <n v="0"/>
    <n v="54"/>
    <s v="United-States"/>
    <x v="0"/>
  </r>
  <r>
    <x v="43"/>
    <s v="State-gov"/>
    <n v="31352"/>
    <s v="Some-college"/>
    <n v="10"/>
    <s v="Divorced"/>
    <s v="Protective-serv"/>
    <s v="Unmarried"/>
    <s v="Amer-Indian-Eskimo"/>
    <s v="Female"/>
    <n v="0"/>
    <n v="0"/>
    <n v="40"/>
    <s v="United-States"/>
    <x v="1"/>
  </r>
  <r>
    <x v="9"/>
    <s v="Private"/>
    <n v="452640"/>
    <s v="HS-grad"/>
    <n v="9"/>
    <s v="Never-married"/>
    <s v="Craft-repair"/>
    <s v="Not-in-family"/>
    <s v="White"/>
    <s v="Male"/>
    <n v="0"/>
    <n v="0"/>
    <n v="40"/>
    <s v="United-States"/>
    <x v="0"/>
  </r>
  <r>
    <x v="5"/>
    <s v="Private"/>
    <n v="111483"/>
    <s v="HS-grad"/>
    <n v="9"/>
    <s v="Never-married"/>
    <s v="Adm-clerical"/>
    <s v="Own-child"/>
    <s v="White"/>
    <s v="Male"/>
    <n v="0"/>
    <n v="1504"/>
    <n v="50"/>
    <s v="United-States"/>
    <x v="0"/>
  </r>
  <r>
    <x v="18"/>
    <s v="Private"/>
    <n v="52636"/>
    <s v="HS-grad"/>
    <n v="9"/>
    <s v="Married-civ-spouse"/>
    <s v="Transport-moving"/>
    <s v="Husband"/>
    <s v="White"/>
    <s v="Male"/>
    <n v="0"/>
    <n v="0"/>
    <n v="40"/>
    <s v="United-States"/>
    <x v="0"/>
  </r>
  <r>
    <x v="32"/>
    <s v="Private"/>
    <n v="267012"/>
    <s v="Assoc-voc"/>
    <n v="11"/>
    <s v="Never-married"/>
    <s v="Sales"/>
    <s v="Not-in-family"/>
    <s v="White"/>
    <s v="Male"/>
    <n v="0"/>
    <n v="0"/>
    <n v="45"/>
    <s v="United-States"/>
    <x v="0"/>
  </r>
  <r>
    <x v="31"/>
    <s v="?"/>
    <n v="24395"/>
    <s v="Some-college"/>
    <n v="10"/>
    <s v="Never-married"/>
    <s v="?"/>
    <s v="Unmarried"/>
    <s v="White"/>
    <s v="Female"/>
    <n v="0"/>
    <n v="0"/>
    <n v="20"/>
    <s v="United-States"/>
    <x v="0"/>
  </r>
  <r>
    <x v="17"/>
    <s v="Private"/>
    <n v="191149"/>
    <s v="HS-grad"/>
    <n v="9"/>
    <s v="Divorced"/>
    <s v="Exec-managerial"/>
    <s v="Not-in-family"/>
    <s v="White"/>
    <s v="Female"/>
    <n v="0"/>
    <n v="0"/>
    <n v="40"/>
    <s v="United-States"/>
    <x v="0"/>
  </r>
  <r>
    <x v="22"/>
    <s v="Federal-gov"/>
    <n v="285432"/>
    <s v="Assoc-acdm"/>
    <n v="12"/>
    <s v="Never-married"/>
    <s v="Transport-moving"/>
    <s v="Not-in-family"/>
    <s v="Black"/>
    <s v="Male"/>
    <n v="0"/>
    <n v="0"/>
    <n v="40"/>
    <s v="United-States"/>
    <x v="0"/>
  </r>
  <r>
    <x v="44"/>
    <s v="Federal-gov"/>
    <n v="125856"/>
    <s v="HS-grad"/>
    <n v="9"/>
    <s v="Divorced"/>
    <s v="Craft-repair"/>
    <s v="Unmarried"/>
    <s v="White"/>
    <s v="Male"/>
    <n v="0"/>
    <n v="0"/>
    <n v="40"/>
    <s v="United-States"/>
    <x v="0"/>
  </r>
  <r>
    <x v="18"/>
    <s v="Private"/>
    <n v="114224"/>
    <s v="Bachelors"/>
    <n v="13"/>
    <s v="Married-civ-spouse"/>
    <s v="Prof-specialty"/>
    <s v="Husband"/>
    <s v="White"/>
    <s v="Male"/>
    <n v="0"/>
    <n v="0"/>
    <n v="40"/>
    <s v="United-States"/>
    <x v="1"/>
  </r>
  <r>
    <x v="4"/>
    <s v="Self-emp-inc"/>
    <n v="207668"/>
    <s v="HS-grad"/>
    <n v="9"/>
    <s v="Married-civ-spouse"/>
    <s v="Craft-repair"/>
    <s v="Husband"/>
    <s v="White"/>
    <s v="Male"/>
    <n v="0"/>
    <n v="0"/>
    <n v="54"/>
    <s v="?"/>
    <x v="1"/>
  </r>
  <r>
    <x v="8"/>
    <s v="Self-emp-not-inc"/>
    <n v="174216"/>
    <s v="Prof-school"/>
    <n v="15"/>
    <s v="Married-civ-spouse"/>
    <s v="Prof-specialty"/>
    <s v="Husband"/>
    <s v="White"/>
    <s v="Male"/>
    <n v="0"/>
    <n v="0"/>
    <n v="38"/>
    <s v="United-States"/>
    <x v="1"/>
  </r>
  <r>
    <x v="34"/>
    <s v="Private"/>
    <n v="172538"/>
    <s v="HS-grad"/>
    <n v="9"/>
    <s v="Married-civ-spouse"/>
    <s v="Prof-specialty"/>
    <s v="Husband"/>
    <s v="White"/>
    <s v="Male"/>
    <n v="0"/>
    <n v="0"/>
    <n v="50"/>
    <s v="United-States"/>
    <x v="1"/>
  </r>
  <r>
    <x v="8"/>
    <s v="State-gov"/>
    <n v="55764"/>
    <s v="Assoc-acdm"/>
    <n v="12"/>
    <s v="Divorced"/>
    <s v="Prof-specialty"/>
    <s v="Not-in-family"/>
    <s v="Black"/>
    <s v="Male"/>
    <n v="0"/>
    <n v="0"/>
    <n v="40"/>
    <s v="United-States"/>
    <x v="0"/>
  </r>
  <r>
    <x v="32"/>
    <s v="Private"/>
    <n v="252752"/>
    <s v="Some-college"/>
    <n v="10"/>
    <s v="Never-married"/>
    <s v="Prof-specialty"/>
    <s v="Not-in-family"/>
    <s v="White"/>
    <s v="Female"/>
    <n v="0"/>
    <n v="0"/>
    <n v="8"/>
    <s v="United-States"/>
    <x v="0"/>
  </r>
  <r>
    <x v="45"/>
    <s v="Private"/>
    <n v="270142"/>
    <s v="Assoc-voc"/>
    <n v="11"/>
    <s v="Separated"/>
    <s v="Exec-managerial"/>
    <s v="Unmarried"/>
    <s v="Black"/>
    <s v="Female"/>
    <n v="0"/>
    <n v="0"/>
    <n v="60"/>
    <s v="United-States"/>
    <x v="0"/>
  </r>
  <r>
    <x v="23"/>
    <s v="Private"/>
    <n v="132661"/>
    <s v="HS-grad"/>
    <n v="9"/>
    <s v="Married-civ-spouse"/>
    <s v="Exec-managerial"/>
    <s v="Wife"/>
    <s v="White"/>
    <s v="Female"/>
    <n v="5013"/>
    <n v="0"/>
    <n v="40"/>
    <s v="United-States"/>
    <x v="0"/>
  </r>
  <r>
    <x v="46"/>
    <s v="Local-gov"/>
    <n v="44273"/>
    <s v="HS-grad"/>
    <n v="9"/>
    <s v="Widowed"/>
    <s v="Transport-moving"/>
    <s v="Not-in-family"/>
    <s v="White"/>
    <s v="Female"/>
    <n v="0"/>
    <n v="0"/>
    <n v="40"/>
    <s v="United-States"/>
    <x v="0"/>
  </r>
  <r>
    <x v="1"/>
    <s v="Private"/>
    <n v="56179"/>
    <s v="Some-college"/>
    <n v="10"/>
    <s v="Never-married"/>
    <s v="Exec-managerial"/>
    <s v="Not-in-family"/>
    <s v="White"/>
    <s v="Male"/>
    <n v="2174"/>
    <n v="0"/>
    <n v="55"/>
    <s v="United-States"/>
    <x v="0"/>
  </r>
  <r>
    <x v="1"/>
    <s v="Private"/>
    <n v="149734"/>
    <s v="HS-grad"/>
    <n v="9"/>
    <s v="Never-married"/>
    <s v="Other-service"/>
    <s v="Unmarried"/>
    <s v="Black"/>
    <s v="Female"/>
    <n v="0"/>
    <n v="0"/>
    <n v="52"/>
    <s v="United-States"/>
    <x v="0"/>
  </r>
  <r>
    <x v="25"/>
    <s v="Private"/>
    <n v="194290"/>
    <s v="HS-grad"/>
    <n v="9"/>
    <s v="Married-civ-spouse"/>
    <s v="Farming-fishing"/>
    <s v="Husband"/>
    <s v="White"/>
    <s v="Male"/>
    <n v="0"/>
    <n v="0"/>
    <n v="48"/>
    <s v="United-States"/>
    <x v="0"/>
  </r>
  <r>
    <x v="47"/>
    <s v="?"/>
    <n v="226989"/>
    <s v="Some-college"/>
    <n v="10"/>
    <s v="Married-spouse-absent"/>
    <s v="?"/>
    <s v="Not-in-family"/>
    <s v="White"/>
    <s v="Male"/>
    <n v="0"/>
    <n v="0"/>
    <n v="40"/>
    <s v="United-States"/>
    <x v="0"/>
  </r>
  <r>
    <x v="9"/>
    <s v="Private"/>
    <n v="146499"/>
    <s v="Assoc-voc"/>
    <n v="11"/>
    <s v="Married-civ-spouse"/>
    <s v="Adm-clerical"/>
    <s v="Other-relative"/>
    <s v="White"/>
    <s v="Female"/>
    <n v="0"/>
    <n v="1579"/>
    <n v="40"/>
    <s v="United-States"/>
    <x v="0"/>
  </r>
  <r>
    <x v="27"/>
    <s v="Self-emp-not-inc"/>
    <n v="30800"/>
    <s v="10th"/>
    <n v="6"/>
    <s v="Married-spouse-absent"/>
    <s v="Adm-clerical"/>
    <s v="Unmarried"/>
    <s v="Amer-Indian-Eskimo"/>
    <s v="Female"/>
    <n v="0"/>
    <n v="0"/>
    <n v="40"/>
    <s v="United-States"/>
    <x v="0"/>
  </r>
  <r>
    <x v="1"/>
    <s v="Private"/>
    <n v="96337"/>
    <s v="Some-college"/>
    <n v="10"/>
    <s v="Never-married"/>
    <s v="Adm-clerical"/>
    <s v="Not-in-family"/>
    <s v="White"/>
    <s v="Female"/>
    <n v="0"/>
    <n v="0"/>
    <n v="40"/>
    <s v="United-States"/>
    <x v="0"/>
  </r>
  <r>
    <x v="34"/>
    <s v="Local-gov"/>
    <n v="139364"/>
    <s v="Bachelors"/>
    <n v="13"/>
    <s v="Married-civ-spouse"/>
    <s v="Prof-specialty"/>
    <s v="Husband"/>
    <s v="White"/>
    <s v="Male"/>
    <n v="0"/>
    <n v="0"/>
    <n v="35"/>
    <s v="United-States"/>
    <x v="1"/>
  </r>
  <r>
    <x v="26"/>
    <s v="?"/>
    <n v="286732"/>
    <s v="7th-8th"/>
    <n v="4"/>
    <s v="Widowed"/>
    <s v="?"/>
    <s v="Not-in-family"/>
    <s v="White"/>
    <s v="Female"/>
    <n v="0"/>
    <n v="0"/>
    <n v="40"/>
    <s v="United-States"/>
    <x v="0"/>
  </r>
  <r>
    <x v="1"/>
    <s v="Private"/>
    <n v="308709"/>
    <s v="Bachelors"/>
    <n v="13"/>
    <s v="Never-married"/>
    <s v="Sales"/>
    <s v="Not-in-family"/>
    <s v="White"/>
    <s v="Female"/>
    <n v="0"/>
    <n v="0"/>
    <n v="48"/>
    <s v="United-States"/>
    <x v="0"/>
  </r>
  <r>
    <x v="8"/>
    <s v="Private"/>
    <n v="236110"/>
    <s v="5th-6th"/>
    <n v="3"/>
    <s v="Married-spouse-absent"/>
    <s v="Craft-repair"/>
    <s v="Not-in-family"/>
    <s v="White"/>
    <s v="Male"/>
    <n v="0"/>
    <n v="0"/>
    <n v="40"/>
    <s v="Puerto-Rico"/>
    <x v="0"/>
  </r>
  <r>
    <x v="2"/>
    <s v="Private"/>
    <n v="112271"/>
    <s v="Masters"/>
    <n v="14"/>
    <s v="Married-civ-spouse"/>
    <s v="Adm-clerical"/>
    <s v="Husband"/>
    <s v="White"/>
    <s v="Male"/>
    <n v="0"/>
    <n v="0"/>
    <n v="40"/>
    <s v="United-States"/>
    <x v="0"/>
  </r>
  <r>
    <x v="14"/>
    <s v="Private"/>
    <n v="224954"/>
    <s v="Some-college"/>
    <n v="10"/>
    <s v="Never-married"/>
    <s v="Machine-op-inspct"/>
    <s v="Own-child"/>
    <s v="White"/>
    <s v="Male"/>
    <n v="0"/>
    <n v="0"/>
    <n v="25"/>
    <s v="United-States"/>
    <x v="0"/>
  </r>
  <r>
    <x v="48"/>
    <s v="Private"/>
    <n v="68872"/>
    <s v="HS-grad"/>
    <n v="9"/>
    <s v="Married-civ-spouse"/>
    <s v="Transport-moving"/>
    <s v="Wife"/>
    <s v="Asian-Pac-Islander"/>
    <s v="Female"/>
    <n v="0"/>
    <n v="0"/>
    <n v="20"/>
    <s v="United-States"/>
    <x v="0"/>
  </r>
  <r>
    <x v="35"/>
    <s v="Private"/>
    <n v="152373"/>
    <s v="Some-college"/>
    <n v="10"/>
    <s v="Divorced"/>
    <s v="Craft-repair"/>
    <s v="Not-in-family"/>
    <s v="White"/>
    <s v="Male"/>
    <n v="0"/>
    <n v="0"/>
    <n v="48"/>
    <s v="United-States"/>
    <x v="1"/>
  </r>
  <r>
    <x v="29"/>
    <s v="Self-emp-not-inc"/>
    <n v="258752"/>
    <s v="Bachelors"/>
    <n v="13"/>
    <s v="Married-civ-spouse"/>
    <s v="Exec-managerial"/>
    <s v="Husband"/>
    <s v="White"/>
    <s v="Male"/>
    <n v="0"/>
    <n v="0"/>
    <n v="60"/>
    <s v="United-States"/>
    <x v="0"/>
  </r>
  <r>
    <x v="49"/>
    <s v="Private"/>
    <n v="115784"/>
    <s v="HS-grad"/>
    <n v="9"/>
    <s v="Married-civ-spouse"/>
    <s v="Machine-op-inspct"/>
    <s v="Husband"/>
    <s v="White"/>
    <s v="Male"/>
    <n v="0"/>
    <n v="0"/>
    <n v="40"/>
    <s v="United-States"/>
    <x v="0"/>
  </r>
  <r>
    <x v="28"/>
    <s v="Private"/>
    <n v="80924"/>
    <s v="Some-college"/>
    <n v="10"/>
    <s v="Widowed"/>
    <s v="Other-service"/>
    <s v="Not-in-family"/>
    <s v="White"/>
    <s v="Female"/>
    <n v="0"/>
    <n v="0"/>
    <n v="35"/>
    <s v="United-States"/>
    <x v="0"/>
  </r>
  <r>
    <x v="33"/>
    <s v="Private"/>
    <n v="203240"/>
    <s v="10th"/>
    <n v="6"/>
    <s v="Never-married"/>
    <s v="Adm-clerical"/>
    <s v="Not-in-family"/>
    <s v="White"/>
    <s v="Female"/>
    <n v="0"/>
    <n v="0"/>
    <n v="40"/>
    <s v="United-States"/>
    <x v="0"/>
  </r>
  <r>
    <x v="31"/>
    <s v="Private"/>
    <n v="105312"/>
    <s v="Some-college"/>
    <n v="10"/>
    <s v="Never-married"/>
    <s v="Sales"/>
    <s v="Own-child"/>
    <s v="White"/>
    <s v="Female"/>
    <n v="0"/>
    <n v="0"/>
    <n v="18"/>
    <s v="United-States"/>
    <x v="0"/>
  </r>
  <r>
    <x v="0"/>
    <s v="Private"/>
    <n v="71792"/>
    <s v="HS-grad"/>
    <n v="9"/>
    <s v="Never-married"/>
    <s v="Sales"/>
    <s v="Own-child"/>
    <s v="Asian-Pac-Islander"/>
    <s v="Female"/>
    <n v="0"/>
    <n v="0"/>
    <n v="40"/>
    <s v="United-States"/>
    <x v="0"/>
  </r>
  <r>
    <x v="11"/>
    <s v="Private"/>
    <n v="114324"/>
    <s v="Assoc-voc"/>
    <n v="11"/>
    <s v="Never-married"/>
    <s v="Other-service"/>
    <s v="Not-in-family"/>
    <s v="Black"/>
    <s v="Female"/>
    <n v="0"/>
    <n v="0"/>
    <n v="40"/>
    <s v="United-States"/>
    <x v="0"/>
  </r>
  <r>
    <x v="30"/>
    <s v="Private"/>
    <n v="30008"/>
    <s v="HS-grad"/>
    <n v="9"/>
    <s v="Married-civ-spouse"/>
    <s v="Transport-moving"/>
    <s v="Husband"/>
    <s v="White"/>
    <s v="Male"/>
    <n v="0"/>
    <n v="0"/>
    <n v="60"/>
    <s v="United-States"/>
    <x v="0"/>
  </r>
  <r>
    <x v="50"/>
    <s v="Self-emp-not-inc"/>
    <n v="155981"/>
    <s v="Bachelors"/>
    <n v="13"/>
    <s v="Married-civ-spouse"/>
    <s v="Prof-specialty"/>
    <s v="Husband"/>
    <s v="White"/>
    <s v="Male"/>
    <n v="10566"/>
    <n v="0"/>
    <n v="50"/>
    <s v="United-States"/>
    <x v="0"/>
  </r>
  <r>
    <x v="23"/>
    <s v="Private"/>
    <n v="133373"/>
    <s v="Some-college"/>
    <n v="10"/>
    <s v="Never-married"/>
    <s v="Sales"/>
    <s v="Own-child"/>
    <s v="White"/>
    <s v="Male"/>
    <n v="0"/>
    <n v="0"/>
    <n v="42"/>
    <s v="United-States"/>
    <x v="0"/>
  </r>
  <r>
    <x v="30"/>
    <s v="Self-emp-not-inc"/>
    <n v="256963"/>
    <s v="Some-college"/>
    <n v="10"/>
    <s v="Married-civ-spouse"/>
    <s v="Sales"/>
    <s v="Husband"/>
    <s v="White"/>
    <s v="Male"/>
    <n v="0"/>
    <n v="0"/>
    <n v="60"/>
    <s v="United-States"/>
    <x v="0"/>
  </r>
  <r>
    <x v="4"/>
    <s v="Local-gov"/>
    <n v="167063"/>
    <s v="HS-grad"/>
    <n v="9"/>
    <s v="Never-married"/>
    <s v="Protective-serv"/>
    <s v="Own-child"/>
    <s v="White"/>
    <s v="Male"/>
    <n v="0"/>
    <n v="0"/>
    <n v="40"/>
    <s v="United-States"/>
    <x v="0"/>
  </r>
  <r>
    <x v="39"/>
    <s v="Self-emp-inc"/>
    <n v="155664"/>
    <s v="Prof-school"/>
    <n v="15"/>
    <s v="Married-civ-spouse"/>
    <s v="Prof-specialty"/>
    <s v="Husband"/>
    <s v="White"/>
    <s v="Male"/>
    <n v="0"/>
    <n v="0"/>
    <n v="60"/>
    <s v="United-States"/>
    <x v="1"/>
  </r>
  <r>
    <x v="26"/>
    <s v="Private"/>
    <n v="149044"/>
    <s v="Masters"/>
    <n v="14"/>
    <s v="Married-civ-spouse"/>
    <s v="Prof-specialty"/>
    <s v="Husband"/>
    <s v="Asian-Pac-Islander"/>
    <s v="Male"/>
    <n v="0"/>
    <n v="2057"/>
    <n v="60"/>
    <s v="China"/>
    <x v="0"/>
  </r>
  <r>
    <x v="40"/>
    <s v="Private"/>
    <n v="67072"/>
    <s v="HS-grad"/>
    <n v="9"/>
    <s v="Married-civ-spouse"/>
    <s v="Sales"/>
    <s v="Husband"/>
    <s v="White"/>
    <s v="Male"/>
    <n v="0"/>
    <n v="0"/>
    <n v="50"/>
    <s v="United-States"/>
    <x v="1"/>
  </r>
  <r>
    <x v="31"/>
    <s v="Private"/>
    <n v="115824"/>
    <s v="11th"/>
    <n v="7"/>
    <s v="Married-civ-spouse"/>
    <s v="Handlers-cleaners"/>
    <s v="Husband"/>
    <s v="White"/>
    <s v="Male"/>
    <n v="0"/>
    <n v="1573"/>
    <n v="40"/>
    <s v="United-States"/>
    <x v="0"/>
  </r>
  <r>
    <x v="16"/>
    <s v="State-gov"/>
    <n v="191779"/>
    <s v="Some-college"/>
    <n v="10"/>
    <s v="Married-civ-spouse"/>
    <s v="Craft-repair"/>
    <s v="Husband"/>
    <s v="White"/>
    <s v="Male"/>
    <n v="0"/>
    <n v="0"/>
    <n v="40"/>
    <s v="United-States"/>
    <x v="0"/>
  </r>
  <r>
    <x v="14"/>
    <s v="Private"/>
    <n v="33105"/>
    <s v="Some-college"/>
    <n v="10"/>
    <s v="Never-married"/>
    <s v="Handlers-cleaners"/>
    <s v="Own-child"/>
    <s v="Amer-Indian-Eskimo"/>
    <s v="Male"/>
    <n v="0"/>
    <n v="0"/>
    <n v="40"/>
    <s v="United-States"/>
    <x v="0"/>
  </r>
  <r>
    <x v="7"/>
    <s v="?"/>
    <n v="203834"/>
    <s v="Bachelors"/>
    <n v="13"/>
    <s v="Never-married"/>
    <s v="?"/>
    <s v="Not-in-family"/>
    <s v="Asian-Pac-Islander"/>
    <s v="Female"/>
    <n v="0"/>
    <n v="0"/>
    <n v="50"/>
    <s v="Taiwan"/>
    <x v="0"/>
  </r>
  <r>
    <x v="13"/>
    <s v="Private"/>
    <n v="110171"/>
    <s v="HS-grad"/>
    <n v="9"/>
    <s v="Never-married"/>
    <s v="Handlers-cleaners"/>
    <s v="Not-in-family"/>
    <s v="White"/>
    <s v="Male"/>
    <n v="0"/>
    <n v="0"/>
    <n v="40"/>
    <s v="United-States"/>
    <x v="0"/>
  </r>
  <r>
    <x v="38"/>
    <s v="Private"/>
    <n v="166813"/>
    <s v="Some-college"/>
    <n v="10"/>
    <s v="Married-civ-spouse"/>
    <s v="Sales"/>
    <s v="Husband"/>
    <s v="White"/>
    <s v="Male"/>
    <n v="0"/>
    <n v="0"/>
    <n v="55"/>
    <s v="United-States"/>
    <x v="0"/>
  </r>
  <r>
    <x v="44"/>
    <s v="Private"/>
    <n v="32732"/>
    <s v="HS-grad"/>
    <n v="9"/>
    <s v="Married-civ-spouse"/>
    <s v="Prof-specialty"/>
    <s v="Husband"/>
    <s v="White"/>
    <s v="Male"/>
    <n v="0"/>
    <n v="0"/>
    <n v="50"/>
    <s v="United-States"/>
    <x v="0"/>
  </r>
  <r>
    <x v="34"/>
    <s v="Private"/>
    <n v="269722"/>
    <s v="Bachelors"/>
    <n v="13"/>
    <s v="Married-civ-spouse"/>
    <s v="Exec-managerial"/>
    <s v="Husband"/>
    <s v="White"/>
    <s v="Male"/>
    <n v="0"/>
    <n v="0"/>
    <n v="70"/>
    <s v="United-States"/>
    <x v="0"/>
  </r>
  <r>
    <x v="13"/>
    <s v="Private"/>
    <n v="327886"/>
    <s v="Prof-school"/>
    <n v="15"/>
    <s v="Never-married"/>
    <s v="Prof-specialty"/>
    <s v="Not-in-family"/>
    <s v="White"/>
    <s v="Male"/>
    <n v="0"/>
    <n v="0"/>
    <n v="40"/>
    <s v="United-States"/>
    <x v="1"/>
  </r>
  <r>
    <x v="3"/>
    <s v="Private"/>
    <n v="28419"/>
    <s v="Assoc-voc"/>
    <n v="11"/>
    <s v="Never-married"/>
    <s v="Transport-moving"/>
    <s v="Not-in-family"/>
    <s v="White"/>
    <s v="Male"/>
    <n v="0"/>
    <n v="0"/>
    <n v="50"/>
    <s v="United-States"/>
    <x v="0"/>
  </r>
  <r>
    <x v="4"/>
    <s v="Private"/>
    <n v="213722"/>
    <s v="HS-grad"/>
    <n v="9"/>
    <s v="Never-married"/>
    <s v="Handlers-cleaners"/>
    <s v="Own-child"/>
    <s v="White"/>
    <s v="Male"/>
    <n v="0"/>
    <n v="0"/>
    <n v="40"/>
    <s v="United-States"/>
    <x v="0"/>
  </r>
  <r>
    <x v="6"/>
    <s v="Private"/>
    <n v="94055"/>
    <s v="Bachelors"/>
    <n v="13"/>
    <s v="Married-civ-spouse"/>
    <s v="Other-service"/>
    <s v="Husband"/>
    <s v="White"/>
    <s v="Male"/>
    <n v="0"/>
    <n v="0"/>
    <n v="40"/>
    <s v="United-States"/>
    <x v="0"/>
  </r>
  <r>
    <x v="26"/>
    <s v="Local-gov"/>
    <n v="202984"/>
    <s v="HS-grad"/>
    <n v="9"/>
    <s v="Married-civ-spouse"/>
    <s v="Craft-repair"/>
    <s v="Husband"/>
    <s v="White"/>
    <s v="Male"/>
    <n v="3137"/>
    <n v="0"/>
    <n v="40"/>
    <s v="United-States"/>
    <x v="0"/>
  </r>
  <r>
    <x v="10"/>
    <s v="Private"/>
    <n v="128382"/>
    <s v="Some-college"/>
    <n v="10"/>
    <s v="Never-married"/>
    <s v="Machine-op-inspct"/>
    <s v="Unmarried"/>
    <s v="White"/>
    <s v="Male"/>
    <n v="0"/>
    <n v="0"/>
    <n v="45"/>
    <s v="United-States"/>
    <x v="0"/>
  </r>
  <r>
    <x v="43"/>
    <s v="Private"/>
    <n v="193026"/>
    <s v="HS-grad"/>
    <n v="9"/>
    <s v="Never-married"/>
    <s v="Other-service"/>
    <s v="Unmarried"/>
    <s v="White"/>
    <s v="Male"/>
    <n v="0"/>
    <n v="1408"/>
    <n v="40"/>
    <s v="?"/>
    <x v="0"/>
  </r>
  <r>
    <x v="51"/>
    <s v="?"/>
    <n v="225657"/>
    <s v="HS-grad"/>
    <n v="9"/>
    <s v="Married-civ-spouse"/>
    <s v="?"/>
    <s v="Husband"/>
    <s v="White"/>
    <s v="Male"/>
    <n v="0"/>
    <n v="0"/>
    <n v="24"/>
    <s v="United-States"/>
    <x v="0"/>
  </r>
  <r>
    <x v="29"/>
    <s v="Private"/>
    <n v="85018"/>
    <s v="HS-grad"/>
    <n v="9"/>
    <s v="Never-married"/>
    <s v="Adm-clerical"/>
    <s v="Not-in-family"/>
    <s v="White"/>
    <s v="Female"/>
    <n v="0"/>
    <n v="0"/>
    <n v="40"/>
    <s v="United-States"/>
    <x v="0"/>
  </r>
  <r>
    <x v="23"/>
    <s v="Private"/>
    <n v="224361"/>
    <s v="HS-grad"/>
    <n v="9"/>
    <s v="Never-married"/>
    <s v="Exec-managerial"/>
    <s v="Not-in-family"/>
    <s v="White"/>
    <s v="Male"/>
    <n v="0"/>
    <n v="0"/>
    <n v="40"/>
    <s v="United-States"/>
    <x v="0"/>
  </r>
  <r>
    <x v="48"/>
    <s v="Private"/>
    <n v="118798"/>
    <s v="HS-grad"/>
    <n v="9"/>
    <s v="Married-civ-spouse"/>
    <s v="Craft-repair"/>
    <s v="Husband"/>
    <s v="White"/>
    <s v="Male"/>
    <n v="99999"/>
    <n v="0"/>
    <n v="40"/>
    <s v="United-States"/>
    <x v="1"/>
  </r>
  <r>
    <x v="43"/>
    <s v="Federal-gov"/>
    <n v="122493"/>
    <s v="Bachelors"/>
    <n v="13"/>
    <s v="Married-civ-spouse"/>
    <s v="Prof-specialty"/>
    <s v="Husband"/>
    <s v="White"/>
    <s v="Male"/>
    <n v="4064"/>
    <n v="0"/>
    <n v="40"/>
    <s v="United-States"/>
    <x v="0"/>
  </r>
  <r>
    <x v="17"/>
    <s v="Private"/>
    <n v="59107"/>
    <s v="HS-grad"/>
    <n v="9"/>
    <s v="Separated"/>
    <s v="Other-service"/>
    <s v="Not-in-family"/>
    <s v="White"/>
    <s v="Female"/>
    <n v="4101"/>
    <n v="0"/>
    <n v="40"/>
    <s v="United-States"/>
    <x v="0"/>
  </r>
  <r>
    <x v="7"/>
    <s v="?"/>
    <n v="186420"/>
    <s v="Bachelors"/>
    <n v="13"/>
    <s v="Never-married"/>
    <s v="?"/>
    <s v="Not-in-family"/>
    <s v="White"/>
    <s v="Female"/>
    <n v="0"/>
    <n v="0"/>
    <n v="40"/>
    <s v="United-States"/>
    <x v="0"/>
  </r>
  <r>
    <x v="23"/>
    <s v="Private"/>
    <n v="89648"/>
    <s v="Bachelors"/>
    <n v="13"/>
    <s v="Never-married"/>
    <s v="Exec-managerial"/>
    <s v="Not-in-family"/>
    <s v="White"/>
    <s v="Female"/>
    <n v="0"/>
    <n v="0"/>
    <n v="50"/>
    <s v="United-States"/>
    <x v="0"/>
  </r>
  <r>
    <x v="8"/>
    <s v="Private"/>
    <n v="57600"/>
    <s v="HS-grad"/>
    <n v="9"/>
    <s v="Divorced"/>
    <s v="Prof-specialty"/>
    <s v="Not-in-family"/>
    <s v="White"/>
    <s v="Female"/>
    <n v="0"/>
    <n v="0"/>
    <n v="45"/>
    <s v="United-States"/>
    <x v="0"/>
  </r>
  <r>
    <x v="17"/>
    <s v="Private"/>
    <n v="35910"/>
    <s v="Some-college"/>
    <n v="10"/>
    <s v="Married-civ-spouse"/>
    <s v="Sales"/>
    <s v="Husband"/>
    <s v="White"/>
    <s v="Male"/>
    <n v="0"/>
    <n v="0"/>
    <n v="43"/>
    <s v="United-States"/>
    <x v="1"/>
  </r>
  <r>
    <x v="18"/>
    <s v="Private"/>
    <n v="161444"/>
    <s v="HS-grad"/>
    <n v="9"/>
    <s v="Married-civ-spouse"/>
    <s v="Exec-managerial"/>
    <s v="Husband"/>
    <s v="White"/>
    <s v="Male"/>
    <n v="0"/>
    <n v="0"/>
    <n v="40"/>
    <s v="Columbia"/>
    <x v="0"/>
  </r>
  <r>
    <x v="14"/>
    <s v="Private"/>
    <n v="176486"/>
    <s v="Assoc-voc"/>
    <n v="11"/>
    <s v="Never-married"/>
    <s v="Adm-clerical"/>
    <s v="Own-child"/>
    <s v="White"/>
    <s v="Female"/>
    <n v="0"/>
    <n v="0"/>
    <n v="36"/>
    <s v="United-States"/>
    <x v="0"/>
  </r>
  <r>
    <x v="11"/>
    <s v="Private"/>
    <n v="31600"/>
    <s v="Bachelors"/>
    <n v="13"/>
    <s v="Never-married"/>
    <s v="Prof-specialty"/>
    <s v="Not-in-family"/>
    <s v="White"/>
    <s v="Female"/>
    <n v="0"/>
    <n v="0"/>
    <n v="40"/>
    <s v="United-States"/>
    <x v="0"/>
  </r>
  <r>
    <x v="15"/>
    <s v="Private"/>
    <n v="173858"/>
    <s v="7th-8th"/>
    <n v="4"/>
    <s v="Married-civ-spouse"/>
    <s v="Other-service"/>
    <s v="Husband"/>
    <s v="Asian-Pac-Islander"/>
    <s v="Male"/>
    <n v="0"/>
    <n v="0"/>
    <n v="42"/>
    <s v="Cambodia"/>
    <x v="0"/>
  </r>
  <r>
    <x v="24"/>
    <s v="Private"/>
    <n v="210217"/>
    <s v="Bachelors"/>
    <n v="13"/>
    <s v="Divorced"/>
    <s v="Sales"/>
    <s v="Unmarried"/>
    <s v="Black"/>
    <s v="Male"/>
    <n v="0"/>
    <n v="0"/>
    <n v="40"/>
    <s v="United-States"/>
    <x v="0"/>
  </r>
  <r>
    <x v="44"/>
    <s v="Self-emp-inc"/>
    <n v="113543"/>
    <s v="Prof-school"/>
    <n v="15"/>
    <s v="Married-civ-spouse"/>
    <s v="Prof-specialty"/>
    <s v="Husband"/>
    <s v="White"/>
    <s v="Male"/>
    <n v="0"/>
    <n v="0"/>
    <n v="40"/>
    <s v="United-States"/>
    <x v="1"/>
  </r>
  <r>
    <x v="19"/>
    <s v="Private"/>
    <n v="111332"/>
    <s v="11th"/>
    <n v="7"/>
    <s v="Never-married"/>
    <s v="Sales"/>
    <s v="Own-child"/>
    <s v="White"/>
    <s v="Female"/>
    <n v="0"/>
    <n v="0"/>
    <n v="20"/>
    <s v="United-States"/>
    <x v="0"/>
  </r>
  <r>
    <x v="14"/>
    <s v="Private"/>
    <n v="222925"/>
    <s v="HS-grad"/>
    <n v="9"/>
    <s v="Married-civ-spouse"/>
    <s v="Machine-op-inspct"/>
    <s v="Own-child"/>
    <s v="White"/>
    <s v="Female"/>
    <n v="2105"/>
    <n v="0"/>
    <n v="40"/>
    <s v="United-States"/>
    <x v="0"/>
  </r>
  <r>
    <x v="4"/>
    <s v="?"/>
    <n v="353881"/>
    <s v="Assoc-voc"/>
    <n v="11"/>
    <s v="Married-civ-spouse"/>
    <s v="?"/>
    <s v="Husband"/>
    <s v="White"/>
    <s v="Male"/>
    <n v="3103"/>
    <n v="0"/>
    <n v="60"/>
    <s v="United-States"/>
    <x v="1"/>
  </r>
  <r>
    <x v="39"/>
    <s v="Private"/>
    <n v="248164"/>
    <s v="Bachelors"/>
    <n v="13"/>
    <s v="Married-civ-spouse"/>
    <s v="Sales"/>
    <s v="Husband"/>
    <s v="White"/>
    <s v="Male"/>
    <n v="4386"/>
    <n v="0"/>
    <n v="50"/>
    <s v="United-States"/>
    <x v="1"/>
  </r>
  <r>
    <x v="15"/>
    <s v="Self-emp-not-inc"/>
    <n v="33068"/>
    <s v="HS-grad"/>
    <n v="9"/>
    <s v="Married-civ-spouse"/>
    <s v="Farming-fishing"/>
    <s v="Husband"/>
    <s v="White"/>
    <s v="Male"/>
    <n v="0"/>
    <n v="0"/>
    <n v="50"/>
    <s v="United-States"/>
    <x v="0"/>
  </r>
  <r>
    <x v="9"/>
    <s v="Private"/>
    <n v="222490"/>
    <s v="Some-college"/>
    <n v="10"/>
    <s v="Never-married"/>
    <s v="Handlers-cleaners"/>
    <s v="Own-child"/>
    <s v="White"/>
    <s v="Female"/>
    <n v="0"/>
    <n v="0"/>
    <n v="40"/>
    <s v="United-States"/>
    <x v="0"/>
  </r>
  <r>
    <x v="17"/>
    <s v="Private"/>
    <n v="115323"/>
    <s v="Bachelors"/>
    <n v="13"/>
    <s v="Married-civ-spouse"/>
    <s v="Exec-managerial"/>
    <s v="Husband"/>
    <s v="White"/>
    <s v="Male"/>
    <n v="3103"/>
    <n v="0"/>
    <n v="40"/>
    <s v="United-States"/>
    <x v="1"/>
  </r>
  <r>
    <x v="34"/>
    <s v="State-gov"/>
    <n v="114055"/>
    <s v="Bachelors"/>
    <n v="13"/>
    <s v="Never-married"/>
    <s v="Exec-managerial"/>
    <s v="Not-in-family"/>
    <s v="White"/>
    <s v="Female"/>
    <n v="0"/>
    <n v="0"/>
    <n v="40"/>
    <s v="United-States"/>
    <x v="0"/>
  </r>
  <r>
    <x v="22"/>
    <s v="Private"/>
    <n v="302406"/>
    <s v="Some-college"/>
    <n v="10"/>
    <s v="Married-civ-spouse"/>
    <s v="Sales"/>
    <s v="Husband"/>
    <s v="White"/>
    <s v="Male"/>
    <n v="0"/>
    <n v="0"/>
    <n v="40"/>
    <s v="United-States"/>
    <x v="1"/>
  </r>
  <r>
    <x v="19"/>
    <s v="Private"/>
    <n v="294485"/>
    <s v="10th"/>
    <n v="6"/>
    <s v="Never-married"/>
    <s v="Other-service"/>
    <s v="Own-child"/>
    <s v="White"/>
    <s v="Male"/>
    <n v="0"/>
    <n v="0"/>
    <n v="30"/>
    <s v="United-States"/>
    <x v="0"/>
  </r>
  <r>
    <x v="32"/>
    <s v="Private"/>
    <n v="177499"/>
    <s v="Bachelors"/>
    <n v="13"/>
    <s v="Never-married"/>
    <s v="Craft-repair"/>
    <s v="Own-child"/>
    <s v="White"/>
    <s v="Male"/>
    <n v="0"/>
    <n v="1590"/>
    <n v="35"/>
    <s v="United-States"/>
    <x v="0"/>
  </r>
  <r>
    <x v="40"/>
    <s v="Private"/>
    <n v="323069"/>
    <s v="Assoc-voc"/>
    <n v="11"/>
    <s v="Divorced"/>
    <s v="Other-service"/>
    <s v="Unmarried"/>
    <s v="White"/>
    <s v="Female"/>
    <n v="0"/>
    <n v="0"/>
    <n v="40"/>
    <s v="United-States"/>
    <x v="0"/>
  </r>
  <r>
    <x v="30"/>
    <s v="Federal-gov"/>
    <n v="45487"/>
    <s v="HS-grad"/>
    <n v="9"/>
    <s v="Married-civ-spouse"/>
    <s v="Transport-moving"/>
    <s v="Husband"/>
    <s v="White"/>
    <s v="Male"/>
    <n v="0"/>
    <n v="0"/>
    <n v="80"/>
    <s v="United-States"/>
    <x v="0"/>
  </r>
  <r>
    <x v="22"/>
    <s v="Self-emp-not-inc"/>
    <n v="442612"/>
    <s v="HS-grad"/>
    <n v="9"/>
    <s v="Married-civ-spouse"/>
    <s v="Sales"/>
    <s v="Husband"/>
    <s v="White"/>
    <s v="Male"/>
    <n v="0"/>
    <n v="0"/>
    <n v="65"/>
    <s v="United-States"/>
    <x v="1"/>
  </r>
  <r>
    <x v="10"/>
    <s v="Private"/>
    <n v="308945"/>
    <s v="HS-grad"/>
    <n v="9"/>
    <s v="Married-civ-spouse"/>
    <s v="Machine-op-inspct"/>
    <s v="Husband"/>
    <s v="White"/>
    <s v="Male"/>
    <n v="0"/>
    <n v="0"/>
    <n v="40"/>
    <s v="United-States"/>
    <x v="0"/>
  </r>
  <r>
    <x v="45"/>
    <s v="Private"/>
    <n v="245275"/>
    <s v="10th"/>
    <n v="6"/>
    <s v="Married-civ-spouse"/>
    <s v="Other-service"/>
    <s v="Wife"/>
    <s v="White"/>
    <s v="Female"/>
    <n v="0"/>
    <n v="0"/>
    <n v="35"/>
    <s v="United-States"/>
    <x v="0"/>
  </r>
  <r>
    <x v="17"/>
    <s v="Private"/>
    <n v="177905"/>
    <s v="HS-grad"/>
    <n v="9"/>
    <s v="Married-civ-spouse"/>
    <s v="Handlers-cleaners"/>
    <s v="Husband"/>
    <s v="White"/>
    <s v="Male"/>
    <n v="3908"/>
    <n v="0"/>
    <n v="40"/>
    <s v="United-States"/>
    <x v="0"/>
  </r>
  <r>
    <x v="29"/>
    <s v="Private"/>
    <n v="132026"/>
    <s v="Bachelors"/>
    <n v="13"/>
    <s v="Married-civ-spouse"/>
    <s v="Sales"/>
    <s v="Husband"/>
    <s v="Black"/>
    <s v="Male"/>
    <n v="7688"/>
    <n v="0"/>
    <n v="45"/>
    <s v="United-States"/>
    <x v="1"/>
  </r>
  <r>
    <x v="32"/>
    <s v="Private"/>
    <n v="75759"/>
    <s v="HS-grad"/>
    <n v="9"/>
    <s v="Married-civ-spouse"/>
    <s v="Transport-moving"/>
    <s v="Husband"/>
    <s v="White"/>
    <s v="Male"/>
    <n v="0"/>
    <n v="0"/>
    <n v="44"/>
    <s v="United-States"/>
    <x v="1"/>
  </r>
  <r>
    <x v="12"/>
    <s v="Private"/>
    <n v="201112"/>
    <s v="HS-grad"/>
    <n v="9"/>
    <s v="Divorced"/>
    <s v="Prof-specialty"/>
    <s v="Unmarried"/>
    <s v="Black"/>
    <s v="Female"/>
    <n v="0"/>
    <n v="0"/>
    <n v="40"/>
    <s v="United-States"/>
    <x v="0"/>
  </r>
  <r>
    <x v="16"/>
    <s v="Private"/>
    <n v="108913"/>
    <s v="HS-grad"/>
    <n v="9"/>
    <s v="Never-married"/>
    <s v="Other-service"/>
    <s v="Not-in-family"/>
    <s v="White"/>
    <s v="Male"/>
    <n v="0"/>
    <n v="0"/>
    <n v="40"/>
    <s v="United-States"/>
    <x v="0"/>
  </r>
  <r>
    <x v="4"/>
    <s v="Private"/>
    <n v="207668"/>
    <s v="Some-college"/>
    <n v="10"/>
    <s v="Married-civ-spouse"/>
    <s v="Handlers-cleaners"/>
    <s v="Husband"/>
    <s v="White"/>
    <s v="Male"/>
    <n v="0"/>
    <n v="1887"/>
    <n v="40"/>
    <s v="United-States"/>
    <x v="1"/>
  </r>
  <r>
    <x v="22"/>
    <s v="Private"/>
    <n v="119170"/>
    <s v="11th"/>
    <n v="7"/>
    <s v="Never-married"/>
    <s v="Exec-managerial"/>
    <s v="Unmarried"/>
    <s v="White"/>
    <s v="Female"/>
    <n v="0"/>
    <n v="0"/>
    <n v="45"/>
    <s v="United-States"/>
    <x v="0"/>
  </r>
  <r>
    <x v="24"/>
    <s v="Private"/>
    <n v="258819"/>
    <s v="HS-grad"/>
    <n v="9"/>
    <s v="Divorced"/>
    <s v="Craft-repair"/>
    <s v="Not-in-family"/>
    <s v="White"/>
    <s v="Male"/>
    <n v="0"/>
    <n v="0"/>
    <n v="40"/>
    <s v="United-States"/>
    <x v="1"/>
  </r>
  <r>
    <x v="4"/>
    <s v="Self-emp-not-inc"/>
    <n v="123429"/>
    <s v="HS-grad"/>
    <n v="9"/>
    <s v="Married-civ-spouse"/>
    <s v="Sales"/>
    <s v="Husband"/>
    <s v="White"/>
    <s v="Male"/>
    <n v="0"/>
    <n v="0"/>
    <n v="60"/>
    <s v="United-States"/>
    <x v="0"/>
  </r>
  <r>
    <x v="31"/>
    <s v="Private"/>
    <n v="120572"/>
    <s v="Some-college"/>
    <n v="10"/>
    <s v="Never-married"/>
    <s v="Other-service"/>
    <s v="Not-in-family"/>
    <s v="White"/>
    <s v="Female"/>
    <n v="0"/>
    <n v="0"/>
    <n v="12"/>
    <s v="United-States"/>
    <x v="0"/>
  </r>
  <r>
    <x v="38"/>
    <s v="State-gov"/>
    <n v="116520"/>
    <s v="Doctorate"/>
    <n v="16"/>
    <s v="Married-civ-spouse"/>
    <s v="Prof-specialty"/>
    <s v="Husband"/>
    <s v="White"/>
    <s v="Male"/>
    <n v="0"/>
    <n v="0"/>
    <n v="40"/>
    <s v="United-States"/>
    <x v="1"/>
  </r>
  <r>
    <x v="43"/>
    <s v="Self-emp-not-inc"/>
    <n v="201328"/>
    <s v="7th-8th"/>
    <n v="4"/>
    <s v="Married-civ-spouse"/>
    <s v="Farming-fishing"/>
    <s v="Husband"/>
    <s v="White"/>
    <s v="Male"/>
    <n v="0"/>
    <n v="0"/>
    <n v="56"/>
    <s v="United-States"/>
    <x v="0"/>
  </r>
  <r>
    <x v="34"/>
    <s v="Private"/>
    <n v="188069"/>
    <s v="9th"/>
    <n v="5"/>
    <s v="Married-civ-spouse"/>
    <s v="Transport-moving"/>
    <s v="Husband"/>
    <s v="White"/>
    <s v="Male"/>
    <n v="0"/>
    <n v="0"/>
    <n v="25"/>
    <s v="United-States"/>
    <x v="0"/>
  </r>
  <r>
    <x v="10"/>
    <s v="Private"/>
    <n v="272944"/>
    <s v="HS-grad"/>
    <n v="9"/>
    <s v="Never-married"/>
    <s v="Transport-moving"/>
    <s v="Not-in-family"/>
    <s v="White"/>
    <s v="Male"/>
    <n v="0"/>
    <n v="0"/>
    <n v="45"/>
    <s v="United-States"/>
    <x v="0"/>
  </r>
  <r>
    <x v="26"/>
    <s v="Local-gov"/>
    <n v="202738"/>
    <s v="HS-grad"/>
    <n v="9"/>
    <s v="Married-civ-spouse"/>
    <s v="Adm-clerical"/>
    <s v="Wife"/>
    <s v="White"/>
    <s v="Female"/>
    <n v="0"/>
    <n v="0"/>
    <n v="35"/>
    <s v="United-States"/>
    <x v="0"/>
  </r>
  <r>
    <x v="0"/>
    <s v="Private"/>
    <n v="374969"/>
    <s v="10th"/>
    <n v="6"/>
    <s v="Never-married"/>
    <s v="Transport-moving"/>
    <s v="Not-in-family"/>
    <s v="White"/>
    <s v="Male"/>
    <n v="0"/>
    <n v="0"/>
    <n v="56"/>
    <s v="United-States"/>
    <x v="0"/>
  </r>
  <r>
    <x v="3"/>
    <s v="Private"/>
    <n v="179869"/>
    <s v="HS-grad"/>
    <n v="9"/>
    <s v="Married-civ-spouse"/>
    <s v="Craft-repair"/>
    <s v="Husband"/>
    <s v="White"/>
    <s v="Male"/>
    <n v="0"/>
    <n v="0"/>
    <n v="40"/>
    <s v="United-States"/>
    <x v="0"/>
  </r>
  <r>
    <x v="0"/>
    <s v="Private"/>
    <n v="120691"/>
    <s v="Some-college"/>
    <n v="10"/>
    <s v="Never-married"/>
    <s v="Other-service"/>
    <s v="Own-child"/>
    <s v="Black"/>
    <s v="Male"/>
    <n v="0"/>
    <n v="0"/>
    <n v="35"/>
    <s v="?"/>
    <x v="0"/>
  </r>
  <r>
    <x v="48"/>
    <s v="Private"/>
    <n v="100099"/>
    <s v="HS-grad"/>
    <n v="9"/>
    <s v="Married-spouse-absent"/>
    <s v="Craft-repair"/>
    <s v="Not-in-family"/>
    <s v="White"/>
    <s v="Male"/>
    <n v="0"/>
    <n v="0"/>
    <n v="40"/>
    <s v="United-States"/>
    <x v="0"/>
  </r>
  <r>
    <x v="29"/>
    <s v="State-gov"/>
    <n v="143931"/>
    <s v="Bachelors"/>
    <n v="13"/>
    <s v="Widowed"/>
    <s v="Prof-specialty"/>
    <s v="Not-in-family"/>
    <s v="White"/>
    <s v="Female"/>
    <n v="0"/>
    <n v="0"/>
    <n v="40"/>
    <s v="United-States"/>
    <x v="0"/>
  </r>
  <r>
    <x v="25"/>
    <s v="Private"/>
    <n v="271571"/>
    <s v="Some-college"/>
    <n v="10"/>
    <s v="Married-civ-spouse"/>
    <s v="Craft-repair"/>
    <s v="Husband"/>
    <s v="White"/>
    <s v="Male"/>
    <n v="15024"/>
    <n v="0"/>
    <n v="50"/>
    <s v="United-States"/>
    <x v="1"/>
  </r>
  <r>
    <x v="16"/>
    <s v="Private"/>
    <n v="126743"/>
    <s v="1st-4th"/>
    <n v="2"/>
    <s v="Married-civ-spouse"/>
    <s v="Other-service"/>
    <s v="Husband"/>
    <s v="White"/>
    <s v="Male"/>
    <n v="0"/>
    <n v="0"/>
    <n v="53"/>
    <s v="Mexico"/>
    <x v="0"/>
  </r>
  <r>
    <x v="9"/>
    <s v="Private"/>
    <n v="232569"/>
    <s v="HS-grad"/>
    <n v="9"/>
    <s v="Never-married"/>
    <s v="Handlers-cleaners"/>
    <s v="Not-in-family"/>
    <s v="White"/>
    <s v="Male"/>
    <n v="0"/>
    <n v="0"/>
    <n v="40"/>
    <s v="United-States"/>
    <x v="0"/>
  </r>
  <r>
    <x v="14"/>
    <s v="?"/>
    <n v="164574"/>
    <s v="Assoc-acdm"/>
    <n v="12"/>
    <s v="Never-married"/>
    <s v="?"/>
    <s v="Own-child"/>
    <s v="White"/>
    <s v="Male"/>
    <n v="0"/>
    <n v="0"/>
    <n v="40"/>
    <s v="United-States"/>
    <x v="0"/>
  </r>
  <r>
    <x v="7"/>
    <s v="Private"/>
    <n v="349148"/>
    <s v="Bachelors"/>
    <n v="13"/>
    <s v="Never-married"/>
    <s v="Prof-specialty"/>
    <s v="Not-in-family"/>
    <s v="White"/>
    <s v="Male"/>
    <n v="0"/>
    <n v="0"/>
    <n v="70"/>
    <s v="United-States"/>
    <x v="0"/>
  </r>
  <r>
    <x v="8"/>
    <s v="Private"/>
    <n v="156580"/>
    <s v="Bachelors"/>
    <n v="13"/>
    <s v="Married-civ-spouse"/>
    <s v="Sales"/>
    <s v="Wife"/>
    <s v="White"/>
    <s v="Female"/>
    <n v="0"/>
    <n v="0"/>
    <n v="40"/>
    <s v="Puerto-Rico"/>
    <x v="0"/>
  </r>
  <r>
    <x v="39"/>
    <s v="Self-emp-not-inc"/>
    <n v="164582"/>
    <s v="Some-college"/>
    <n v="10"/>
    <s v="Married-civ-spouse"/>
    <s v="Farming-fishing"/>
    <s v="Husband"/>
    <s v="White"/>
    <s v="Male"/>
    <n v="7298"/>
    <n v="0"/>
    <n v="60"/>
    <s v="United-States"/>
    <x v="1"/>
  </r>
  <r>
    <x v="29"/>
    <s v="Self-emp-inc"/>
    <n v="184598"/>
    <s v="9th"/>
    <n v="5"/>
    <s v="Married-civ-spouse"/>
    <s v="Transport-moving"/>
    <s v="Husband"/>
    <s v="White"/>
    <s v="Male"/>
    <n v="0"/>
    <n v="0"/>
    <n v="99"/>
    <s v="United-States"/>
    <x v="0"/>
  </r>
  <r>
    <x v="32"/>
    <s v="Private"/>
    <n v="182866"/>
    <s v="HS-grad"/>
    <n v="9"/>
    <s v="Never-married"/>
    <s v="Handlers-cleaners"/>
    <s v="Own-child"/>
    <s v="White"/>
    <s v="Male"/>
    <n v="0"/>
    <n v="0"/>
    <n v="40"/>
    <s v="United-States"/>
    <x v="0"/>
  </r>
  <r>
    <x v="3"/>
    <s v="Local-gov"/>
    <n v="344172"/>
    <s v="Assoc-acdm"/>
    <n v="12"/>
    <s v="Married-civ-spouse"/>
    <s v="Protective-serv"/>
    <s v="Husband"/>
    <s v="White"/>
    <s v="Male"/>
    <n v="0"/>
    <n v="0"/>
    <n v="49"/>
    <s v="United-States"/>
    <x v="1"/>
  </r>
  <r>
    <x v="0"/>
    <s v="Private"/>
    <n v="243900"/>
    <s v="HS-grad"/>
    <n v="9"/>
    <s v="Never-married"/>
    <s v="Adm-clerical"/>
    <s v="Own-child"/>
    <s v="White"/>
    <s v="Female"/>
    <n v="0"/>
    <n v="0"/>
    <n v="15"/>
    <s v="United-States"/>
    <x v="0"/>
  </r>
  <r>
    <x v="52"/>
    <s v="Self-emp-not-inc"/>
    <n v="119129"/>
    <s v="HS-grad"/>
    <n v="9"/>
    <s v="Married-civ-spouse"/>
    <s v="Sales"/>
    <s v="Husband"/>
    <s v="White"/>
    <s v="Male"/>
    <n v="0"/>
    <n v="2149"/>
    <n v="20"/>
    <s v="United-States"/>
    <x v="0"/>
  </r>
  <r>
    <x v="44"/>
    <s v="Private"/>
    <n v="188048"/>
    <s v="Bachelors"/>
    <n v="13"/>
    <s v="Never-married"/>
    <s v="Adm-clerical"/>
    <s v="Own-child"/>
    <s v="White"/>
    <s v="Female"/>
    <n v="0"/>
    <n v="0"/>
    <n v="40"/>
    <s v="United-States"/>
    <x v="0"/>
  </r>
  <r>
    <x v="31"/>
    <s v="Private"/>
    <n v="366929"/>
    <s v="Some-college"/>
    <n v="10"/>
    <s v="Never-married"/>
    <s v="Adm-clerical"/>
    <s v="Own-child"/>
    <s v="White"/>
    <s v="Female"/>
    <n v="0"/>
    <n v="0"/>
    <n v="35"/>
    <s v="United-States"/>
    <x v="0"/>
  </r>
  <r>
    <x v="14"/>
    <s v="Private"/>
    <n v="107801"/>
    <s v="Some-college"/>
    <n v="10"/>
    <s v="Never-married"/>
    <s v="Adm-clerical"/>
    <s v="Own-child"/>
    <s v="White"/>
    <s v="Female"/>
    <n v="0"/>
    <n v="1617"/>
    <n v="25"/>
    <s v="United-States"/>
    <x v="0"/>
  </r>
  <r>
    <x v="46"/>
    <s v="Federal-gov"/>
    <n v="199114"/>
    <s v="Bachelors"/>
    <n v="13"/>
    <s v="Never-married"/>
    <s v="Adm-clerical"/>
    <s v="Not-in-family"/>
    <s v="White"/>
    <s v="Male"/>
    <n v="0"/>
    <n v="2258"/>
    <n v="40"/>
    <s v="United-States"/>
    <x v="0"/>
  </r>
  <r>
    <x v="28"/>
    <s v="Private"/>
    <n v="216999"/>
    <s v="HS-grad"/>
    <n v="9"/>
    <s v="Married-civ-spouse"/>
    <s v="Sales"/>
    <s v="Husband"/>
    <s v="White"/>
    <s v="Male"/>
    <n v="0"/>
    <n v="0"/>
    <n v="45"/>
    <s v="United-States"/>
    <x v="0"/>
  </r>
  <r>
    <x v="12"/>
    <s v="Private"/>
    <n v="208311"/>
    <s v="Masters"/>
    <n v="14"/>
    <s v="Married-civ-spouse"/>
    <s v="Tech-support"/>
    <s v="Husband"/>
    <s v="White"/>
    <s v="Male"/>
    <n v="0"/>
    <n v="1977"/>
    <n v="20"/>
    <s v="United-States"/>
    <x v="1"/>
  </r>
  <r>
    <x v="23"/>
    <s v="Private"/>
    <n v="227489"/>
    <s v="HS-grad"/>
    <n v="9"/>
    <s v="Never-married"/>
    <s v="Tech-support"/>
    <s v="Other-relative"/>
    <s v="Black"/>
    <s v="Male"/>
    <n v="0"/>
    <n v="0"/>
    <n v="40"/>
    <s v="?"/>
    <x v="0"/>
  </r>
  <r>
    <x v="28"/>
    <s v="Private"/>
    <n v="152073"/>
    <s v="HS-grad"/>
    <n v="9"/>
    <s v="Divorced"/>
    <s v="Machine-op-inspct"/>
    <s v="Unmarried"/>
    <s v="White"/>
    <s v="Female"/>
    <n v="0"/>
    <n v="0"/>
    <n v="40"/>
    <s v="United-States"/>
    <x v="0"/>
  </r>
  <r>
    <x v="36"/>
    <s v="Private"/>
    <n v="441700"/>
    <s v="Bachelors"/>
    <n v="13"/>
    <s v="Never-married"/>
    <s v="Tech-support"/>
    <s v="Own-child"/>
    <s v="White"/>
    <s v="Male"/>
    <n v="0"/>
    <n v="0"/>
    <n v="40"/>
    <s v="United-States"/>
    <x v="0"/>
  </r>
  <r>
    <x v="1"/>
    <s v="?"/>
    <n v="147471"/>
    <s v="HS-grad"/>
    <n v="9"/>
    <s v="Divorced"/>
    <s v="?"/>
    <s v="Own-child"/>
    <s v="White"/>
    <s v="Female"/>
    <n v="0"/>
    <n v="0"/>
    <n v="10"/>
    <s v="United-States"/>
    <x v="0"/>
  </r>
  <r>
    <x v="14"/>
    <s v="Private"/>
    <n v="289982"/>
    <s v="HS-grad"/>
    <n v="9"/>
    <s v="Never-married"/>
    <s v="Sales"/>
    <s v="Not-in-family"/>
    <s v="White"/>
    <s v="Female"/>
    <n v="0"/>
    <n v="0"/>
    <n v="40"/>
    <s v="United-States"/>
    <x v="0"/>
  </r>
  <r>
    <x v="15"/>
    <s v="Private"/>
    <n v="191544"/>
    <s v="HS-grad"/>
    <n v="9"/>
    <s v="Never-married"/>
    <s v="Other-service"/>
    <s v="Not-in-family"/>
    <s v="White"/>
    <s v="Female"/>
    <n v="0"/>
    <n v="0"/>
    <n v="35"/>
    <s v="United-States"/>
    <x v="0"/>
  </r>
  <r>
    <x v="53"/>
    <s v="Federal-gov"/>
    <n v="165630"/>
    <s v="HS-grad"/>
    <n v="9"/>
    <s v="Married-civ-spouse"/>
    <s v="Tech-support"/>
    <s v="Husband"/>
    <s v="White"/>
    <s v="Male"/>
    <n v="0"/>
    <n v="1977"/>
    <n v="40"/>
    <s v="United-States"/>
    <x v="1"/>
  </r>
  <r>
    <x v="1"/>
    <s v="Private"/>
    <n v="263614"/>
    <s v="Bachelors"/>
    <n v="13"/>
    <s v="Married-civ-spouse"/>
    <s v="Exec-managerial"/>
    <s v="Husband"/>
    <s v="White"/>
    <s v="Male"/>
    <n v="0"/>
    <n v="0"/>
    <n v="40"/>
    <s v="United-States"/>
    <x v="1"/>
  </r>
  <r>
    <x v="17"/>
    <s v="Private"/>
    <n v="184099"/>
    <s v="Assoc-acdm"/>
    <n v="12"/>
    <s v="Married-civ-spouse"/>
    <s v="Transport-moving"/>
    <s v="Husband"/>
    <s v="White"/>
    <s v="Male"/>
    <n v="0"/>
    <n v="0"/>
    <n v="40"/>
    <s v="United-States"/>
    <x v="0"/>
  </r>
  <r>
    <x v="8"/>
    <s v="Private"/>
    <n v="135056"/>
    <s v="Some-college"/>
    <n v="10"/>
    <s v="Married-civ-spouse"/>
    <s v="Adm-clerical"/>
    <s v="Wife"/>
    <s v="White"/>
    <s v="Female"/>
    <n v="0"/>
    <n v="0"/>
    <n v="40"/>
    <s v="United-States"/>
    <x v="0"/>
  </r>
  <r>
    <x v="54"/>
    <s v="Private"/>
    <n v="174603"/>
    <s v="HS-grad"/>
    <n v="9"/>
    <s v="Never-married"/>
    <s v="Exec-managerial"/>
    <s v="Not-in-family"/>
    <s v="White"/>
    <s v="Female"/>
    <n v="0"/>
    <n v="0"/>
    <n v="35"/>
    <s v="United-States"/>
    <x v="0"/>
  </r>
  <r>
    <x v="32"/>
    <s v="Private"/>
    <n v="247006"/>
    <s v="Assoc-acdm"/>
    <n v="12"/>
    <s v="Married-civ-spouse"/>
    <s v="Exec-managerial"/>
    <s v="Husband"/>
    <s v="White"/>
    <s v="Male"/>
    <n v="0"/>
    <n v="0"/>
    <n v="45"/>
    <s v="United-States"/>
    <x v="0"/>
  </r>
  <r>
    <x v="7"/>
    <s v="Private"/>
    <n v="148524"/>
    <s v="HS-grad"/>
    <n v="9"/>
    <s v="Married-civ-spouse"/>
    <s v="Transport-moving"/>
    <s v="Husband"/>
    <s v="White"/>
    <s v="Male"/>
    <n v="0"/>
    <n v="2057"/>
    <n v="40"/>
    <s v="United-States"/>
    <x v="0"/>
  </r>
  <r>
    <x v="16"/>
    <s v="Local-gov"/>
    <n v="102936"/>
    <s v="Bachelors"/>
    <n v="13"/>
    <s v="Divorced"/>
    <s v="Prof-specialty"/>
    <s v="Unmarried"/>
    <s v="White"/>
    <s v="Female"/>
    <n v="0"/>
    <n v="0"/>
    <n v="55"/>
    <s v="United-States"/>
    <x v="0"/>
  </r>
  <r>
    <x v="51"/>
    <s v="Private"/>
    <n v="208711"/>
    <s v="Bachelors"/>
    <n v="13"/>
    <s v="Married-civ-spouse"/>
    <s v="Craft-repair"/>
    <s v="Husband"/>
    <s v="White"/>
    <s v="Male"/>
    <n v="7688"/>
    <n v="0"/>
    <n v="50"/>
    <s v="United-States"/>
    <x v="1"/>
  </r>
  <r>
    <x v="38"/>
    <s v="?"/>
    <n v="27187"/>
    <s v="Assoc-voc"/>
    <n v="11"/>
    <s v="Married-civ-spouse"/>
    <s v="?"/>
    <s v="Husband"/>
    <s v="White"/>
    <s v="Male"/>
    <n v="0"/>
    <n v="2415"/>
    <n v="12"/>
    <s v="United-States"/>
    <x v="1"/>
  </r>
  <r>
    <x v="15"/>
    <s v="Private"/>
    <n v="119101"/>
    <s v="Some-college"/>
    <n v="10"/>
    <s v="Married-civ-spouse"/>
    <s v="Craft-repair"/>
    <s v="Husband"/>
    <s v="White"/>
    <s v="Male"/>
    <n v="5178"/>
    <n v="0"/>
    <n v="40"/>
    <s v="United-States"/>
    <x v="1"/>
  </r>
  <r>
    <x v="37"/>
    <s v="?"/>
    <n v="347692"/>
    <s v="11th"/>
    <n v="7"/>
    <s v="Divorced"/>
    <s v="?"/>
    <s v="Not-in-family"/>
    <s v="Black"/>
    <s v="Male"/>
    <n v="0"/>
    <n v="0"/>
    <n v="15"/>
    <s v="United-States"/>
    <x v="0"/>
  </r>
  <r>
    <x v="2"/>
    <s v="Private"/>
    <n v="31023"/>
    <s v="Bachelors"/>
    <n v="13"/>
    <s v="Married-civ-spouse"/>
    <s v="Sales"/>
    <s v="Husband"/>
    <s v="White"/>
    <s v="Male"/>
    <n v="0"/>
    <n v="0"/>
    <n v="45"/>
    <s v="United-States"/>
    <x v="0"/>
  </r>
  <r>
    <x v="49"/>
    <s v="Private"/>
    <n v="30219"/>
    <s v="HS-grad"/>
    <n v="9"/>
    <s v="Divorced"/>
    <s v="Craft-repair"/>
    <s v="Not-in-family"/>
    <s v="White"/>
    <s v="Male"/>
    <n v="0"/>
    <n v="1669"/>
    <n v="40"/>
    <s v="United-States"/>
    <x v="0"/>
  </r>
  <r>
    <x v="50"/>
    <s v="?"/>
    <n v="39824"/>
    <s v="HS-grad"/>
    <n v="9"/>
    <s v="Widowed"/>
    <s v="?"/>
    <s v="Not-in-family"/>
    <s v="White"/>
    <s v="Male"/>
    <n v="401"/>
    <n v="0"/>
    <n v="4"/>
    <s v="United-States"/>
    <x v="0"/>
  </r>
  <r>
    <x v="6"/>
    <s v="Private"/>
    <n v="326156"/>
    <s v="Some-college"/>
    <n v="10"/>
    <s v="Married-civ-spouse"/>
    <s v="Craft-repair"/>
    <s v="Husband"/>
    <s v="White"/>
    <s v="Male"/>
    <n v="0"/>
    <n v="0"/>
    <n v="40"/>
    <s v="United-States"/>
    <x v="1"/>
  </r>
  <r>
    <x v="0"/>
    <s v="Private"/>
    <n v="36251"/>
    <s v="10th"/>
    <n v="6"/>
    <s v="Never-married"/>
    <s v="Other-service"/>
    <s v="Own-child"/>
    <s v="White"/>
    <s v="Female"/>
    <n v="0"/>
    <n v="0"/>
    <n v="15"/>
    <s v="United-States"/>
    <x v="0"/>
  </r>
  <r>
    <x v="32"/>
    <s v="Private"/>
    <n v="361307"/>
    <s v="Bachelors"/>
    <n v="13"/>
    <s v="Never-married"/>
    <s v="Sales"/>
    <s v="Own-child"/>
    <s v="White"/>
    <s v="Female"/>
    <n v="0"/>
    <n v="0"/>
    <n v="40"/>
    <s v="United-States"/>
    <x v="0"/>
  </r>
  <r>
    <x v="11"/>
    <s v="Private"/>
    <n v="142038"/>
    <s v="HS-grad"/>
    <n v="9"/>
    <s v="Married-civ-spouse"/>
    <s v="Craft-repair"/>
    <s v="Wife"/>
    <s v="White"/>
    <s v="Female"/>
    <n v="0"/>
    <n v="0"/>
    <n v="45"/>
    <s v="United-States"/>
    <x v="0"/>
  </r>
  <r>
    <x v="33"/>
    <s v="Private"/>
    <n v="188274"/>
    <s v="HS-grad"/>
    <n v="9"/>
    <s v="Never-married"/>
    <s v="Transport-moving"/>
    <s v="Own-child"/>
    <s v="White"/>
    <s v="Male"/>
    <n v="0"/>
    <n v="0"/>
    <n v="40"/>
    <s v="United-States"/>
    <x v="0"/>
  </r>
  <r>
    <x v="32"/>
    <s v="Private"/>
    <n v="211497"/>
    <s v="Some-college"/>
    <n v="10"/>
    <s v="Married-civ-spouse"/>
    <s v="Exec-managerial"/>
    <s v="Husband"/>
    <s v="White"/>
    <s v="Male"/>
    <n v="0"/>
    <n v="0"/>
    <n v="40"/>
    <s v="United-States"/>
    <x v="0"/>
  </r>
  <r>
    <x v="10"/>
    <s v="Private"/>
    <n v="592930"/>
    <s v="HS-grad"/>
    <n v="9"/>
    <s v="Married-civ-spouse"/>
    <s v="Transport-moving"/>
    <s v="Husband"/>
    <s v="Black"/>
    <s v="Male"/>
    <n v="0"/>
    <n v="0"/>
    <n v="50"/>
    <s v="United-States"/>
    <x v="1"/>
  </r>
  <r>
    <x v="23"/>
    <s v="Private"/>
    <n v="179772"/>
    <s v="Bachelors"/>
    <n v="13"/>
    <s v="Never-married"/>
    <s v="Exec-managerial"/>
    <s v="Not-in-family"/>
    <s v="White"/>
    <s v="Female"/>
    <n v="0"/>
    <n v="0"/>
    <n v="45"/>
    <s v="United-States"/>
    <x v="0"/>
  </r>
  <r>
    <x v="16"/>
    <s v="Private"/>
    <n v="179731"/>
    <s v="HS-grad"/>
    <n v="9"/>
    <s v="Never-married"/>
    <s v="Other-service"/>
    <s v="Unmarried"/>
    <s v="White"/>
    <s v="Female"/>
    <n v="0"/>
    <n v="0"/>
    <n v="35"/>
    <s v="United-States"/>
    <x v="0"/>
  </r>
  <r>
    <x v="22"/>
    <s v="Private"/>
    <n v="104457"/>
    <s v="Bachelors"/>
    <n v="13"/>
    <s v="Never-married"/>
    <s v="Machine-op-inspct"/>
    <s v="Not-in-family"/>
    <s v="Asian-Pac-Islander"/>
    <s v="Male"/>
    <n v="0"/>
    <n v="0"/>
    <n v="40"/>
    <s v="?"/>
    <x v="0"/>
  </r>
  <r>
    <x v="0"/>
    <s v="?"/>
    <n v="343161"/>
    <s v="11th"/>
    <n v="7"/>
    <s v="Never-married"/>
    <s v="?"/>
    <s v="Own-child"/>
    <s v="White"/>
    <s v="Male"/>
    <n v="0"/>
    <n v="0"/>
    <n v="16"/>
    <s v="United-States"/>
    <x v="0"/>
  </r>
  <r>
    <x v="36"/>
    <s v="Private"/>
    <n v="122234"/>
    <s v="Some-college"/>
    <n v="10"/>
    <s v="Never-married"/>
    <s v="Adm-clerical"/>
    <s v="Not-in-family"/>
    <s v="Black"/>
    <s v="Female"/>
    <n v="0"/>
    <n v="0"/>
    <n v="20"/>
    <s v="?"/>
    <x v="0"/>
  </r>
  <r>
    <x v="28"/>
    <s v="Self-emp-not-inc"/>
    <n v="160045"/>
    <s v="Some-college"/>
    <n v="10"/>
    <s v="Widowed"/>
    <s v="Other-service"/>
    <s v="Unmarried"/>
    <s v="White"/>
    <s v="Female"/>
    <n v="0"/>
    <n v="0"/>
    <n v="35"/>
    <s v="United-States"/>
    <x v="0"/>
  </r>
  <r>
    <x v="39"/>
    <s v="Private"/>
    <n v="248059"/>
    <s v="Bachelors"/>
    <n v="13"/>
    <s v="Married-civ-spouse"/>
    <s v="Exec-managerial"/>
    <s v="Husband"/>
    <s v="White"/>
    <s v="Male"/>
    <n v="5013"/>
    <n v="0"/>
    <n v="45"/>
    <s v="United-States"/>
    <x v="0"/>
  </r>
  <r>
    <x v="34"/>
    <s v="Federal-gov"/>
    <n v="193583"/>
    <s v="Bachelors"/>
    <n v="13"/>
    <s v="Divorced"/>
    <s v="Prof-specialty"/>
    <s v="Unmarried"/>
    <s v="White"/>
    <s v="Female"/>
    <n v="5455"/>
    <n v="0"/>
    <n v="60"/>
    <s v="United-States"/>
    <x v="0"/>
  </r>
  <r>
    <x v="23"/>
    <s v="Private"/>
    <n v="120268"/>
    <s v="Bachelors"/>
    <n v="13"/>
    <s v="Never-married"/>
    <s v="Adm-clerical"/>
    <s v="Own-child"/>
    <s v="White"/>
    <s v="Male"/>
    <n v="0"/>
    <n v="0"/>
    <n v="24"/>
    <s v="United-States"/>
    <x v="0"/>
  </r>
  <r>
    <x v="30"/>
    <s v="Private"/>
    <n v="133336"/>
    <s v="HS-grad"/>
    <n v="9"/>
    <s v="Married-civ-spouse"/>
    <s v="Tech-support"/>
    <s v="Husband"/>
    <s v="White"/>
    <s v="Male"/>
    <n v="0"/>
    <n v="0"/>
    <n v="40"/>
    <s v="United-States"/>
    <x v="1"/>
  </r>
  <r>
    <x v="44"/>
    <s v="Private"/>
    <n v="207685"/>
    <s v="HS-grad"/>
    <n v="9"/>
    <s v="Married-civ-spouse"/>
    <s v="Handlers-cleaners"/>
    <s v="Wife"/>
    <s v="Black"/>
    <s v="Female"/>
    <n v="3908"/>
    <n v="0"/>
    <n v="40"/>
    <s v="United-States"/>
    <x v="0"/>
  </r>
  <r>
    <x v="43"/>
    <s v="Private"/>
    <n v="170861"/>
    <s v="Some-college"/>
    <n v="10"/>
    <s v="Never-married"/>
    <s v="Adm-clerical"/>
    <s v="Own-child"/>
    <s v="White"/>
    <s v="Female"/>
    <n v="0"/>
    <n v="0"/>
    <n v="40"/>
    <s v="United-States"/>
    <x v="0"/>
  </r>
  <r>
    <x v="38"/>
    <s v="Self-emp-not-inc"/>
    <n v="223763"/>
    <s v="Masters"/>
    <n v="14"/>
    <s v="Married-civ-spouse"/>
    <s v="Craft-repair"/>
    <s v="Husband"/>
    <s v="White"/>
    <s v="Male"/>
    <n v="0"/>
    <n v="0"/>
    <n v="65"/>
    <s v="United-States"/>
    <x v="0"/>
  </r>
  <r>
    <x v="22"/>
    <s v="Private"/>
    <n v="108431"/>
    <s v="Some-college"/>
    <n v="10"/>
    <s v="Never-married"/>
    <s v="Craft-repair"/>
    <s v="Not-in-family"/>
    <s v="Black"/>
    <s v="Male"/>
    <n v="0"/>
    <n v="0"/>
    <n v="40"/>
    <s v="United-States"/>
    <x v="0"/>
  </r>
  <r>
    <x v="45"/>
    <s v="Self-emp-not-inc"/>
    <n v="123011"/>
    <s v="Prof-school"/>
    <n v="15"/>
    <s v="Married-civ-spouse"/>
    <s v="Prof-specialty"/>
    <s v="Husband"/>
    <s v="White"/>
    <s v="Male"/>
    <n v="0"/>
    <n v="0"/>
    <n v="50"/>
    <s v="United-States"/>
    <x v="1"/>
  </r>
  <r>
    <x v="1"/>
    <s v="Private"/>
    <n v="243660"/>
    <s v="HS-grad"/>
    <n v="9"/>
    <s v="Married-civ-spouse"/>
    <s v="Transport-moving"/>
    <s v="Husband"/>
    <s v="White"/>
    <s v="Male"/>
    <n v="0"/>
    <n v="0"/>
    <n v="40"/>
    <s v="United-States"/>
    <x v="0"/>
  </r>
  <r>
    <x v="6"/>
    <s v="Self-emp-not-inc"/>
    <n v="71344"/>
    <s v="Masters"/>
    <n v="14"/>
    <s v="Divorced"/>
    <s v="Prof-specialty"/>
    <s v="Not-in-family"/>
    <s v="White"/>
    <s v="Male"/>
    <n v="0"/>
    <n v="0"/>
    <n v="50"/>
    <s v="United-States"/>
    <x v="1"/>
  </r>
  <r>
    <x v="55"/>
    <s v="?"/>
    <n v="125101"/>
    <s v="Assoc-voc"/>
    <n v="11"/>
    <s v="Widowed"/>
    <s v="?"/>
    <s v="Not-in-family"/>
    <s v="White"/>
    <s v="Female"/>
    <n v="0"/>
    <n v="0"/>
    <n v="40"/>
    <s v="United-States"/>
    <x v="0"/>
  </r>
  <r>
    <x v="46"/>
    <s v="Private"/>
    <n v="169329"/>
    <s v="HS-grad"/>
    <n v="9"/>
    <s v="Married-civ-spouse"/>
    <s v="Tech-support"/>
    <s v="Husband"/>
    <s v="Black"/>
    <s v="Male"/>
    <n v="0"/>
    <n v="1887"/>
    <n v="40"/>
    <s v="Trinadad&amp;Tobago"/>
    <x v="1"/>
  </r>
  <r>
    <x v="40"/>
    <s v="Private"/>
    <n v="355856"/>
    <s v="Assoc-acdm"/>
    <n v="12"/>
    <s v="Married-civ-spouse"/>
    <s v="Sales"/>
    <s v="Husband"/>
    <s v="Asian-Pac-Islander"/>
    <s v="Male"/>
    <n v="0"/>
    <n v="0"/>
    <n v="60"/>
    <s v="United-States"/>
    <x v="0"/>
  </r>
  <r>
    <x v="24"/>
    <s v="Private"/>
    <n v="108926"/>
    <s v="Some-college"/>
    <n v="10"/>
    <s v="Divorced"/>
    <s v="Machine-op-inspct"/>
    <s v="Not-in-family"/>
    <s v="Black"/>
    <s v="Female"/>
    <n v="0"/>
    <n v="0"/>
    <n v="40"/>
    <s v="United-States"/>
    <x v="0"/>
  </r>
  <r>
    <x v="20"/>
    <s v="Self-emp-inc"/>
    <n v="220543"/>
    <s v="HS-grad"/>
    <n v="9"/>
    <s v="Married-civ-spouse"/>
    <s v="Adm-clerical"/>
    <s v="Wife"/>
    <s v="White"/>
    <s v="Female"/>
    <n v="0"/>
    <n v="0"/>
    <n v="40"/>
    <s v="United-States"/>
    <x v="1"/>
  </r>
  <r>
    <x v="38"/>
    <s v="Private"/>
    <n v="198425"/>
    <s v="Some-college"/>
    <n v="10"/>
    <s v="Married-civ-spouse"/>
    <s v="Craft-repair"/>
    <s v="Husband"/>
    <s v="White"/>
    <s v="Male"/>
    <n v="0"/>
    <n v="0"/>
    <n v="45"/>
    <s v="United-States"/>
    <x v="0"/>
  </r>
  <r>
    <x v="32"/>
    <s v="Private"/>
    <n v="193701"/>
    <s v="Bachelors"/>
    <n v="13"/>
    <s v="Never-married"/>
    <s v="Other-service"/>
    <s v="Not-in-family"/>
    <s v="White"/>
    <s v="Female"/>
    <n v="0"/>
    <n v="0"/>
    <n v="38"/>
    <s v="United-States"/>
    <x v="0"/>
  </r>
  <r>
    <x v="11"/>
    <s v="State-gov"/>
    <n v="157673"/>
    <s v="HS-grad"/>
    <n v="9"/>
    <s v="Married-civ-spouse"/>
    <s v="Farming-fishing"/>
    <s v="Husband"/>
    <s v="White"/>
    <s v="Male"/>
    <n v="0"/>
    <n v="0"/>
    <n v="40"/>
    <s v="United-States"/>
    <x v="0"/>
  </r>
  <r>
    <x v="28"/>
    <s v="Private"/>
    <n v="191957"/>
    <s v="Bachelors"/>
    <n v="13"/>
    <s v="Married-civ-spouse"/>
    <s v="Sales"/>
    <s v="Husband"/>
    <s v="Black"/>
    <s v="Male"/>
    <n v="0"/>
    <n v="0"/>
    <n v="40"/>
    <s v="United-States"/>
    <x v="1"/>
  </r>
  <r>
    <x v="9"/>
    <s v="Private"/>
    <n v="162228"/>
    <s v="Some-college"/>
    <n v="10"/>
    <s v="Never-married"/>
    <s v="Adm-clerical"/>
    <s v="Own-child"/>
    <s v="White"/>
    <s v="Male"/>
    <n v="0"/>
    <n v="0"/>
    <n v="40"/>
    <s v="United-States"/>
    <x v="0"/>
  </r>
  <r>
    <x v="26"/>
    <s v="Local-gov"/>
    <n v="182866"/>
    <s v="HS-grad"/>
    <n v="9"/>
    <s v="Widowed"/>
    <s v="Other-service"/>
    <s v="Unmarried"/>
    <s v="White"/>
    <s v="Female"/>
    <n v="0"/>
    <n v="0"/>
    <n v="40"/>
    <s v="United-States"/>
    <x v="0"/>
  </r>
  <r>
    <x v="34"/>
    <s v="Federal-gov"/>
    <n v="432555"/>
    <s v="HS-grad"/>
    <n v="9"/>
    <s v="Married-civ-spouse"/>
    <s v="Adm-clerical"/>
    <s v="Husband"/>
    <s v="Black"/>
    <s v="Male"/>
    <n v="0"/>
    <n v="1628"/>
    <n v="40"/>
    <s v="United-States"/>
    <x v="0"/>
  </r>
  <r>
    <x v="23"/>
    <s v="Private"/>
    <n v="56929"/>
    <s v="Bachelors"/>
    <n v="13"/>
    <s v="Never-married"/>
    <s v="Exec-managerial"/>
    <s v="Not-in-family"/>
    <s v="Black"/>
    <s v="Male"/>
    <n v="0"/>
    <n v="0"/>
    <n v="50"/>
    <s v="?"/>
    <x v="0"/>
  </r>
  <r>
    <x v="33"/>
    <s v="Private"/>
    <n v="190968"/>
    <s v="HS-grad"/>
    <n v="9"/>
    <s v="Married-civ-spouse"/>
    <s v="Other-service"/>
    <s v="Husband"/>
    <s v="White"/>
    <s v="Male"/>
    <n v="0"/>
    <n v="0"/>
    <n v="40"/>
    <s v="United-States"/>
    <x v="0"/>
  </r>
  <r>
    <x v="7"/>
    <s v="Private"/>
    <n v="206051"/>
    <s v="HS-grad"/>
    <n v="9"/>
    <s v="Married-civ-spouse"/>
    <s v="Transport-moving"/>
    <s v="Husband"/>
    <s v="White"/>
    <s v="Male"/>
    <n v="0"/>
    <n v="0"/>
    <n v="40"/>
    <s v="United-States"/>
    <x v="0"/>
  </r>
  <r>
    <x v="7"/>
    <s v="Private"/>
    <n v="188398"/>
    <s v="HS-grad"/>
    <n v="9"/>
    <s v="Married-spouse-absent"/>
    <s v="Adm-clerical"/>
    <s v="Not-in-family"/>
    <s v="White"/>
    <s v="Female"/>
    <n v="0"/>
    <n v="0"/>
    <n v="30"/>
    <s v="United-States"/>
    <x v="0"/>
  </r>
  <r>
    <x v="49"/>
    <s v="Private"/>
    <n v="147002"/>
    <s v="HS-grad"/>
    <n v="9"/>
    <s v="Never-married"/>
    <s v="Craft-repair"/>
    <s v="Unmarried"/>
    <s v="White"/>
    <s v="Female"/>
    <n v="0"/>
    <n v="0"/>
    <n v="40"/>
    <s v="Puerto-Rico"/>
    <x v="0"/>
  </r>
  <r>
    <x v="33"/>
    <s v="Private"/>
    <n v="72310"/>
    <s v="11th"/>
    <n v="7"/>
    <s v="Never-married"/>
    <s v="Transport-moving"/>
    <s v="Not-in-family"/>
    <s v="White"/>
    <s v="Male"/>
    <n v="0"/>
    <n v="0"/>
    <n v="65"/>
    <s v="United-States"/>
    <x v="0"/>
  </r>
  <r>
    <x v="3"/>
    <s v="Local-gov"/>
    <n v="226871"/>
    <s v="Bachelors"/>
    <n v="13"/>
    <s v="Divorced"/>
    <s v="Protective-serv"/>
    <s v="Not-in-family"/>
    <s v="Black"/>
    <s v="Male"/>
    <n v="0"/>
    <n v="0"/>
    <n v="50"/>
    <s v="United-States"/>
    <x v="1"/>
  </r>
  <r>
    <x v="12"/>
    <s v="Private"/>
    <n v="23789"/>
    <s v="HS-grad"/>
    <n v="9"/>
    <s v="Divorced"/>
    <s v="Exec-managerial"/>
    <s v="Not-in-family"/>
    <s v="White"/>
    <s v="Female"/>
    <n v="0"/>
    <n v="0"/>
    <n v="40"/>
    <s v="United-States"/>
    <x v="0"/>
  </r>
  <r>
    <x v="38"/>
    <s v="Private"/>
    <n v="219591"/>
    <s v="HS-grad"/>
    <n v="9"/>
    <s v="Never-married"/>
    <s v="Adm-clerical"/>
    <s v="Own-child"/>
    <s v="White"/>
    <s v="Male"/>
    <n v="0"/>
    <n v="0"/>
    <n v="40"/>
    <s v="United-States"/>
    <x v="0"/>
  </r>
  <r>
    <x v="56"/>
    <s v="Private"/>
    <n v="150095"/>
    <s v="Bachelors"/>
    <n v="13"/>
    <s v="Married-civ-spouse"/>
    <s v="Exec-managerial"/>
    <s v="Husband"/>
    <s v="White"/>
    <s v="Male"/>
    <n v="0"/>
    <n v="0"/>
    <n v="40"/>
    <s v="United-States"/>
    <x v="1"/>
  </r>
  <r>
    <x v="43"/>
    <s v="Private"/>
    <n v="146178"/>
    <s v="HS-grad"/>
    <n v="9"/>
    <s v="Never-married"/>
    <s v="Craft-repair"/>
    <s v="Unmarried"/>
    <s v="Black"/>
    <s v="Female"/>
    <n v="0"/>
    <n v="0"/>
    <n v="40"/>
    <s v="United-States"/>
    <x v="0"/>
  </r>
  <r>
    <x v="57"/>
    <s v="Self-emp-inc"/>
    <n v="125197"/>
    <s v="HS-grad"/>
    <n v="9"/>
    <s v="Married-civ-spouse"/>
    <s v="Adm-clerical"/>
    <s v="Husband"/>
    <s v="White"/>
    <s v="Male"/>
    <n v="0"/>
    <n v="0"/>
    <n v="26"/>
    <s v="United-States"/>
    <x v="0"/>
  </r>
  <r>
    <x v="58"/>
    <s v="Private"/>
    <n v="165017"/>
    <s v="HS-grad"/>
    <n v="9"/>
    <s v="Married-civ-spouse"/>
    <s v="Prof-specialty"/>
    <s v="Husband"/>
    <s v="White"/>
    <s v="Male"/>
    <n v="0"/>
    <n v="0"/>
    <n v="40"/>
    <s v="Italy"/>
    <x v="1"/>
  </r>
  <r>
    <x v="17"/>
    <s v="Private"/>
    <n v="373403"/>
    <s v="Assoc-voc"/>
    <n v="11"/>
    <s v="Married-civ-spouse"/>
    <s v="Craft-repair"/>
    <s v="Husband"/>
    <s v="White"/>
    <s v="Male"/>
    <n v="0"/>
    <n v="0"/>
    <n v="40"/>
    <s v="United-States"/>
    <x v="0"/>
  </r>
  <r>
    <x v="31"/>
    <s v="Private"/>
    <n v="38620"/>
    <s v="Some-college"/>
    <n v="10"/>
    <s v="Never-married"/>
    <s v="Other-service"/>
    <s v="Own-child"/>
    <s v="White"/>
    <s v="Male"/>
    <n v="0"/>
    <n v="0"/>
    <n v="20"/>
    <s v="United-States"/>
    <x v="0"/>
  </r>
  <r>
    <x v="44"/>
    <s v="Private"/>
    <n v="192039"/>
    <s v="Assoc-voc"/>
    <n v="11"/>
    <s v="Married-civ-spouse"/>
    <s v="Prof-specialty"/>
    <s v="Wife"/>
    <s v="White"/>
    <s v="Female"/>
    <n v="0"/>
    <n v="0"/>
    <n v="40"/>
    <s v="United-States"/>
    <x v="1"/>
  </r>
  <r>
    <x v="11"/>
    <s v="Private"/>
    <n v="200117"/>
    <s v="HS-grad"/>
    <n v="9"/>
    <s v="Divorced"/>
    <s v="Adm-clerical"/>
    <s v="Not-in-family"/>
    <s v="White"/>
    <s v="Male"/>
    <n v="0"/>
    <n v="0"/>
    <n v="40"/>
    <s v="United-States"/>
    <x v="0"/>
  </r>
  <r>
    <x v="13"/>
    <s v="Private"/>
    <n v="200471"/>
    <s v="HS-grad"/>
    <n v="9"/>
    <s v="Married-civ-spouse"/>
    <s v="Adm-clerical"/>
    <s v="Husband"/>
    <s v="White"/>
    <s v="Male"/>
    <n v="0"/>
    <n v="0"/>
    <n v="35"/>
    <s v="United-States"/>
    <x v="0"/>
  </r>
  <r>
    <x v="14"/>
    <s v="Private"/>
    <n v="112683"/>
    <s v="Some-college"/>
    <n v="10"/>
    <s v="Never-married"/>
    <s v="Sales"/>
    <s v="Own-child"/>
    <s v="White"/>
    <s v="Female"/>
    <n v="0"/>
    <n v="0"/>
    <n v="12"/>
    <s v="United-States"/>
    <x v="0"/>
  </r>
  <r>
    <x v="4"/>
    <s v="Private"/>
    <n v="345705"/>
    <s v="HS-grad"/>
    <n v="9"/>
    <s v="Divorced"/>
    <s v="Craft-repair"/>
    <s v="Not-in-family"/>
    <s v="White"/>
    <s v="Male"/>
    <n v="0"/>
    <n v="1408"/>
    <n v="38"/>
    <s v="United-States"/>
    <x v="0"/>
  </r>
  <r>
    <x v="10"/>
    <s v="Private"/>
    <n v="201769"/>
    <s v="11th"/>
    <n v="7"/>
    <s v="Never-married"/>
    <s v="Protective-serv"/>
    <s v="Not-in-family"/>
    <s v="Black"/>
    <s v="Male"/>
    <n v="13550"/>
    <n v="0"/>
    <n v="40"/>
    <s v="United-States"/>
    <x v="1"/>
  </r>
  <r>
    <x v="8"/>
    <s v="Private"/>
    <n v="99679"/>
    <s v="HS-grad"/>
    <n v="9"/>
    <s v="Married-civ-spouse"/>
    <s v="Transport-moving"/>
    <s v="Husband"/>
    <s v="White"/>
    <s v="Male"/>
    <n v="0"/>
    <n v="0"/>
    <n v="60"/>
    <s v="United-States"/>
    <x v="1"/>
  </r>
  <r>
    <x v="48"/>
    <s v="Self-emp-not-inc"/>
    <n v="420629"/>
    <s v="Assoc-voc"/>
    <n v="11"/>
    <s v="Married-civ-spouse"/>
    <s v="Other-service"/>
    <s v="Husband"/>
    <s v="White"/>
    <s v="Male"/>
    <n v="0"/>
    <n v="0"/>
    <n v="45"/>
    <s v="United-States"/>
    <x v="0"/>
  </r>
  <r>
    <x v="5"/>
    <s v="Federal-gov"/>
    <n v="102238"/>
    <s v="HS-grad"/>
    <n v="9"/>
    <s v="Divorced"/>
    <s v="Craft-repair"/>
    <s v="Unmarried"/>
    <s v="White"/>
    <s v="Male"/>
    <n v="0"/>
    <n v="0"/>
    <n v="40"/>
    <s v="United-States"/>
    <x v="0"/>
  </r>
  <r>
    <x v="2"/>
    <s v="Private"/>
    <n v="178322"/>
    <s v="Bachelors"/>
    <n v="13"/>
    <s v="Married-civ-spouse"/>
    <s v="Sales"/>
    <s v="Husband"/>
    <s v="White"/>
    <s v="Male"/>
    <n v="0"/>
    <n v="0"/>
    <n v="40"/>
    <s v="United-States"/>
    <x v="1"/>
  </r>
  <r>
    <x v="7"/>
    <s v="Private"/>
    <n v="149427"/>
    <s v="9th"/>
    <n v="5"/>
    <s v="Never-married"/>
    <s v="Craft-repair"/>
    <s v="Own-child"/>
    <s v="White"/>
    <s v="Male"/>
    <n v="0"/>
    <n v="0"/>
    <n v="45"/>
    <s v="United-States"/>
    <x v="0"/>
  </r>
  <r>
    <x v="28"/>
    <s v="?"/>
    <n v="178013"/>
    <s v="10th"/>
    <n v="6"/>
    <s v="Married-civ-spouse"/>
    <s v="?"/>
    <s v="Wife"/>
    <s v="White"/>
    <s v="Female"/>
    <n v="0"/>
    <n v="0"/>
    <n v="20"/>
    <s v="Cuba"/>
    <x v="0"/>
  </r>
  <r>
    <x v="4"/>
    <s v="Private"/>
    <n v="318886"/>
    <s v="HS-grad"/>
    <n v="9"/>
    <s v="Married-civ-spouse"/>
    <s v="Farming-fishing"/>
    <s v="Husband"/>
    <s v="Black"/>
    <s v="Male"/>
    <n v="0"/>
    <n v="0"/>
    <n v="40"/>
    <s v="United-States"/>
    <x v="0"/>
  </r>
  <r>
    <x v="43"/>
    <s v="Private"/>
    <n v="110402"/>
    <s v="Assoc-voc"/>
    <n v="11"/>
    <s v="Married-civ-spouse"/>
    <s v="Machine-op-inspct"/>
    <s v="Husband"/>
    <s v="White"/>
    <s v="Male"/>
    <n v="0"/>
    <n v="0"/>
    <n v="40"/>
    <s v="United-States"/>
    <x v="0"/>
  </r>
  <r>
    <x v="11"/>
    <s v="Private"/>
    <n v="323069"/>
    <s v="Assoc-acdm"/>
    <n v="12"/>
    <s v="Divorced"/>
    <s v="Sales"/>
    <s v="Unmarried"/>
    <s v="White"/>
    <s v="Female"/>
    <n v="0"/>
    <n v="880"/>
    <n v="45"/>
    <s v="United-States"/>
    <x v="0"/>
  </r>
  <r>
    <x v="53"/>
    <s v="Private"/>
    <n v="114263"/>
    <s v="Bachelors"/>
    <n v="13"/>
    <s v="Divorced"/>
    <s v="Exec-managerial"/>
    <s v="Not-in-family"/>
    <s v="White"/>
    <s v="Female"/>
    <n v="0"/>
    <n v="0"/>
    <n v="40"/>
    <s v="Hungary"/>
    <x v="1"/>
  </r>
  <r>
    <x v="33"/>
    <s v="Private"/>
    <n v="103277"/>
    <s v="Assoc-acdm"/>
    <n v="12"/>
    <s v="Never-married"/>
    <s v="Adm-clerical"/>
    <s v="Own-child"/>
    <s v="White"/>
    <s v="Female"/>
    <n v="0"/>
    <n v="0"/>
    <n v="20"/>
    <s v="United-States"/>
    <x v="0"/>
  </r>
  <r>
    <x v="35"/>
    <s v="Private"/>
    <n v="82646"/>
    <s v="Doctorate"/>
    <n v="16"/>
    <s v="Divorced"/>
    <s v="Exec-managerial"/>
    <s v="Not-in-family"/>
    <s v="White"/>
    <s v="Female"/>
    <n v="0"/>
    <n v="0"/>
    <n v="55"/>
    <s v="United-States"/>
    <x v="1"/>
  </r>
  <r>
    <x v="50"/>
    <s v="Private"/>
    <n v="90523"/>
    <s v="HS-grad"/>
    <n v="9"/>
    <s v="Widowed"/>
    <s v="Transport-moving"/>
    <s v="Unmarried"/>
    <s v="White"/>
    <s v="Male"/>
    <n v="0"/>
    <n v="0"/>
    <n v="99"/>
    <s v="United-States"/>
    <x v="0"/>
  </r>
  <r>
    <x v="34"/>
    <s v="Private"/>
    <n v="147548"/>
    <s v="HS-grad"/>
    <n v="9"/>
    <s v="Married-civ-spouse"/>
    <s v="Craft-repair"/>
    <s v="Husband"/>
    <s v="White"/>
    <s v="Male"/>
    <n v="0"/>
    <n v="0"/>
    <n v="40"/>
    <s v="United-States"/>
    <x v="0"/>
  </r>
  <r>
    <x v="30"/>
    <s v="Private"/>
    <n v="108435"/>
    <s v="Masters"/>
    <n v="14"/>
    <s v="Married-civ-spouse"/>
    <s v="Prof-specialty"/>
    <s v="Husband"/>
    <s v="White"/>
    <s v="Male"/>
    <n v="0"/>
    <n v="0"/>
    <n v="47"/>
    <s v="United-States"/>
    <x v="1"/>
  </r>
  <r>
    <x v="30"/>
    <s v="Self-emp-not-inc"/>
    <n v="136836"/>
    <s v="Assoc-acdm"/>
    <n v="12"/>
    <s v="Divorced"/>
    <s v="Transport-moving"/>
    <s v="Unmarried"/>
    <s v="Black"/>
    <s v="Female"/>
    <n v="0"/>
    <n v="0"/>
    <n v="30"/>
    <s v="United-States"/>
    <x v="0"/>
  </r>
  <r>
    <x v="8"/>
    <s v="Private"/>
    <n v="350387"/>
    <s v="HS-grad"/>
    <n v="9"/>
    <s v="Separated"/>
    <s v="Machine-op-inspct"/>
    <s v="Not-in-family"/>
    <s v="White"/>
    <s v="Male"/>
    <n v="0"/>
    <n v="0"/>
    <n v="15"/>
    <s v="United-States"/>
    <x v="0"/>
  </r>
  <r>
    <x v="10"/>
    <s v="Private"/>
    <n v="149833"/>
    <s v="HS-grad"/>
    <n v="9"/>
    <s v="Married-civ-spouse"/>
    <s v="Exec-managerial"/>
    <s v="Wife"/>
    <s v="White"/>
    <s v="Female"/>
    <n v="0"/>
    <n v="0"/>
    <n v="40"/>
    <s v="United-States"/>
    <x v="0"/>
  </r>
  <r>
    <x v="46"/>
    <s v="Local-gov"/>
    <n v="130532"/>
    <s v="Bachelors"/>
    <n v="13"/>
    <s v="Widowed"/>
    <s v="Prof-specialty"/>
    <s v="Not-in-family"/>
    <s v="White"/>
    <s v="Female"/>
    <n v="0"/>
    <n v="0"/>
    <n v="35"/>
    <s v="United-States"/>
    <x v="0"/>
  </r>
  <r>
    <x v="55"/>
    <s v="Local-gov"/>
    <n v="229110"/>
    <s v="HS-grad"/>
    <n v="9"/>
    <s v="Widowed"/>
    <s v="Exec-managerial"/>
    <s v="Other-relative"/>
    <s v="White"/>
    <s v="Female"/>
    <n v="0"/>
    <n v="0"/>
    <n v="33"/>
    <s v="United-States"/>
    <x v="0"/>
  </r>
  <r>
    <x v="35"/>
    <s v="Private"/>
    <n v="260106"/>
    <s v="HS-grad"/>
    <n v="9"/>
    <s v="Widowed"/>
    <s v="Sales"/>
    <s v="Not-in-family"/>
    <s v="White"/>
    <s v="Female"/>
    <n v="0"/>
    <n v="0"/>
    <n v="30"/>
    <s v="United-States"/>
    <x v="0"/>
  </r>
  <r>
    <x v="14"/>
    <s v="Private"/>
    <n v="51985"/>
    <s v="HS-grad"/>
    <n v="9"/>
    <s v="Never-married"/>
    <s v="Transport-moving"/>
    <s v="Not-in-family"/>
    <s v="White"/>
    <s v="Male"/>
    <n v="0"/>
    <n v="0"/>
    <n v="38"/>
    <s v="United-States"/>
    <x v="0"/>
  </r>
  <r>
    <x v="13"/>
    <s v="Local-gov"/>
    <n v="166181"/>
    <s v="HS-grad"/>
    <n v="9"/>
    <s v="Divorced"/>
    <s v="Other-service"/>
    <s v="Own-child"/>
    <s v="Black"/>
    <s v="Female"/>
    <n v="0"/>
    <n v="0"/>
    <n v="40"/>
    <s v="United-States"/>
    <x v="0"/>
  </r>
  <r>
    <x v="27"/>
    <s v="?"/>
    <n v="131982"/>
    <s v="Some-college"/>
    <n v="10"/>
    <s v="Never-married"/>
    <s v="?"/>
    <s v="Own-child"/>
    <s v="White"/>
    <s v="Male"/>
    <n v="0"/>
    <n v="0"/>
    <n v="40"/>
    <s v="United-States"/>
    <x v="0"/>
  </r>
  <r>
    <x v="49"/>
    <s v="Federal-gov"/>
    <n v="128990"/>
    <s v="Bachelors"/>
    <n v="13"/>
    <s v="Married-civ-spouse"/>
    <s v="Prof-specialty"/>
    <s v="Husband"/>
    <s v="White"/>
    <s v="Male"/>
    <n v="0"/>
    <n v="0"/>
    <n v="40"/>
    <s v="United-States"/>
    <x v="1"/>
  </r>
  <r>
    <x v="10"/>
    <s v="Local-gov"/>
    <n v="130620"/>
    <s v="HS-grad"/>
    <n v="9"/>
    <s v="Married-civ-spouse"/>
    <s v="Adm-clerical"/>
    <s v="Wife"/>
    <s v="Asian-Pac-Islander"/>
    <s v="Female"/>
    <n v="0"/>
    <n v="0"/>
    <n v="40"/>
    <s v="China"/>
    <x v="1"/>
  </r>
  <r>
    <x v="44"/>
    <s v="Private"/>
    <n v="123291"/>
    <s v="12th"/>
    <n v="8"/>
    <s v="Married-civ-spouse"/>
    <s v="Machine-op-inspct"/>
    <s v="Husband"/>
    <s v="White"/>
    <s v="Male"/>
    <n v="0"/>
    <n v="0"/>
    <n v="40"/>
    <s v="United-States"/>
    <x v="0"/>
  </r>
  <r>
    <x v="17"/>
    <s v="Private"/>
    <n v="427382"/>
    <s v="Masters"/>
    <n v="14"/>
    <s v="Never-married"/>
    <s v="Prof-specialty"/>
    <s v="Not-in-family"/>
    <s v="White"/>
    <s v="Male"/>
    <n v="0"/>
    <n v="0"/>
    <n v="50"/>
    <s v="United-States"/>
    <x v="1"/>
  </r>
  <r>
    <x v="14"/>
    <s v="Private"/>
    <n v="198996"/>
    <s v="HS-grad"/>
    <n v="9"/>
    <s v="Never-married"/>
    <s v="Adm-clerical"/>
    <s v="Not-in-family"/>
    <s v="White"/>
    <s v="Female"/>
    <n v="0"/>
    <n v="0"/>
    <n v="40"/>
    <s v="United-States"/>
    <x v="0"/>
  </r>
  <r>
    <x v="44"/>
    <s v="Private"/>
    <n v="207668"/>
    <s v="HS-grad"/>
    <n v="9"/>
    <s v="Married-civ-spouse"/>
    <s v="Craft-repair"/>
    <s v="Husband"/>
    <s v="White"/>
    <s v="Male"/>
    <n v="0"/>
    <n v="0"/>
    <n v="50"/>
    <s v="United-States"/>
    <x v="0"/>
  </r>
  <r>
    <x v="2"/>
    <s v="Private"/>
    <n v="170092"/>
    <s v="HS-grad"/>
    <n v="9"/>
    <s v="Married-spouse-absent"/>
    <s v="Other-service"/>
    <s v="Unmarried"/>
    <s v="Black"/>
    <s v="Female"/>
    <n v="0"/>
    <n v="0"/>
    <n v="20"/>
    <s v="United-States"/>
    <x v="0"/>
  </r>
  <r>
    <x v="7"/>
    <s v="Private"/>
    <n v="114691"/>
    <s v="HS-grad"/>
    <n v="9"/>
    <s v="Never-married"/>
    <s v="Farming-fishing"/>
    <s v="Own-child"/>
    <s v="White"/>
    <s v="Male"/>
    <n v="0"/>
    <n v="0"/>
    <n v="40"/>
    <s v="United-States"/>
    <x v="0"/>
  </r>
  <r>
    <x v="25"/>
    <s v="Private"/>
    <n v="307423"/>
    <s v="9th"/>
    <n v="5"/>
    <s v="Never-married"/>
    <s v="Other-service"/>
    <s v="Not-in-family"/>
    <s v="Black"/>
    <s v="Male"/>
    <n v="0"/>
    <n v="0"/>
    <n v="50"/>
    <s v="United-States"/>
    <x v="0"/>
  </r>
  <r>
    <x v="16"/>
    <s v="Private"/>
    <n v="103323"/>
    <s v="Assoc-acdm"/>
    <n v="12"/>
    <s v="Married-civ-spouse"/>
    <s v="Sales"/>
    <s v="Husband"/>
    <s v="White"/>
    <s v="Male"/>
    <n v="0"/>
    <n v="0"/>
    <n v="40"/>
    <s v="United-States"/>
    <x v="0"/>
  </r>
  <r>
    <x v="10"/>
    <s v="Private"/>
    <n v="162651"/>
    <s v="HS-grad"/>
    <n v="9"/>
    <s v="Separated"/>
    <s v="Adm-clerical"/>
    <s v="Not-in-family"/>
    <s v="White"/>
    <s v="Male"/>
    <n v="0"/>
    <n v="0"/>
    <n v="40"/>
    <s v="Columbia"/>
    <x v="0"/>
  </r>
  <r>
    <x v="4"/>
    <s v="?"/>
    <n v="205256"/>
    <s v="HS-grad"/>
    <n v="9"/>
    <s v="Married-civ-spouse"/>
    <s v="?"/>
    <s v="Husband"/>
    <s v="White"/>
    <s v="Male"/>
    <n v="2885"/>
    <n v="0"/>
    <n v="80"/>
    <s v="United-States"/>
    <x v="0"/>
  </r>
  <r>
    <x v="32"/>
    <s v="Private"/>
    <n v="148300"/>
    <s v="Bachelors"/>
    <n v="13"/>
    <s v="Never-married"/>
    <s v="Prof-specialty"/>
    <s v="Own-child"/>
    <s v="White"/>
    <s v="Female"/>
    <n v="0"/>
    <n v="0"/>
    <n v="15"/>
    <s v="United-States"/>
    <x v="0"/>
  </r>
  <r>
    <x v="44"/>
    <s v="Private"/>
    <n v="169589"/>
    <s v="Assoc-voc"/>
    <n v="11"/>
    <s v="Married-civ-spouse"/>
    <s v="Handlers-cleaners"/>
    <s v="Husband"/>
    <s v="White"/>
    <s v="Male"/>
    <n v="0"/>
    <n v="0"/>
    <n v="40"/>
    <s v="United-States"/>
    <x v="1"/>
  </r>
  <r>
    <x v="17"/>
    <s v="Private"/>
    <n v="145441"/>
    <s v="Bachelors"/>
    <n v="13"/>
    <s v="Married-civ-spouse"/>
    <s v="Exec-managerial"/>
    <s v="Husband"/>
    <s v="White"/>
    <s v="Male"/>
    <n v="0"/>
    <n v="0"/>
    <n v="38"/>
    <s v="United-States"/>
    <x v="1"/>
  </r>
  <r>
    <x v="37"/>
    <s v="Private"/>
    <n v="238438"/>
    <s v="Some-college"/>
    <n v="10"/>
    <s v="Married-civ-spouse"/>
    <s v="Prof-specialty"/>
    <s v="Husband"/>
    <s v="White"/>
    <s v="Male"/>
    <n v="0"/>
    <n v="0"/>
    <n v="42"/>
    <s v="United-States"/>
    <x v="0"/>
  </r>
  <r>
    <x v="14"/>
    <s v="Private"/>
    <n v="170070"/>
    <s v="12th"/>
    <n v="8"/>
    <s v="Never-married"/>
    <s v="Other-service"/>
    <s v="Not-in-family"/>
    <s v="White"/>
    <s v="Female"/>
    <n v="0"/>
    <n v="0"/>
    <n v="38"/>
    <s v="United-States"/>
    <x v="0"/>
  </r>
  <r>
    <x v="32"/>
    <s v="Private"/>
    <n v="207875"/>
    <s v="7th-8th"/>
    <n v="4"/>
    <s v="Married-civ-spouse"/>
    <s v="Handlers-cleaners"/>
    <s v="Husband"/>
    <s v="White"/>
    <s v="Male"/>
    <n v="0"/>
    <n v="0"/>
    <n v="40"/>
    <s v="Mexico"/>
    <x v="0"/>
  </r>
  <r>
    <x v="1"/>
    <s v="Private"/>
    <n v="137296"/>
    <s v="Assoc-acdm"/>
    <n v="12"/>
    <s v="Never-married"/>
    <s v="Other-service"/>
    <s v="Not-in-family"/>
    <s v="Black"/>
    <s v="Female"/>
    <n v="0"/>
    <n v="0"/>
    <n v="40"/>
    <s v="United-States"/>
    <x v="0"/>
  </r>
  <r>
    <x v="4"/>
    <s v="Self-emp-not-inc"/>
    <n v="319165"/>
    <s v="Doctorate"/>
    <n v="16"/>
    <s v="Married-civ-spouse"/>
    <s v="Prof-specialty"/>
    <s v="Husband"/>
    <s v="White"/>
    <s v="Male"/>
    <n v="0"/>
    <n v="0"/>
    <n v="50"/>
    <s v="United-States"/>
    <x v="1"/>
  </r>
  <r>
    <x v="5"/>
    <s v="Private"/>
    <n v="128485"/>
    <s v="Assoc-voc"/>
    <n v="11"/>
    <s v="Married-civ-spouse"/>
    <s v="Craft-repair"/>
    <s v="Husband"/>
    <s v="Black"/>
    <s v="Male"/>
    <n v="0"/>
    <n v="0"/>
    <n v="40"/>
    <s v="United-States"/>
    <x v="0"/>
  </r>
  <r>
    <x v="33"/>
    <s v="Private"/>
    <n v="204935"/>
    <s v="HS-grad"/>
    <n v="9"/>
    <s v="Never-married"/>
    <s v="Machine-op-inspct"/>
    <s v="Own-child"/>
    <s v="White"/>
    <s v="Male"/>
    <n v="0"/>
    <n v="0"/>
    <n v="40"/>
    <s v="United-States"/>
    <x v="0"/>
  </r>
  <r>
    <x v="32"/>
    <s v="Private"/>
    <n v="441210"/>
    <s v="HS-grad"/>
    <n v="9"/>
    <s v="Never-married"/>
    <s v="Prof-specialty"/>
    <s v="Own-child"/>
    <s v="White"/>
    <s v="Male"/>
    <n v="0"/>
    <n v="0"/>
    <n v="40"/>
    <s v="United-States"/>
    <x v="0"/>
  </r>
  <r>
    <x v="45"/>
    <s v="Private"/>
    <n v="137428"/>
    <s v="HS-grad"/>
    <n v="9"/>
    <s v="Divorced"/>
    <s v="Transport-moving"/>
    <s v="Not-in-family"/>
    <s v="White"/>
    <s v="Male"/>
    <n v="0"/>
    <n v="0"/>
    <n v="45"/>
    <s v="United-States"/>
    <x v="0"/>
  </r>
  <r>
    <x v="44"/>
    <s v="Private"/>
    <n v="286689"/>
    <s v="Assoc-acdm"/>
    <n v="12"/>
    <s v="Married-civ-spouse"/>
    <s v="Tech-support"/>
    <s v="Husband"/>
    <s v="White"/>
    <s v="Male"/>
    <n v="0"/>
    <n v="0"/>
    <n v="42"/>
    <s v="United-States"/>
    <x v="1"/>
  </r>
  <r>
    <x v="38"/>
    <s v="Private"/>
    <n v="244945"/>
    <s v="Some-college"/>
    <n v="10"/>
    <s v="Married-civ-spouse"/>
    <s v="Exec-managerial"/>
    <s v="Husband"/>
    <s v="White"/>
    <s v="Male"/>
    <n v="0"/>
    <n v="0"/>
    <n v="40"/>
    <s v="United-States"/>
    <x v="0"/>
  </r>
  <r>
    <x v="0"/>
    <s v="Private"/>
    <n v="92008"/>
    <s v="HS-grad"/>
    <n v="9"/>
    <s v="Never-married"/>
    <s v="Handlers-cleaners"/>
    <s v="Other-relative"/>
    <s v="White"/>
    <s v="Female"/>
    <n v="0"/>
    <n v="0"/>
    <n v="28"/>
    <s v="United-States"/>
    <x v="0"/>
  </r>
  <r>
    <x v="16"/>
    <s v="Private"/>
    <n v="334291"/>
    <s v="Bachelors"/>
    <n v="13"/>
    <s v="Never-married"/>
    <s v="Exec-managerial"/>
    <s v="Not-in-family"/>
    <s v="White"/>
    <s v="Male"/>
    <n v="0"/>
    <n v="0"/>
    <n v="50"/>
    <s v="United-States"/>
    <x v="0"/>
  </r>
  <r>
    <x v="38"/>
    <s v="Private"/>
    <n v="279914"/>
    <s v="Some-college"/>
    <n v="10"/>
    <s v="Married-civ-spouse"/>
    <s v="Adm-clerical"/>
    <s v="Husband"/>
    <s v="White"/>
    <s v="Male"/>
    <n v="0"/>
    <n v="0"/>
    <n v="45"/>
    <s v="United-States"/>
    <x v="1"/>
  </r>
  <r>
    <x v="1"/>
    <s v="Private"/>
    <n v="201954"/>
    <s v="Assoc-acdm"/>
    <n v="12"/>
    <s v="Never-married"/>
    <s v="Exec-managerial"/>
    <s v="Not-in-family"/>
    <s v="White"/>
    <s v="Male"/>
    <n v="0"/>
    <n v="0"/>
    <n v="65"/>
    <s v="United-States"/>
    <x v="1"/>
  </r>
  <r>
    <x v="15"/>
    <s v="Private"/>
    <n v="374367"/>
    <s v="Assoc-voc"/>
    <n v="11"/>
    <s v="Separated"/>
    <s v="Sales"/>
    <s v="Not-in-family"/>
    <s v="Black"/>
    <s v="Male"/>
    <n v="0"/>
    <n v="0"/>
    <n v="44"/>
    <s v="United-States"/>
    <x v="0"/>
  </r>
  <r>
    <x v="5"/>
    <s v="Private"/>
    <n v="175669"/>
    <s v="11th"/>
    <n v="7"/>
    <s v="Married-civ-spouse"/>
    <s v="Prof-specialty"/>
    <s v="Wife"/>
    <s v="White"/>
    <s v="Female"/>
    <n v="5178"/>
    <n v="0"/>
    <n v="36"/>
    <s v="United-States"/>
    <x v="1"/>
  </r>
  <r>
    <x v="39"/>
    <s v="?"/>
    <n v="167381"/>
    <s v="HS-grad"/>
    <n v="9"/>
    <s v="Widowed"/>
    <s v="?"/>
    <s v="Unmarried"/>
    <s v="White"/>
    <s v="Female"/>
    <n v="0"/>
    <n v="0"/>
    <n v="25"/>
    <s v="United-States"/>
    <x v="0"/>
  </r>
  <r>
    <x v="43"/>
    <s v="Private"/>
    <n v="497788"/>
    <s v="HS-grad"/>
    <n v="9"/>
    <s v="Married-civ-spouse"/>
    <s v="Craft-repair"/>
    <s v="Husband"/>
    <s v="White"/>
    <s v="Male"/>
    <n v="0"/>
    <n v="0"/>
    <n v="50"/>
    <s v="United-States"/>
    <x v="0"/>
  </r>
  <r>
    <x v="2"/>
    <s v="Private"/>
    <n v="82622"/>
    <s v="HS-grad"/>
    <n v="9"/>
    <s v="Divorced"/>
    <s v="Exec-managerial"/>
    <s v="Not-in-family"/>
    <s v="White"/>
    <s v="Male"/>
    <n v="0"/>
    <n v="0"/>
    <n v="50"/>
    <s v="United-States"/>
    <x v="0"/>
  </r>
  <r>
    <x v="33"/>
    <s v="Private"/>
    <n v="311376"/>
    <s v="Bachelors"/>
    <n v="13"/>
    <s v="Never-married"/>
    <s v="Adm-clerical"/>
    <s v="Own-child"/>
    <s v="White"/>
    <s v="Female"/>
    <n v="0"/>
    <n v="0"/>
    <n v="40"/>
    <s v="United-States"/>
    <x v="0"/>
  </r>
  <r>
    <x v="2"/>
    <s v="Private"/>
    <n v="224889"/>
    <s v="Bachelors"/>
    <n v="13"/>
    <s v="Married-civ-spouse"/>
    <s v="Sales"/>
    <s v="Husband"/>
    <s v="White"/>
    <s v="Male"/>
    <n v="0"/>
    <n v="0"/>
    <n v="40"/>
    <s v="United-States"/>
    <x v="0"/>
  </r>
  <r>
    <x v="1"/>
    <s v="Federal-gov"/>
    <n v="281860"/>
    <s v="Bachelors"/>
    <n v="13"/>
    <s v="Never-married"/>
    <s v="Prof-specialty"/>
    <s v="Not-in-family"/>
    <s v="White"/>
    <s v="Female"/>
    <n v="0"/>
    <n v="0"/>
    <n v="40"/>
    <s v="United-States"/>
    <x v="0"/>
  </r>
  <r>
    <x v="47"/>
    <s v="?"/>
    <n v="139391"/>
    <s v="Some-college"/>
    <n v="10"/>
    <s v="Married-civ-spouse"/>
    <s v="?"/>
    <s v="Husband"/>
    <s v="White"/>
    <s v="Male"/>
    <n v="99999"/>
    <n v="0"/>
    <n v="30"/>
    <s v="United-States"/>
    <x v="1"/>
  </r>
  <r>
    <x v="34"/>
    <s v="Private"/>
    <n v="216129"/>
    <s v="Assoc-acdm"/>
    <n v="12"/>
    <s v="Divorced"/>
    <s v="Exec-managerial"/>
    <s v="Unmarried"/>
    <s v="Black"/>
    <s v="Female"/>
    <n v="0"/>
    <n v="0"/>
    <n v="35"/>
    <s v="Jamaica"/>
    <x v="0"/>
  </r>
  <r>
    <x v="0"/>
    <s v="Private"/>
    <n v="118938"/>
    <s v="11th"/>
    <n v="7"/>
    <s v="Never-married"/>
    <s v="Sales"/>
    <s v="Own-child"/>
    <s v="White"/>
    <s v="Male"/>
    <n v="0"/>
    <n v="0"/>
    <n v="18"/>
    <s v="United-States"/>
    <x v="0"/>
  </r>
  <r>
    <x v="46"/>
    <s v="Self-emp-inc"/>
    <n v="368797"/>
    <s v="HS-grad"/>
    <n v="9"/>
    <s v="Married-civ-spouse"/>
    <s v="Exec-managerial"/>
    <s v="Husband"/>
    <s v="White"/>
    <s v="Male"/>
    <n v="0"/>
    <n v="0"/>
    <n v="40"/>
    <s v="United-States"/>
    <x v="0"/>
  </r>
  <r>
    <x v="16"/>
    <s v="Private"/>
    <n v="215476"/>
    <s v="HS-grad"/>
    <n v="9"/>
    <s v="Never-married"/>
    <s v="Handlers-cleaners"/>
    <s v="Unmarried"/>
    <s v="Black"/>
    <s v="Female"/>
    <n v="0"/>
    <n v="0"/>
    <n v="30"/>
    <s v="United-States"/>
    <x v="0"/>
  </r>
  <r>
    <x v="40"/>
    <s v="Private"/>
    <n v="181091"/>
    <s v="10th"/>
    <n v="6"/>
    <s v="Divorced"/>
    <s v="Craft-repair"/>
    <s v="Not-in-family"/>
    <s v="White"/>
    <s v="Male"/>
    <n v="0"/>
    <n v="0"/>
    <n v="35"/>
    <s v="England"/>
    <x v="0"/>
  </r>
  <r>
    <x v="19"/>
    <s v="?"/>
    <n v="104025"/>
    <s v="11th"/>
    <n v="7"/>
    <s v="Never-married"/>
    <s v="?"/>
    <s v="Own-child"/>
    <s v="White"/>
    <s v="Male"/>
    <n v="0"/>
    <n v="0"/>
    <n v="18"/>
    <s v="United-States"/>
    <x v="0"/>
  </r>
  <r>
    <x v="26"/>
    <s v="Private"/>
    <n v="143110"/>
    <s v="Bachelors"/>
    <n v="13"/>
    <s v="Widowed"/>
    <s v="Prof-specialty"/>
    <s v="Not-in-family"/>
    <s v="White"/>
    <s v="Female"/>
    <n v="0"/>
    <n v="0"/>
    <n v="30"/>
    <s v="United-States"/>
    <x v="0"/>
  </r>
  <r>
    <x v="40"/>
    <s v="Private"/>
    <n v="277455"/>
    <s v="Masters"/>
    <n v="14"/>
    <s v="Never-married"/>
    <s v="Prof-specialty"/>
    <s v="Not-in-family"/>
    <s v="White"/>
    <s v="Male"/>
    <n v="0"/>
    <n v="0"/>
    <n v="40"/>
    <s v="United-States"/>
    <x v="0"/>
  </r>
  <r>
    <x v="31"/>
    <s v="Private"/>
    <n v="219122"/>
    <s v="Some-college"/>
    <n v="10"/>
    <s v="Never-married"/>
    <s v="Other-service"/>
    <s v="Not-in-family"/>
    <s v="White"/>
    <s v="Male"/>
    <n v="0"/>
    <n v="0"/>
    <n v="40"/>
    <s v="United-States"/>
    <x v="0"/>
  </r>
  <r>
    <x v="5"/>
    <s v="Private"/>
    <n v="121781"/>
    <s v="Some-college"/>
    <n v="10"/>
    <s v="Divorced"/>
    <s v="Adm-clerical"/>
    <s v="Not-in-family"/>
    <s v="Asian-Pac-Islander"/>
    <s v="Female"/>
    <n v="0"/>
    <n v="0"/>
    <n v="37"/>
    <s v="United-States"/>
    <x v="0"/>
  </r>
  <r>
    <x v="8"/>
    <s v="Self-emp-not-inc"/>
    <n v="79036"/>
    <s v="Bachelors"/>
    <n v="13"/>
    <s v="Married-civ-spouse"/>
    <s v="Farming-fishing"/>
    <s v="Husband"/>
    <s v="White"/>
    <s v="Male"/>
    <n v="0"/>
    <n v="0"/>
    <n v="65"/>
    <s v="United-States"/>
    <x v="0"/>
  </r>
  <r>
    <x v="1"/>
    <s v="Private"/>
    <n v="168901"/>
    <s v="Bachelors"/>
    <n v="13"/>
    <s v="Married-civ-spouse"/>
    <s v="Prof-specialty"/>
    <s v="Husband"/>
    <s v="Asian-Pac-Islander"/>
    <s v="Male"/>
    <n v="0"/>
    <n v="0"/>
    <n v="40"/>
    <s v="Taiwan"/>
    <x v="0"/>
  </r>
  <r>
    <x v="34"/>
    <s v="State-gov"/>
    <n v="55568"/>
    <s v="HS-grad"/>
    <n v="9"/>
    <s v="Married-civ-spouse"/>
    <s v="Adm-clerical"/>
    <s v="Wife"/>
    <s v="White"/>
    <s v="Female"/>
    <n v="0"/>
    <n v="0"/>
    <n v="40"/>
    <s v="United-States"/>
    <x v="0"/>
  </r>
  <r>
    <x v="44"/>
    <s v="Private"/>
    <n v="316470"/>
    <s v="5th-6th"/>
    <n v="3"/>
    <s v="Married-civ-spouse"/>
    <s v="Craft-repair"/>
    <s v="Husband"/>
    <s v="White"/>
    <s v="Male"/>
    <n v="0"/>
    <n v="0"/>
    <n v="60"/>
    <s v="Mexico"/>
    <x v="0"/>
  </r>
  <r>
    <x v="33"/>
    <s v="Federal-gov"/>
    <n v="32950"/>
    <s v="Some-college"/>
    <n v="10"/>
    <s v="Married-civ-spouse"/>
    <s v="Sales"/>
    <s v="Husband"/>
    <s v="White"/>
    <s v="Male"/>
    <n v="0"/>
    <n v="1902"/>
    <n v="37"/>
    <s v="United-States"/>
    <x v="0"/>
  </r>
  <r>
    <x v="6"/>
    <s v="Private"/>
    <n v="378747"/>
    <s v="10th"/>
    <n v="6"/>
    <s v="Separated"/>
    <s v="Transport-moving"/>
    <s v="Unmarried"/>
    <s v="Black"/>
    <s v="Male"/>
    <n v="0"/>
    <n v="0"/>
    <n v="45"/>
    <s v="United-States"/>
    <x v="1"/>
  </r>
  <r>
    <x v="5"/>
    <s v="Private"/>
    <n v="322391"/>
    <s v="11th"/>
    <n v="7"/>
    <s v="Separated"/>
    <s v="Other-service"/>
    <s v="Unmarried"/>
    <s v="Black"/>
    <s v="Female"/>
    <n v="0"/>
    <n v="0"/>
    <n v="30"/>
    <s v="United-States"/>
    <x v="0"/>
  </r>
  <r>
    <x v="51"/>
    <s v="Private"/>
    <n v="174201"/>
    <s v="9th"/>
    <n v="5"/>
    <s v="Widowed"/>
    <s v="Other-service"/>
    <s v="Unmarried"/>
    <s v="Black"/>
    <s v="Female"/>
    <n v="0"/>
    <n v="0"/>
    <n v="25"/>
    <s v="United-States"/>
    <x v="0"/>
  </r>
  <r>
    <x v="18"/>
    <s v="Private"/>
    <n v="255949"/>
    <s v="Bachelors"/>
    <n v="13"/>
    <s v="Never-married"/>
    <s v="Sales"/>
    <s v="Unmarried"/>
    <s v="Black"/>
    <s v="Male"/>
    <n v="0"/>
    <n v="0"/>
    <n v="40"/>
    <s v="United-States"/>
    <x v="0"/>
  </r>
  <r>
    <x v="11"/>
    <s v="Private"/>
    <n v="145935"/>
    <s v="HS-grad"/>
    <n v="9"/>
    <s v="Never-married"/>
    <s v="Exec-managerial"/>
    <s v="Own-child"/>
    <s v="Black"/>
    <s v="Male"/>
    <n v="0"/>
    <n v="0"/>
    <n v="40"/>
    <s v="United-States"/>
    <x v="0"/>
  </r>
  <r>
    <x v="40"/>
    <s v="Self-emp-not-inc"/>
    <n v="67482"/>
    <s v="Assoc-voc"/>
    <n v="11"/>
    <s v="Divorced"/>
    <s v="Other-service"/>
    <s v="Unmarried"/>
    <s v="White"/>
    <s v="Female"/>
    <n v="0"/>
    <n v="0"/>
    <n v="99"/>
    <s v="United-States"/>
    <x v="0"/>
  </r>
  <r>
    <x v="40"/>
    <s v="Private"/>
    <n v="213308"/>
    <s v="Assoc-voc"/>
    <n v="11"/>
    <s v="Separated"/>
    <s v="Adm-clerical"/>
    <s v="Own-child"/>
    <s v="Black"/>
    <s v="Female"/>
    <n v="0"/>
    <n v="0"/>
    <n v="50"/>
    <s v="United-States"/>
    <x v="0"/>
  </r>
  <r>
    <x v="9"/>
    <s v="?"/>
    <n v="170070"/>
    <s v="Some-college"/>
    <n v="10"/>
    <s v="Never-married"/>
    <s v="?"/>
    <s v="Not-in-family"/>
    <s v="White"/>
    <s v="Female"/>
    <n v="0"/>
    <n v="0"/>
    <n v="10"/>
    <s v="United-States"/>
    <x v="0"/>
  </r>
  <r>
    <x v="5"/>
    <s v="Federal-gov"/>
    <n v="161240"/>
    <s v="HS-grad"/>
    <n v="9"/>
    <s v="Divorced"/>
    <s v="Machine-op-inspct"/>
    <s v="Not-in-family"/>
    <s v="White"/>
    <s v="Male"/>
    <n v="0"/>
    <n v="0"/>
    <n v="40"/>
    <s v="United-States"/>
    <x v="0"/>
  </r>
  <r>
    <x v="16"/>
    <s v="Private"/>
    <n v="94334"/>
    <s v="7th-8th"/>
    <n v="4"/>
    <s v="Never-married"/>
    <s v="Machine-op-inspct"/>
    <s v="Own-child"/>
    <s v="White"/>
    <s v="Female"/>
    <n v="0"/>
    <n v="0"/>
    <n v="25"/>
    <s v="United-States"/>
    <x v="0"/>
  </r>
  <r>
    <x v="27"/>
    <s v="Private"/>
    <n v="144911"/>
    <s v="Some-college"/>
    <n v="10"/>
    <s v="Never-married"/>
    <s v="Other-service"/>
    <s v="Own-child"/>
    <s v="White"/>
    <s v="Male"/>
    <n v="0"/>
    <n v="0"/>
    <n v="20"/>
    <s v="United-States"/>
    <x v="0"/>
  </r>
  <r>
    <x v="44"/>
    <s v="Local-gov"/>
    <n v="100135"/>
    <s v="HS-grad"/>
    <n v="9"/>
    <s v="Divorced"/>
    <s v="Adm-clerical"/>
    <s v="Unmarried"/>
    <s v="White"/>
    <s v="Female"/>
    <n v="0"/>
    <n v="0"/>
    <n v="40"/>
    <s v="United-States"/>
    <x v="0"/>
  </r>
  <r>
    <x v="37"/>
    <s v="Local-gov"/>
    <n v="34878"/>
    <s v="Bachelors"/>
    <n v="13"/>
    <s v="Divorced"/>
    <s v="Prof-specialty"/>
    <s v="Not-in-family"/>
    <s v="White"/>
    <s v="Female"/>
    <n v="0"/>
    <n v="0"/>
    <n v="50"/>
    <s v="United-States"/>
    <x v="0"/>
  </r>
  <r>
    <x v="5"/>
    <s v="Self-emp-inc"/>
    <n v="37997"/>
    <s v="HS-grad"/>
    <n v="9"/>
    <s v="Married-civ-spouse"/>
    <s v="Farming-fishing"/>
    <s v="Husband"/>
    <s v="White"/>
    <s v="Male"/>
    <n v="0"/>
    <n v="0"/>
    <n v="60"/>
    <s v="United-States"/>
    <x v="0"/>
  </r>
  <r>
    <x v="32"/>
    <s v="Local-gov"/>
    <n v="176616"/>
    <s v="HS-grad"/>
    <n v="9"/>
    <s v="Never-married"/>
    <s v="Other-service"/>
    <s v="Own-child"/>
    <s v="White"/>
    <s v="Male"/>
    <n v="0"/>
    <n v="0"/>
    <n v="40"/>
    <s v="United-States"/>
    <x v="0"/>
  </r>
  <r>
    <x v="13"/>
    <s v="State-gov"/>
    <n v="103406"/>
    <s v="Bachelors"/>
    <n v="13"/>
    <s v="Married-civ-spouse"/>
    <s v="Exec-managerial"/>
    <s v="Husband"/>
    <s v="White"/>
    <s v="Male"/>
    <n v="0"/>
    <n v="1977"/>
    <n v="60"/>
    <s v="United-States"/>
    <x v="1"/>
  </r>
  <r>
    <x v="3"/>
    <s v="Self-emp-inc"/>
    <n v="110457"/>
    <s v="Masters"/>
    <n v="14"/>
    <s v="Married-civ-spouse"/>
    <s v="Exec-managerial"/>
    <s v="Husband"/>
    <s v="White"/>
    <s v="Male"/>
    <n v="0"/>
    <n v="0"/>
    <n v="55"/>
    <s v="United-States"/>
    <x v="1"/>
  </r>
  <r>
    <x v="43"/>
    <s v="Private"/>
    <n v="161141"/>
    <s v="Some-college"/>
    <n v="10"/>
    <s v="Married-civ-spouse"/>
    <s v="Tech-support"/>
    <s v="Husband"/>
    <s v="White"/>
    <s v="Male"/>
    <n v="0"/>
    <n v="0"/>
    <n v="45"/>
    <s v="United-States"/>
    <x v="0"/>
  </r>
  <r>
    <x v="28"/>
    <s v="Private"/>
    <n v="128796"/>
    <s v="HS-grad"/>
    <n v="9"/>
    <s v="Married-civ-spouse"/>
    <s v="Craft-repair"/>
    <s v="Husband"/>
    <s v="White"/>
    <s v="Male"/>
    <n v="0"/>
    <n v="0"/>
    <n v="40"/>
    <s v="United-States"/>
    <x v="1"/>
  </r>
  <r>
    <x v="34"/>
    <s v="Private"/>
    <n v="24106"/>
    <s v="Some-college"/>
    <n v="10"/>
    <s v="Married-civ-spouse"/>
    <s v="Sales"/>
    <s v="Husband"/>
    <s v="White"/>
    <s v="Male"/>
    <n v="0"/>
    <n v="0"/>
    <n v="40"/>
    <s v="Philippines"/>
    <x v="1"/>
  </r>
  <r>
    <x v="1"/>
    <s v="Private"/>
    <n v="173611"/>
    <s v="HS-grad"/>
    <n v="9"/>
    <s v="Never-married"/>
    <s v="Exec-managerial"/>
    <s v="Own-child"/>
    <s v="White"/>
    <s v="Female"/>
    <n v="0"/>
    <n v="0"/>
    <n v="40"/>
    <s v="United-States"/>
    <x v="0"/>
  </r>
  <r>
    <x v="38"/>
    <s v="Private"/>
    <n v="121055"/>
    <s v="HS-grad"/>
    <n v="9"/>
    <s v="Divorced"/>
    <s v="Transport-moving"/>
    <s v="Not-in-family"/>
    <s v="White"/>
    <s v="Male"/>
    <n v="0"/>
    <n v="0"/>
    <n v="40"/>
    <s v="United-States"/>
    <x v="0"/>
  </r>
  <r>
    <x v="14"/>
    <s v="Federal-gov"/>
    <n v="41356"/>
    <s v="Assoc-acdm"/>
    <n v="12"/>
    <s v="Never-married"/>
    <s v="Exec-managerial"/>
    <s v="Unmarried"/>
    <s v="White"/>
    <s v="Female"/>
    <n v="0"/>
    <n v="0"/>
    <n v="32"/>
    <s v="United-States"/>
    <x v="0"/>
  </r>
  <r>
    <x v="16"/>
    <s v="Private"/>
    <n v="220314"/>
    <s v="HS-grad"/>
    <n v="9"/>
    <s v="Divorced"/>
    <s v="Adm-clerical"/>
    <s v="Unmarried"/>
    <s v="White"/>
    <s v="Female"/>
    <n v="0"/>
    <n v="0"/>
    <n v="40"/>
    <s v="Mexico"/>
    <x v="0"/>
  </r>
  <r>
    <x v="4"/>
    <s v="Private"/>
    <n v="118551"/>
    <s v="Bachelors"/>
    <n v="13"/>
    <s v="Never-married"/>
    <s v="Tech-support"/>
    <s v="Not-in-family"/>
    <s v="White"/>
    <s v="Female"/>
    <n v="0"/>
    <n v="0"/>
    <n v="40"/>
    <s v="United-States"/>
    <x v="0"/>
  </r>
  <r>
    <x v="3"/>
    <s v="Private"/>
    <n v="251786"/>
    <s v="1st-4th"/>
    <n v="2"/>
    <s v="Separated"/>
    <s v="Other-service"/>
    <s v="Not-in-family"/>
    <s v="White"/>
    <s v="Female"/>
    <n v="0"/>
    <n v="0"/>
    <n v="40"/>
    <s v="Mexico"/>
    <x v="0"/>
  </r>
  <r>
    <x v="7"/>
    <s v="Federal-gov"/>
    <n v="321990"/>
    <s v="Some-college"/>
    <n v="10"/>
    <s v="Married-civ-spouse"/>
    <s v="Adm-clerical"/>
    <s v="Husband"/>
    <s v="White"/>
    <s v="Male"/>
    <n v="7298"/>
    <n v="0"/>
    <n v="48"/>
    <s v="Cuba"/>
    <x v="1"/>
  </r>
  <r>
    <x v="7"/>
    <s v="Private"/>
    <n v="187279"/>
    <s v="HS-grad"/>
    <n v="9"/>
    <s v="Married-civ-spouse"/>
    <s v="Handlers-cleaners"/>
    <s v="Husband"/>
    <s v="White"/>
    <s v="Male"/>
    <n v="0"/>
    <n v="0"/>
    <n v="44"/>
    <s v="United-States"/>
    <x v="0"/>
  </r>
  <r>
    <x v="22"/>
    <s v="Private"/>
    <n v="246440"/>
    <s v="11th"/>
    <n v="7"/>
    <s v="Divorced"/>
    <s v="Machine-op-inspct"/>
    <s v="Unmarried"/>
    <s v="White"/>
    <s v="Female"/>
    <n v="0"/>
    <n v="0"/>
    <n v="40"/>
    <s v="United-States"/>
    <x v="0"/>
  </r>
  <r>
    <x v="18"/>
    <s v="Private"/>
    <n v="197932"/>
    <s v="Some-college"/>
    <n v="10"/>
    <s v="Separated"/>
    <s v="Priv-house-serv"/>
    <s v="Not-in-family"/>
    <s v="White"/>
    <s v="Female"/>
    <n v="0"/>
    <n v="0"/>
    <n v="30"/>
    <s v="Guatemala"/>
    <x v="0"/>
  </r>
  <r>
    <x v="32"/>
    <s v="Private"/>
    <n v="206600"/>
    <s v="10th"/>
    <n v="6"/>
    <s v="Never-married"/>
    <s v="Other-service"/>
    <s v="Not-in-family"/>
    <s v="White"/>
    <s v="Male"/>
    <n v="0"/>
    <n v="0"/>
    <n v="24"/>
    <s v="Nicaragua"/>
    <x v="0"/>
  </r>
  <r>
    <x v="14"/>
    <s v="Self-emp-not-inc"/>
    <n v="174714"/>
    <s v="10th"/>
    <n v="6"/>
    <s v="Never-married"/>
    <s v="Craft-repair"/>
    <s v="Not-in-family"/>
    <s v="White"/>
    <s v="Male"/>
    <n v="0"/>
    <n v="0"/>
    <n v="60"/>
    <s v="United-States"/>
    <x v="0"/>
  </r>
  <r>
    <x v="22"/>
    <s v="Private"/>
    <n v="180262"/>
    <s v="Some-college"/>
    <n v="10"/>
    <s v="Never-married"/>
    <s v="Exec-managerial"/>
    <s v="Not-in-family"/>
    <s v="White"/>
    <s v="Female"/>
    <n v="0"/>
    <n v="0"/>
    <n v="40"/>
    <s v="United-States"/>
    <x v="0"/>
  </r>
  <r>
    <x v="15"/>
    <s v="Federal-gov"/>
    <n v="199303"/>
    <s v="Assoc-acdm"/>
    <n v="12"/>
    <s v="Married-civ-spouse"/>
    <s v="Prof-specialty"/>
    <s v="Husband"/>
    <s v="White"/>
    <s v="Male"/>
    <n v="0"/>
    <n v="0"/>
    <n v="40"/>
    <s v="United-States"/>
    <x v="1"/>
  </r>
  <r>
    <x v="38"/>
    <s v="Private"/>
    <n v="140886"/>
    <s v="HS-grad"/>
    <n v="9"/>
    <s v="Married-civ-spouse"/>
    <s v="Farming-fishing"/>
    <s v="Husband"/>
    <s v="White"/>
    <s v="Male"/>
    <n v="0"/>
    <n v="0"/>
    <n v="40"/>
    <s v="United-States"/>
    <x v="0"/>
  </r>
  <r>
    <x v="29"/>
    <s v="Self-emp-not-inc"/>
    <n v="39380"/>
    <s v="Some-college"/>
    <n v="10"/>
    <s v="Married-spouse-absent"/>
    <s v="Farming-fishing"/>
    <s v="Not-in-family"/>
    <s v="White"/>
    <s v="Female"/>
    <n v="27828"/>
    <n v="0"/>
    <n v="20"/>
    <s v="United-States"/>
    <x v="1"/>
  </r>
  <r>
    <x v="4"/>
    <s v="Private"/>
    <n v="269723"/>
    <s v="HS-grad"/>
    <n v="9"/>
    <s v="Divorced"/>
    <s v="Exec-managerial"/>
    <s v="Unmarried"/>
    <s v="White"/>
    <s v="Female"/>
    <n v="2977"/>
    <n v="0"/>
    <n v="50"/>
    <s v="United-States"/>
    <x v="0"/>
  </r>
  <r>
    <x v="14"/>
    <s v="Private"/>
    <n v="133061"/>
    <s v="HS-grad"/>
    <n v="9"/>
    <s v="Married-civ-spouse"/>
    <s v="Sales"/>
    <s v="Husband"/>
    <s v="White"/>
    <s v="Male"/>
    <n v="0"/>
    <n v="0"/>
    <n v="80"/>
    <s v="United-States"/>
    <x v="0"/>
  </r>
  <r>
    <x v="40"/>
    <s v="Private"/>
    <n v="377283"/>
    <s v="Bachelors"/>
    <n v="13"/>
    <s v="Separated"/>
    <s v="Sales"/>
    <s v="Not-in-family"/>
    <s v="White"/>
    <s v="Female"/>
    <n v="0"/>
    <n v="0"/>
    <n v="50"/>
    <s v="United-States"/>
    <x v="1"/>
  </r>
  <r>
    <x v="26"/>
    <s v="Self-emp-not-inc"/>
    <n v="149698"/>
    <s v="Prof-school"/>
    <n v="15"/>
    <s v="Married-civ-spouse"/>
    <s v="Prof-specialty"/>
    <s v="Husband"/>
    <s v="White"/>
    <s v="Male"/>
    <n v="0"/>
    <n v="0"/>
    <n v="40"/>
    <s v="United-States"/>
    <x v="1"/>
  </r>
  <r>
    <x v="9"/>
    <s v="Private"/>
    <n v="206681"/>
    <s v="Some-college"/>
    <n v="10"/>
    <s v="Never-married"/>
    <s v="Sales"/>
    <s v="Own-child"/>
    <s v="White"/>
    <s v="Female"/>
    <n v="0"/>
    <n v="0"/>
    <n v="15"/>
    <s v="United-States"/>
    <x v="0"/>
  </r>
  <r>
    <x v="25"/>
    <s v="State-gov"/>
    <n v="132717"/>
    <s v="10th"/>
    <n v="6"/>
    <s v="Married-civ-spouse"/>
    <s v="Farming-fishing"/>
    <s v="Husband"/>
    <s v="White"/>
    <s v="Male"/>
    <n v="0"/>
    <n v="0"/>
    <n v="40"/>
    <s v="United-States"/>
    <x v="0"/>
  </r>
  <r>
    <x v="22"/>
    <s v="Private"/>
    <n v="178709"/>
    <s v="Masters"/>
    <n v="14"/>
    <s v="Never-married"/>
    <s v="Machine-op-inspct"/>
    <s v="Not-in-family"/>
    <s v="White"/>
    <s v="Female"/>
    <n v="0"/>
    <n v="0"/>
    <n v="40"/>
    <s v="United-States"/>
    <x v="0"/>
  </r>
  <r>
    <x v="15"/>
    <s v="Private"/>
    <n v="198873"/>
    <s v="Prof-school"/>
    <n v="15"/>
    <s v="Married-civ-spouse"/>
    <s v="Prof-specialty"/>
    <s v="Wife"/>
    <s v="White"/>
    <s v="Female"/>
    <n v="15024"/>
    <n v="0"/>
    <n v="30"/>
    <s v="United-States"/>
    <x v="1"/>
  </r>
  <r>
    <x v="10"/>
    <s v="Local-gov"/>
    <n v="251091"/>
    <s v="Some-college"/>
    <n v="10"/>
    <s v="Married-civ-spouse"/>
    <s v="Protective-serv"/>
    <s v="Husband"/>
    <s v="White"/>
    <s v="Male"/>
    <n v="0"/>
    <n v="0"/>
    <n v="40"/>
    <s v="United-States"/>
    <x v="1"/>
  </r>
  <r>
    <x v="49"/>
    <s v="Federal-gov"/>
    <n v="118701"/>
    <s v="HS-grad"/>
    <n v="9"/>
    <s v="Divorced"/>
    <s v="Adm-clerical"/>
    <s v="Unmarried"/>
    <s v="Black"/>
    <s v="Female"/>
    <n v="0"/>
    <n v="0"/>
    <n v="40"/>
    <s v="United-States"/>
    <x v="0"/>
  </r>
  <r>
    <x v="46"/>
    <s v="Private"/>
    <n v="195876"/>
    <s v="HS-grad"/>
    <n v="9"/>
    <s v="Married-civ-spouse"/>
    <s v="Craft-repair"/>
    <s v="Husband"/>
    <s v="White"/>
    <s v="Male"/>
    <n v="0"/>
    <n v="0"/>
    <n v="40"/>
    <s v="United-States"/>
    <x v="0"/>
  </r>
  <r>
    <x v="12"/>
    <s v="?"/>
    <n v="316027"/>
    <s v="7th-8th"/>
    <n v="4"/>
    <s v="Married-civ-spouse"/>
    <s v="?"/>
    <s v="Husband"/>
    <s v="White"/>
    <s v="Male"/>
    <n v="0"/>
    <n v="0"/>
    <n v="40"/>
    <s v="?"/>
    <x v="0"/>
  </r>
  <r>
    <x v="25"/>
    <s v="Private"/>
    <n v="31782"/>
    <s v="10th"/>
    <n v="6"/>
    <s v="Married-civ-spouse"/>
    <s v="Transport-moving"/>
    <s v="Husband"/>
    <s v="White"/>
    <s v="Male"/>
    <n v="0"/>
    <n v="0"/>
    <n v="45"/>
    <s v="United-States"/>
    <x v="1"/>
  </r>
  <r>
    <x v="2"/>
    <s v="Self-emp-not-inc"/>
    <n v="176101"/>
    <s v="HS-grad"/>
    <n v="9"/>
    <s v="Married-civ-spouse"/>
    <s v="Farming-fishing"/>
    <s v="Husband"/>
    <s v="White"/>
    <s v="Male"/>
    <n v="0"/>
    <n v="0"/>
    <n v="80"/>
    <s v="United-States"/>
    <x v="1"/>
  </r>
  <r>
    <x v="8"/>
    <s v="Private"/>
    <n v="227397"/>
    <s v="Bachelors"/>
    <n v="13"/>
    <s v="Married-civ-spouse"/>
    <s v="Adm-clerical"/>
    <s v="Wife"/>
    <s v="White"/>
    <s v="Female"/>
    <n v="0"/>
    <n v="0"/>
    <n v="40"/>
    <s v="United-States"/>
    <x v="1"/>
  </r>
  <r>
    <x v="8"/>
    <s v="?"/>
    <n v="32533"/>
    <s v="Some-college"/>
    <n v="10"/>
    <s v="Never-married"/>
    <s v="?"/>
    <s v="Not-in-family"/>
    <s v="White"/>
    <s v="Male"/>
    <n v="0"/>
    <n v="0"/>
    <n v="45"/>
    <s v="United-States"/>
    <x v="0"/>
  </r>
  <r>
    <x v="38"/>
    <s v="Private"/>
    <n v="187802"/>
    <s v="Some-college"/>
    <n v="10"/>
    <s v="Divorced"/>
    <s v="Tech-support"/>
    <s v="Not-in-family"/>
    <s v="White"/>
    <s v="Male"/>
    <n v="0"/>
    <n v="0"/>
    <n v="50"/>
    <s v="United-States"/>
    <x v="0"/>
  </r>
  <r>
    <x v="17"/>
    <s v="Private"/>
    <n v="248094"/>
    <s v="HS-grad"/>
    <n v="9"/>
    <s v="Divorced"/>
    <s v="Craft-repair"/>
    <s v="Unmarried"/>
    <s v="White"/>
    <s v="Male"/>
    <n v="0"/>
    <n v="0"/>
    <n v="40"/>
    <s v="United-States"/>
    <x v="0"/>
  </r>
  <r>
    <x v="23"/>
    <s v="Private"/>
    <n v="35917"/>
    <s v="Some-college"/>
    <n v="10"/>
    <s v="Never-married"/>
    <s v="Transport-moving"/>
    <s v="Not-in-family"/>
    <s v="White"/>
    <s v="Male"/>
    <n v="0"/>
    <n v="0"/>
    <n v="50"/>
    <s v="United-States"/>
    <x v="0"/>
  </r>
  <r>
    <x v="22"/>
    <s v="Private"/>
    <n v="213152"/>
    <s v="Some-college"/>
    <n v="10"/>
    <s v="Never-married"/>
    <s v="Sales"/>
    <s v="Not-in-family"/>
    <s v="White"/>
    <s v="Male"/>
    <n v="0"/>
    <n v="0"/>
    <n v="40"/>
    <s v="United-States"/>
    <x v="0"/>
  </r>
  <r>
    <x v="30"/>
    <s v="Local-gov"/>
    <n v="349431"/>
    <s v="HS-grad"/>
    <n v="9"/>
    <s v="Married-civ-spouse"/>
    <s v="Craft-repair"/>
    <s v="Husband"/>
    <s v="White"/>
    <s v="Male"/>
    <n v="4386"/>
    <n v="0"/>
    <n v="40"/>
    <s v="United-States"/>
    <x v="1"/>
  </r>
  <r>
    <x v="27"/>
    <s v="Private"/>
    <n v="183041"/>
    <s v="11th"/>
    <n v="7"/>
    <s v="Never-married"/>
    <s v="Handlers-cleaners"/>
    <s v="Own-child"/>
    <s v="White"/>
    <s v="Male"/>
    <n v="0"/>
    <n v="0"/>
    <n v="24"/>
    <s v="United-States"/>
    <x v="0"/>
  </r>
  <r>
    <x v="17"/>
    <s v="Private"/>
    <n v="178976"/>
    <s v="HS-grad"/>
    <n v="9"/>
    <s v="Never-married"/>
    <s v="Adm-clerical"/>
    <s v="Unmarried"/>
    <s v="White"/>
    <s v="Female"/>
    <n v="0"/>
    <n v="0"/>
    <n v="40"/>
    <s v="United-States"/>
    <x v="0"/>
  </r>
  <r>
    <x v="40"/>
    <s v="Private"/>
    <n v="176185"/>
    <s v="12th"/>
    <n v="8"/>
    <s v="Divorced"/>
    <s v="Craft-repair"/>
    <s v="Not-in-family"/>
    <s v="White"/>
    <s v="Male"/>
    <n v="0"/>
    <n v="2258"/>
    <n v="42"/>
    <s v="United-States"/>
    <x v="0"/>
  </r>
  <r>
    <x v="0"/>
    <s v="Private"/>
    <n v="452452"/>
    <s v="10th"/>
    <n v="6"/>
    <s v="Never-married"/>
    <s v="Priv-house-serv"/>
    <s v="Own-child"/>
    <s v="Black"/>
    <s v="Female"/>
    <n v="0"/>
    <n v="0"/>
    <n v="20"/>
    <s v="United-States"/>
    <x v="0"/>
  </r>
  <r>
    <x v="13"/>
    <s v="Private"/>
    <n v="207540"/>
    <s v="Doctorate"/>
    <n v="16"/>
    <s v="Separated"/>
    <s v="Exec-managerial"/>
    <s v="Unmarried"/>
    <s v="White"/>
    <s v="Male"/>
    <n v="0"/>
    <n v="0"/>
    <n v="40"/>
    <s v="United-States"/>
    <x v="1"/>
  </r>
  <r>
    <x v="37"/>
    <s v="Private"/>
    <n v="147707"/>
    <s v="HS-grad"/>
    <n v="9"/>
    <s v="Married-civ-spouse"/>
    <s v="Exec-managerial"/>
    <s v="Husband"/>
    <s v="White"/>
    <s v="Male"/>
    <n v="15024"/>
    <n v="0"/>
    <n v="60"/>
    <s v="United-States"/>
    <x v="1"/>
  </r>
  <r>
    <x v="28"/>
    <s v="Private"/>
    <n v="270079"/>
    <s v="7th-8th"/>
    <n v="4"/>
    <s v="Married-civ-spouse"/>
    <s v="Craft-repair"/>
    <s v="Husband"/>
    <s v="White"/>
    <s v="Male"/>
    <n v="0"/>
    <n v="0"/>
    <n v="40"/>
    <s v="United-States"/>
    <x v="0"/>
  </r>
  <r>
    <x v="4"/>
    <s v="Private"/>
    <n v="118605"/>
    <s v="Assoc-acdm"/>
    <n v="12"/>
    <s v="Married-civ-spouse"/>
    <s v="Prof-specialty"/>
    <s v="Husband"/>
    <s v="White"/>
    <s v="Male"/>
    <n v="0"/>
    <n v="0"/>
    <n v="55"/>
    <s v="United-States"/>
    <x v="0"/>
  </r>
  <r>
    <x v="4"/>
    <s v="?"/>
    <n v="170276"/>
    <s v="Bachelors"/>
    <n v="13"/>
    <s v="Married-civ-spouse"/>
    <s v="?"/>
    <s v="Wife"/>
    <s v="White"/>
    <s v="Female"/>
    <n v="0"/>
    <n v="0"/>
    <n v="10"/>
    <s v="United-States"/>
    <x v="1"/>
  </r>
  <r>
    <x v="14"/>
    <s v="Federal-gov"/>
    <n v="41031"/>
    <s v="Some-college"/>
    <n v="10"/>
    <s v="Never-married"/>
    <s v="Sales"/>
    <s v="Not-in-family"/>
    <s v="White"/>
    <s v="Female"/>
    <n v="0"/>
    <n v="0"/>
    <n v="35"/>
    <s v="United-States"/>
    <x v="0"/>
  </r>
  <r>
    <x v="32"/>
    <s v="Private"/>
    <n v="93223"/>
    <s v="Some-college"/>
    <n v="10"/>
    <s v="Divorced"/>
    <s v="Prof-specialty"/>
    <s v="Unmarried"/>
    <s v="White"/>
    <s v="Female"/>
    <n v="0"/>
    <n v="0"/>
    <n v="35"/>
    <s v="United-States"/>
    <x v="0"/>
  </r>
  <r>
    <x v="10"/>
    <s v="Private"/>
    <n v="215503"/>
    <s v="HS-grad"/>
    <n v="9"/>
    <s v="Never-married"/>
    <s v="Craft-repair"/>
    <s v="Not-in-family"/>
    <s v="White"/>
    <s v="Male"/>
    <n v="0"/>
    <n v="0"/>
    <n v="65"/>
    <s v="United-States"/>
    <x v="0"/>
  </r>
  <r>
    <x v="32"/>
    <s v="Self-emp-not-inc"/>
    <n v="37741"/>
    <s v="Bachelors"/>
    <n v="13"/>
    <s v="Married-civ-spouse"/>
    <s v="Exec-managerial"/>
    <s v="Wife"/>
    <s v="White"/>
    <s v="Female"/>
    <n v="0"/>
    <n v="0"/>
    <n v="40"/>
    <s v="United-States"/>
    <x v="0"/>
  </r>
  <r>
    <x v="32"/>
    <s v="Private"/>
    <n v="281627"/>
    <s v="Masters"/>
    <n v="14"/>
    <s v="Never-married"/>
    <s v="Prof-specialty"/>
    <s v="Not-in-family"/>
    <s v="White"/>
    <s v="Female"/>
    <n v="0"/>
    <n v="0"/>
    <n v="40"/>
    <s v="United-States"/>
    <x v="0"/>
  </r>
  <r>
    <x v="43"/>
    <s v="Private"/>
    <n v="187870"/>
    <s v="Bachelors"/>
    <n v="13"/>
    <s v="Married-civ-spouse"/>
    <s v="Prof-specialty"/>
    <s v="Husband"/>
    <s v="White"/>
    <s v="Male"/>
    <n v="7298"/>
    <n v="0"/>
    <n v="50"/>
    <s v="United-States"/>
    <x v="1"/>
  </r>
  <r>
    <x v="16"/>
    <s v="Private"/>
    <n v="99374"/>
    <s v="10th"/>
    <n v="6"/>
    <s v="Married-civ-spouse"/>
    <s v="Transport-moving"/>
    <s v="Husband"/>
    <s v="White"/>
    <s v="Male"/>
    <n v="0"/>
    <n v="0"/>
    <n v="55"/>
    <s v="United-States"/>
    <x v="0"/>
  </r>
  <r>
    <x v="6"/>
    <s v="Private"/>
    <n v="227832"/>
    <s v="12th"/>
    <n v="8"/>
    <s v="Married-civ-spouse"/>
    <s v="Craft-repair"/>
    <s v="Husband"/>
    <s v="White"/>
    <s v="Male"/>
    <n v="0"/>
    <n v="0"/>
    <n v="40"/>
    <s v="United-States"/>
    <x v="0"/>
  </r>
  <r>
    <x v="15"/>
    <s v="Private"/>
    <n v="109762"/>
    <s v="Some-college"/>
    <n v="10"/>
    <s v="Divorced"/>
    <s v="Craft-repair"/>
    <s v="Unmarried"/>
    <s v="White"/>
    <s v="Male"/>
    <n v="0"/>
    <n v="0"/>
    <n v="40"/>
    <s v="United-States"/>
    <x v="0"/>
  </r>
  <r>
    <x v="9"/>
    <s v="Self-emp-not-inc"/>
    <n v="103277"/>
    <s v="12th"/>
    <n v="8"/>
    <s v="Married-civ-spouse"/>
    <s v="Adm-clerical"/>
    <s v="Wife"/>
    <s v="White"/>
    <s v="Female"/>
    <n v="4508"/>
    <n v="0"/>
    <n v="30"/>
    <s v="Portugal"/>
    <x v="0"/>
  </r>
  <r>
    <x v="59"/>
    <s v="?"/>
    <n v="42209"/>
    <s v="9th"/>
    <n v="5"/>
    <s v="Widowed"/>
    <s v="?"/>
    <s v="Not-in-family"/>
    <s v="White"/>
    <s v="Male"/>
    <n v="0"/>
    <n v="0"/>
    <n v="25"/>
    <s v="United-States"/>
    <x v="0"/>
  </r>
  <r>
    <x v="1"/>
    <s v="Private"/>
    <n v="239130"/>
    <s v="Some-college"/>
    <n v="10"/>
    <s v="Never-married"/>
    <s v="Exec-managerial"/>
    <s v="Not-in-family"/>
    <s v="White"/>
    <s v="Male"/>
    <n v="0"/>
    <n v="0"/>
    <n v="50"/>
    <s v="United-States"/>
    <x v="0"/>
  </r>
  <r>
    <x v="28"/>
    <s v="Self-emp-not-inc"/>
    <n v="122307"/>
    <s v="Bachelors"/>
    <n v="13"/>
    <s v="Married-civ-spouse"/>
    <s v="Sales"/>
    <s v="Husband"/>
    <s v="White"/>
    <s v="Male"/>
    <n v="0"/>
    <n v="1887"/>
    <n v="40"/>
    <s v="United-States"/>
    <x v="1"/>
  </r>
  <r>
    <x v="37"/>
    <s v="Self-emp-inc"/>
    <n v="174864"/>
    <s v="HS-grad"/>
    <n v="9"/>
    <s v="Married-civ-spouse"/>
    <s v="Sales"/>
    <s v="Husband"/>
    <s v="White"/>
    <s v="Male"/>
    <n v="0"/>
    <n v="0"/>
    <n v="55"/>
    <s v="United-States"/>
    <x v="1"/>
  </r>
  <r>
    <x v="27"/>
    <s v="?"/>
    <n v="225775"/>
    <s v="Some-college"/>
    <n v="10"/>
    <s v="Never-married"/>
    <s v="?"/>
    <s v="Own-child"/>
    <s v="White"/>
    <s v="Male"/>
    <n v="0"/>
    <n v="0"/>
    <n v="40"/>
    <s v="United-States"/>
    <x v="0"/>
  </r>
  <r>
    <x v="8"/>
    <s v="Private"/>
    <n v="165599"/>
    <s v="HS-grad"/>
    <n v="9"/>
    <s v="Married-civ-spouse"/>
    <s v="Handlers-cleaners"/>
    <s v="Husband"/>
    <s v="White"/>
    <s v="Male"/>
    <n v="0"/>
    <n v="0"/>
    <n v="40"/>
    <s v="United-States"/>
    <x v="1"/>
  </r>
  <r>
    <x v="39"/>
    <s v="Private"/>
    <n v="344415"/>
    <s v="Bachelors"/>
    <n v="13"/>
    <s v="Married-spouse-absent"/>
    <s v="Prof-specialty"/>
    <s v="Not-in-family"/>
    <s v="White"/>
    <s v="Male"/>
    <n v="0"/>
    <n v="0"/>
    <n v="37"/>
    <s v="United-States"/>
    <x v="1"/>
  </r>
  <r>
    <x v="40"/>
    <s v="Private"/>
    <n v="100154"/>
    <s v="10th"/>
    <n v="6"/>
    <s v="Separated"/>
    <s v="Handlers-cleaners"/>
    <s v="Not-in-family"/>
    <s v="White"/>
    <s v="Male"/>
    <n v="0"/>
    <n v="0"/>
    <n v="40"/>
    <s v="United-States"/>
    <x v="0"/>
  </r>
  <r>
    <x v="13"/>
    <s v="Private"/>
    <n v="172960"/>
    <s v="Some-college"/>
    <n v="10"/>
    <s v="Divorced"/>
    <s v="Protective-serv"/>
    <s v="Not-in-family"/>
    <s v="White"/>
    <s v="Male"/>
    <n v="0"/>
    <n v="0"/>
    <n v="70"/>
    <s v="United-States"/>
    <x v="0"/>
  </r>
  <r>
    <x v="3"/>
    <s v="Private"/>
    <n v="167915"/>
    <s v="HS-grad"/>
    <n v="9"/>
    <s v="Married-civ-spouse"/>
    <s v="Craft-repair"/>
    <s v="Husband"/>
    <s v="White"/>
    <s v="Male"/>
    <n v="0"/>
    <n v="0"/>
    <n v="40"/>
    <s v="United-States"/>
    <x v="0"/>
  </r>
  <r>
    <x v="14"/>
    <s v="Private"/>
    <n v="64520"/>
    <s v="HS-grad"/>
    <n v="9"/>
    <s v="Never-married"/>
    <s v="Adm-clerical"/>
    <s v="Own-child"/>
    <s v="White"/>
    <s v="Male"/>
    <n v="0"/>
    <n v="0"/>
    <n v="30"/>
    <s v="United-States"/>
    <x v="0"/>
  </r>
  <r>
    <x v="25"/>
    <s v="?"/>
    <n v="182836"/>
    <s v="HS-grad"/>
    <n v="9"/>
    <s v="Married-civ-spouse"/>
    <s v="?"/>
    <s v="Wife"/>
    <s v="White"/>
    <s v="Female"/>
    <n v="0"/>
    <n v="0"/>
    <n v="40"/>
    <s v="United-States"/>
    <x v="1"/>
  </r>
  <r>
    <x v="29"/>
    <s v="Self-emp-not-inc"/>
    <n v="66356"/>
    <s v="Some-college"/>
    <n v="10"/>
    <s v="Married-civ-spouse"/>
    <s v="Farming-fishing"/>
    <s v="Husband"/>
    <s v="White"/>
    <s v="Male"/>
    <n v="0"/>
    <n v="0"/>
    <n v="50"/>
    <s v="United-States"/>
    <x v="0"/>
  </r>
  <r>
    <x v="5"/>
    <s v="Private"/>
    <n v="30126"/>
    <s v="Some-college"/>
    <n v="10"/>
    <s v="Divorced"/>
    <s v="Adm-clerical"/>
    <s v="Unmarried"/>
    <s v="White"/>
    <s v="Female"/>
    <n v="0"/>
    <n v="0"/>
    <n v="40"/>
    <s v="United-States"/>
    <x v="0"/>
  </r>
  <r>
    <x v="28"/>
    <s v="Private"/>
    <n v="23545"/>
    <s v="Some-college"/>
    <n v="10"/>
    <s v="Married-civ-spouse"/>
    <s v="Handlers-cleaners"/>
    <s v="Husband"/>
    <s v="White"/>
    <s v="Male"/>
    <n v="0"/>
    <n v="0"/>
    <n v="40"/>
    <s v="United-States"/>
    <x v="0"/>
  </r>
  <r>
    <x v="12"/>
    <s v="Private"/>
    <n v="86505"/>
    <s v="HS-grad"/>
    <n v="9"/>
    <s v="Married-civ-spouse"/>
    <s v="Tech-support"/>
    <s v="Husband"/>
    <s v="White"/>
    <s v="Male"/>
    <n v="0"/>
    <n v="0"/>
    <n v="20"/>
    <s v="United-States"/>
    <x v="0"/>
  </r>
  <r>
    <x v="44"/>
    <s v="Private"/>
    <n v="111836"/>
    <s v="Some-college"/>
    <n v="10"/>
    <s v="Married-civ-spouse"/>
    <s v="Other-service"/>
    <s v="Husband"/>
    <s v="Black"/>
    <s v="Male"/>
    <n v="0"/>
    <n v="0"/>
    <n v="50"/>
    <s v="United-States"/>
    <x v="0"/>
  </r>
  <r>
    <x v="23"/>
    <s v="Private"/>
    <n v="388812"/>
    <s v="Some-college"/>
    <n v="10"/>
    <s v="Never-married"/>
    <s v="Sales"/>
    <s v="Not-in-family"/>
    <s v="Black"/>
    <s v="Male"/>
    <n v="0"/>
    <n v="0"/>
    <n v="35"/>
    <s v="United-States"/>
    <x v="0"/>
  </r>
  <r>
    <x v="32"/>
    <s v="Private"/>
    <n v="404951"/>
    <s v="Bachelors"/>
    <n v="13"/>
    <s v="Never-married"/>
    <s v="Exec-managerial"/>
    <s v="Not-in-family"/>
    <s v="Black"/>
    <s v="Female"/>
    <n v="0"/>
    <n v="0"/>
    <n v="38"/>
    <s v="United-States"/>
    <x v="0"/>
  </r>
  <r>
    <x v="0"/>
    <s v="Private"/>
    <n v="167979"/>
    <s v="11th"/>
    <n v="7"/>
    <s v="Never-married"/>
    <s v="Sales"/>
    <s v="Own-child"/>
    <s v="White"/>
    <s v="Male"/>
    <n v="0"/>
    <n v="0"/>
    <n v="15"/>
    <s v="United-States"/>
    <x v="0"/>
  </r>
  <r>
    <x v="53"/>
    <s v="Self-emp-not-inc"/>
    <n v="95490"/>
    <s v="HS-grad"/>
    <n v="9"/>
    <s v="Married-civ-spouse"/>
    <s v="Sales"/>
    <s v="Husband"/>
    <s v="White"/>
    <s v="Male"/>
    <n v="0"/>
    <n v="0"/>
    <n v="45"/>
    <s v="United-States"/>
    <x v="0"/>
  </r>
  <r>
    <x v="32"/>
    <s v="Private"/>
    <n v="268222"/>
    <s v="HS-grad"/>
    <n v="9"/>
    <s v="Separated"/>
    <s v="Handlers-cleaners"/>
    <s v="Unmarried"/>
    <s v="Black"/>
    <s v="Female"/>
    <n v="0"/>
    <n v="0"/>
    <n v="40"/>
    <s v="United-States"/>
    <x v="0"/>
  </r>
  <r>
    <x v="6"/>
    <s v="Private"/>
    <n v="202415"/>
    <s v="HS-grad"/>
    <n v="9"/>
    <s v="Married-civ-spouse"/>
    <s v="Craft-repair"/>
    <s v="Husband"/>
    <s v="White"/>
    <s v="Male"/>
    <n v="0"/>
    <n v="0"/>
    <n v="40"/>
    <s v="United-States"/>
    <x v="1"/>
  </r>
  <r>
    <x v="19"/>
    <s v="?"/>
    <n v="332666"/>
    <s v="10th"/>
    <n v="6"/>
    <s v="Never-married"/>
    <s v="?"/>
    <s v="Own-child"/>
    <s v="White"/>
    <s v="Female"/>
    <n v="0"/>
    <n v="0"/>
    <n v="4"/>
    <s v="United-States"/>
    <x v="0"/>
  </r>
  <r>
    <x v="15"/>
    <s v="Private"/>
    <n v="83859"/>
    <s v="HS-grad"/>
    <n v="9"/>
    <s v="Widowed"/>
    <s v="Machine-op-inspct"/>
    <s v="Own-child"/>
    <s v="White"/>
    <s v="Female"/>
    <n v="0"/>
    <n v="0"/>
    <n v="30"/>
    <s v="United-States"/>
    <x v="0"/>
  </r>
  <r>
    <x v="51"/>
    <s v="Private"/>
    <n v="98076"/>
    <s v="Bachelors"/>
    <n v="13"/>
    <s v="Married-civ-spouse"/>
    <s v="Exec-managerial"/>
    <s v="Husband"/>
    <s v="White"/>
    <s v="Male"/>
    <n v="0"/>
    <n v="0"/>
    <n v="40"/>
    <s v="United-States"/>
    <x v="1"/>
  </r>
  <r>
    <x v="29"/>
    <s v="Private"/>
    <n v="193453"/>
    <s v="Bachelors"/>
    <n v="13"/>
    <s v="Married-civ-spouse"/>
    <s v="Prof-specialty"/>
    <s v="Husband"/>
    <s v="White"/>
    <s v="Male"/>
    <n v="0"/>
    <n v="1902"/>
    <n v="65"/>
    <s v="United-States"/>
    <x v="1"/>
  </r>
  <r>
    <x v="14"/>
    <s v="Private"/>
    <n v="293565"/>
    <s v="10th"/>
    <n v="6"/>
    <s v="Never-married"/>
    <s v="Handlers-cleaners"/>
    <s v="Not-in-family"/>
    <s v="White"/>
    <s v="Male"/>
    <n v="0"/>
    <n v="0"/>
    <n v="40"/>
    <s v="United-States"/>
    <x v="0"/>
  </r>
  <r>
    <x v="39"/>
    <s v="Private"/>
    <n v="101684"/>
    <s v="HS-grad"/>
    <n v="9"/>
    <s v="Married-civ-spouse"/>
    <s v="Sales"/>
    <s v="Husband"/>
    <s v="White"/>
    <s v="Male"/>
    <n v="0"/>
    <n v="0"/>
    <n v="40"/>
    <s v="United-States"/>
    <x v="0"/>
  </r>
  <r>
    <x v="24"/>
    <s v="Private"/>
    <n v="195784"/>
    <s v="12th"/>
    <n v="8"/>
    <s v="Divorced"/>
    <s v="Handlers-cleaners"/>
    <s v="Unmarried"/>
    <s v="White"/>
    <s v="Male"/>
    <n v="0"/>
    <n v="0"/>
    <n v="40"/>
    <s v="United-States"/>
    <x v="0"/>
  </r>
  <r>
    <x v="0"/>
    <s v="?"/>
    <n v="78181"/>
    <s v="HS-grad"/>
    <n v="9"/>
    <s v="Never-married"/>
    <s v="?"/>
    <s v="Own-child"/>
    <s v="White"/>
    <s v="Female"/>
    <n v="0"/>
    <n v="0"/>
    <n v="20"/>
    <s v="United-States"/>
    <x v="0"/>
  </r>
  <r>
    <x v="11"/>
    <s v="Private"/>
    <n v="511289"/>
    <s v="HS-grad"/>
    <n v="9"/>
    <s v="Never-married"/>
    <s v="Farming-fishing"/>
    <s v="Not-in-family"/>
    <s v="White"/>
    <s v="Male"/>
    <n v="2907"/>
    <n v="0"/>
    <n v="99"/>
    <s v="United-States"/>
    <x v="0"/>
  </r>
  <r>
    <x v="36"/>
    <s v="Private"/>
    <n v="62952"/>
    <s v="HS-grad"/>
    <n v="9"/>
    <s v="Never-married"/>
    <s v="Craft-repair"/>
    <s v="Own-child"/>
    <s v="White"/>
    <s v="Male"/>
    <n v="0"/>
    <n v="0"/>
    <n v="40"/>
    <s v="United-States"/>
    <x v="0"/>
  </r>
  <r>
    <x v="43"/>
    <s v="Private"/>
    <n v="391040"/>
    <s v="Assoc-voc"/>
    <n v="11"/>
    <s v="Separated"/>
    <s v="Tech-support"/>
    <s v="Unmarried"/>
    <s v="White"/>
    <s v="Female"/>
    <n v="0"/>
    <n v="0"/>
    <n v="20"/>
    <s v="United-States"/>
    <x v="0"/>
  </r>
  <r>
    <x v="31"/>
    <s v="Private"/>
    <n v="153583"/>
    <s v="Some-college"/>
    <n v="10"/>
    <s v="Never-married"/>
    <s v="Adm-clerical"/>
    <s v="Own-child"/>
    <s v="White"/>
    <s v="Female"/>
    <n v="0"/>
    <n v="0"/>
    <n v="40"/>
    <s v="?"/>
    <x v="0"/>
  </r>
  <r>
    <x v="13"/>
    <s v="Private"/>
    <n v="168038"/>
    <s v="Bachelors"/>
    <n v="13"/>
    <s v="Divorced"/>
    <s v="Sales"/>
    <s v="Not-in-family"/>
    <s v="White"/>
    <s v="Male"/>
    <n v="0"/>
    <n v="0"/>
    <n v="60"/>
    <s v="United-States"/>
    <x v="1"/>
  </r>
  <r>
    <x v="13"/>
    <s v="Private"/>
    <n v="260490"/>
    <s v="Masters"/>
    <n v="14"/>
    <s v="Married-civ-spouse"/>
    <s v="Exec-managerial"/>
    <s v="Husband"/>
    <s v="White"/>
    <s v="Male"/>
    <n v="0"/>
    <n v="0"/>
    <n v="50"/>
    <s v="United-States"/>
    <x v="1"/>
  </r>
  <r>
    <x v="48"/>
    <s v="Self-emp-not-inc"/>
    <n v="28612"/>
    <s v="HS-grad"/>
    <n v="9"/>
    <s v="Widowed"/>
    <s v="Sales"/>
    <s v="Not-in-family"/>
    <s v="White"/>
    <s v="Male"/>
    <n v="0"/>
    <n v="0"/>
    <n v="70"/>
    <s v="United-States"/>
    <x v="0"/>
  </r>
  <r>
    <x v="15"/>
    <s v="Private"/>
    <n v="346189"/>
    <s v="Doctorate"/>
    <n v="16"/>
    <s v="Married-civ-spouse"/>
    <s v="Prof-specialty"/>
    <s v="Husband"/>
    <s v="White"/>
    <s v="Male"/>
    <n v="0"/>
    <n v="0"/>
    <n v="40"/>
    <s v="United-States"/>
    <x v="1"/>
  </r>
  <r>
    <x v="44"/>
    <s v="Private"/>
    <n v="212064"/>
    <s v="Bachelors"/>
    <n v="13"/>
    <s v="Married-civ-spouse"/>
    <s v="Exec-managerial"/>
    <s v="Wife"/>
    <s v="White"/>
    <s v="Female"/>
    <n v="0"/>
    <n v="0"/>
    <n v="40"/>
    <s v="United-States"/>
    <x v="1"/>
  </r>
  <r>
    <x v="16"/>
    <s v="Private"/>
    <n v="135436"/>
    <s v="Bachelors"/>
    <n v="13"/>
    <s v="Married-civ-spouse"/>
    <s v="Exec-managerial"/>
    <s v="Husband"/>
    <s v="White"/>
    <s v="Male"/>
    <n v="0"/>
    <n v="1977"/>
    <n v="60"/>
    <s v="United-States"/>
    <x v="1"/>
  </r>
  <r>
    <x v="4"/>
    <s v="Private"/>
    <n v="184147"/>
    <s v="HS-grad"/>
    <n v="9"/>
    <s v="Separated"/>
    <s v="Sales"/>
    <s v="Unmarried"/>
    <s v="Black"/>
    <s v="Female"/>
    <n v="0"/>
    <n v="0"/>
    <n v="20"/>
    <s v="United-States"/>
    <x v="0"/>
  </r>
  <r>
    <x v="2"/>
    <s v="Private"/>
    <n v="241998"/>
    <s v="Bachelors"/>
    <n v="13"/>
    <s v="Married-civ-spouse"/>
    <s v="Exec-managerial"/>
    <s v="Husband"/>
    <s v="White"/>
    <s v="Male"/>
    <n v="0"/>
    <n v="0"/>
    <n v="45"/>
    <s v="United-States"/>
    <x v="1"/>
  </r>
  <r>
    <x v="2"/>
    <s v="Self-emp-not-inc"/>
    <n v="115618"/>
    <s v="HS-grad"/>
    <n v="9"/>
    <s v="Divorced"/>
    <s v="Sales"/>
    <s v="Not-in-family"/>
    <s v="White"/>
    <s v="Male"/>
    <n v="0"/>
    <n v="0"/>
    <n v="50"/>
    <s v="United-States"/>
    <x v="1"/>
  </r>
  <r>
    <x v="25"/>
    <s v="Private"/>
    <n v="200700"/>
    <s v="Bachelors"/>
    <n v="13"/>
    <s v="Married-civ-spouse"/>
    <s v="Craft-repair"/>
    <s v="Husband"/>
    <s v="Black"/>
    <s v="Male"/>
    <n v="0"/>
    <n v="0"/>
    <n v="48"/>
    <s v="United-States"/>
    <x v="1"/>
  </r>
  <r>
    <x v="32"/>
    <s v="Local-gov"/>
    <n v="182380"/>
    <s v="HS-grad"/>
    <n v="9"/>
    <s v="Never-married"/>
    <s v="Craft-repair"/>
    <s v="Own-child"/>
    <s v="White"/>
    <s v="Male"/>
    <n v="0"/>
    <n v="0"/>
    <n v="40"/>
    <s v="United-States"/>
    <x v="0"/>
  </r>
  <r>
    <x v="22"/>
    <s v="Private"/>
    <n v="95647"/>
    <s v="Bachelors"/>
    <n v="13"/>
    <s v="Never-married"/>
    <s v="Prof-specialty"/>
    <s v="Own-child"/>
    <s v="Asian-Pac-Islander"/>
    <s v="Male"/>
    <n v="0"/>
    <n v="0"/>
    <n v="40"/>
    <s v="United-States"/>
    <x v="0"/>
  </r>
  <r>
    <x v="33"/>
    <s v="Private"/>
    <n v="385077"/>
    <s v="HS-grad"/>
    <n v="9"/>
    <s v="Never-married"/>
    <s v="Craft-repair"/>
    <s v="Own-child"/>
    <s v="White"/>
    <s v="Male"/>
    <n v="2907"/>
    <n v="0"/>
    <n v="40"/>
    <s v="United-States"/>
    <x v="0"/>
  </r>
  <r>
    <x v="15"/>
    <s v="Private"/>
    <n v="55191"/>
    <s v="Some-college"/>
    <n v="10"/>
    <s v="Never-married"/>
    <s v="Adm-clerical"/>
    <s v="Not-in-family"/>
    <s v="Black"/>
    <s v="Female"/>
    <n v="0"/>
    <n v="0"/>
    <n v="40"/>
    <s v="United-States"/>
    <x v="0"/>
  </r>
  <r>
    <x v="18"/>
    <s v="Private"/>
    <n v="71860"/>
    <s v="HS-grad"/>
    <n v="9"/>
    <s v="Married-civ-spouse"/>
    <s v="Farming-fishing"/>
    <s v="Husband"/>
    <s v="White"/>
    <s v="Male"/>
    <n v="0"/>
    <n v="0"/>
    <n v="60"/>
    <s v="United-States"/>
    <x v="0"/>
  </r>
  <r>
    <x v="8"/>
    <s v="Self-emp-inc"/>
    <n v="277488"/>
    <s v="Prof-school"/>
    <n v="15"/>
    <s v="Married-civ-spouse"/>
    <s v="Prof-specialty"/>
    <s v="Husband"/>
    <s v="White"/>
    <s v="Male"/>
    <n v="15024"/>
    <n v="0"/>
    <n v="65"/>
    <s v="United-States"/>
    <x v="1"/>
  </r>
  <r>
    <x v="27"/>
    <s v="Private"/>
    <n v="205830"/>
    <s v="HS-grad"/>
    <n v="9"/>
    <s v="Never-married"/>
    <s v="Other-service"/>
    <s v="Own-child"/>
    <s v="White"/>
    <s v="Female"/>
    <n v="0"/>
    <n v="0"/>
    <n v="40"/>
    <s v="El-Salvador"/>
    <x v="0"/>
  </r>
  <r>
    <x v="11"/>
    <s v="Private"/>
    <n v="100252"/>
    <s v="Bachelors"/>
    <n v="13"/>
    <s v="Divorced"/>
    <s v="Other-service"/>
    <s v="Not-in-family"/>
    <s v="Asian-Pac-Islander"/>
    <s v="Male"/>
    <n v="99999"/>
    <n v="0"/>
    <n v="70"/>
    <s v="United-States"/>
    <x v="1"/>
  </r>
  <r>
    <x v="51"/>
    <s v="Private"/>
    <n v="132917"/>
    <s v="Some-college"/>
    <n v="10"/>
    <s v="Married-civ-spouse"/>
    <s v="Transport-moving"/>
    <s v="Husband"/>
    <s v="Black"/>
    <s v="Male"/>
    <n v="0"/>
    <n v="0"/>
    <n v="20"/>
    <s v="United-States"/>
    <x v="0"/>
  </r>
  <r>
    <x v="43"/>
    <s v="Private"/>
    <n v="193372"/>
    <s v="Some-college"/>
    <n v="10"/>
    <s v="Never-married"/>
    <s v="Exec-managerial"/>
    <s v="Own-child"/>
    <s v="White"/>
    <s v="Female"/>
    <n v="0"/>
    <n v="0"/>
    <n v="40"/>
    <s v="United-States"/>
    <x v="0"/>
  </r>
  <r>
    <x v="28"/>
    <s v="Private"/>
    <n v="267205"/>
    <s v="Assoc-voc"/>
    <n v="11"/>
    <s v="Married-civ-spouse"/>
    <s v="Craft-repair"/>
    <s v="Husband"/>
    <s v="White"/>
    <s v="Male"/>
    <n v="0"/>
    <n v="0"/>
    <n v="60"/>
    <s v="?"/>
    <x v="1"/>
  </r>
  <r>
    <x v="16"/>
    <s v="Local-gov"/>
    <n v="108320"/>
    <s v="Bachelors"/>
    <n v="13"/>
    <s v="Married-civ-spouse"/>
    <s v="Tech-support"/>
    <s v="Husband"/>
    <s v="White"/>
    <s v="Male"/>
    <n v="0"/>
    <n v="0"/>
    <n v="45"/>
    <s v="United-States"/>
    <x v="1"/>
  </r>
  <r>
    <x v="10"/>
    <s v="Self-emp-not-inc"/>
    <n v="167691"/>
    <s v="Some-college"/>
    <n v="10"/>
    <s v="Never-married"/>
    <s v="Other-service"/>
    <s v="Unmarried"/>
    <s v="White"/>
    <s v="Female"/>
    <n v="0"/>
    <n v="0"/>
    <n v="50"/>
    <s v="United-States"/>
    <x v="0"/>
  </r>
  <r>
    <x v="0"/>
    <s v="Private"/>
    <n v="111256"/>
    <s v="HS-grad"/>
    <n v="9"/>
    <s v="Never-married"/>
    <s v="Adm-clerical"/>
    <s v="Own-child"/>
    <s v="White"/>
    <s v="Female"/>
    <n v="0"/>
    <n v="0"/>
    <n v="20"/>
    <s v="United-States"/>
    <x v="0"/>
  </r>
  <r>
    <x v="31"/>
    <s v="Local-gov"/>
    <n v="163965"/>
    <s v="HS-grad"/>
    <n v="9"/>
    <s v="Never-married"/>
    <s v="Other-service"/>
    <s v="Unmarried"/>
    <s v="Black"/>
    <s v="Female"/>
    <n v="0"/>
    <n v="0"/>
    <n v="40"/>
    <s v="United-States"/>
    <x v="0"/>
  </r>
  <r>
    <x v="13"/>
    <s v="Self-emp-not-inc"/>
    <n v="275445"/>
    <s v="Bachelors"/>
    <n v="13"/>
    <s v="Divorced"/>
    <s v="Exec-managerial"/>
    <s v="Unmarried"/>
    <s v="White"/>
    <s v="Male"/>
    <n v="0"/>
    <n v="0"/>
    <n v="50"/>
    <s v="United-States"/>
    <x v="0"/>
  </r>
  <r>
    <x v="48"/>
    <s v="Private"/>
    <n v="207385"/>
    <s v="Some-college"/>
    <n v="10"/>
    <s v="Married-civ-spouse"/>
    <s v="Sales"/>
    <s v="Husband"/>
    <s v="White"/>
    <s v="Male"/>
    <n v="0"/>
    <n v="0"/>
    <n v="30"/>
    <s v="United-States"/>
    <x v="0"/>
  </r>
  <r>
    <x v="12"/>
    <s v="Private"/>
    <n v="239404"/>
    <s v="10th"/>
    <n v="6"/>
    <s v="Married-civ-spouse"/>
    <s v="Transport-moving"/>
    <s v="Husband"/>
    <s v="Black"/>
    <s v="Male"/>
    <n v="0"/>
    <n v="0"/>
    <n v="45"/>
    <s v="United-States"/>
    <x v="0"/>
  </r>
  <r>
    <x v="15"/>
    <s v="Local-gov"/>
    <n v="150755"/>
    <s v="Bachelors"/>
    <n v="13"/>
    <s v="Married-civ-spouse"/>
    <s v="Prof-specialty"/>
    <s v="Husband"/>
    <s v="White"/>
    <s v="Male"/>
    <n v="99999"/>
    <n v="0"/>
    <n v="75"/>
    <s v="United-States"/>
    <x v="1"/>
  </r>
  <r>
    <x v="40"/>
    <s v="Private"/>
    <n v="119033"/>
    <s v="9th"/>
    <n v="5"/>
    <s v="Married-civ-spouse"/>
    <s v="Handlers-cleaners"/>
    <s v="Husband"/>
    <s v="White"/>
    <s v="Male"/>
    <n v="0"/>
    <n v="0"/>
    <n v="40"/>
    <s v="United-States"/>
    <x v="0"/>
  </r>
  <r>
    <x v="22"/>
    <s v="Private"/>
    <n v="303954"/>
    <s v="Bachelors"/>
    <n v="13"/>
    <s v="Married-civ-spouse"/>
    <s v="Sales"/>
    <s v="Husband"/>
    <s v="White"/>
    <s v="Male"/>
    <n v="0"/>
    <n v="0"/>
    <n v="45"/>
    <s v="United-States"/>
    <x v="0"/>
  </r>
  <r>
    <x v="28"/>
    <s v="State-gov"/>
    <n v="108890"/>
    <s v="HS-grad"/>
    <n v="9"/>
    <s v="Divorced"/>
    <s v="Adm-clerical"/>
    <s v="Unmarried"/>
    <s v="White"/>
    <s v="Female"/>
    <n v="1831"/>
    <n v="0"/>
    <n v="38"/>
    <s v="United-States"/>
    <x v="0"/>
  </r>
  <r>
    <x v="15"/>
    <s v="Private"/>
    <n v="205706"/>
    <s v="HS-grad"/>
    <n v="9"/>
    <s v="Married-civ-spouse"/>
    <s v="Exec-managerial"/>
    <s v="Wife"/>
    <s v="White"/>
    <s v="Female"/>
    <n v="0"/>
    <n v="0"/>
    <n v="40"/>
    <s v="United-States"/>
    <x v="0"/>
  </r>
  <r>
    <x v="6"/>
    <s v="Private"/>
    <n v="215990"/>
    <s v="Masters"/>
    <n v="14"/>
    <s v="Married-civ-spouse"/>
    <s v="Exec-managerial"/>
    <s v="Husband"/>
    <s v="White"/>
    <s v="Male"/>
    <n v="0"/>
    <n v="1887"/>
    <n v="44"/>
    <s v="United-States"/>
    <x v="1"/>
  </r>
  <r>
    <x v="27"/>
    <s v="Self-emp-not-inc"/>
    <n v="137578"/>
    <s v="HS-grad"/>
    <n v="9"/>
    <s v="Never-married"/>
    <s v="Other-service"/>
    <s v="Own-child"/>
    <s v="White"/>
    <s v="Male"/>
    <n v="0"/>
    <n v="0"/>
    <n v="53"/>
    <s v="United-States"/>
    <x v="0"/>
  </r>
  <r>
    <x v="18"/>
    <s v="Self-emp-inc"/>
    <n v="156815"/>
    <s v="HS-grad"/>
    <n v="9"/>
    <s v="Married-civ-spouse"/>
    <s v="Other-service"/>
    <s v="Husband"/>
    <s v="White"/>
    <s v="Male"/>
    <n v="0"/>
    <n v="0"/>
    <n v="40"/>
    <s v="United-States"/>
    <x v="0"/>
  </r>
  <r>
    <x v="47"/>
    <s v="Self-emp-not-inc"/>
    <n v="117387"/>
    <s v="11th"/>
    <n v="7"/>
    <s v="Married-civ-spouse"/>
    <s v="Exec-managerial"/>
    <s v="Husband"/>
    <s v="White"/>
    <s v="Male"/>
    <n v="0"/>
    <n v="0"/>
    <n v="20"/>
    <s v="United-States"/>
    <x v="0"/>
  </r>
  <r>
    <x v="33"/>
    <s v="Private"/>
    <n v="119592"/>
    <s v="Assoc-acdm"/>
    <n v="12"/>
    <s v="Never-married"/>
    <s v="Handlers-cleaners"/>
    <s v="Not-in-family"/>
    <s v="Black"/>
    <s v="Male"/>
    <n v="0"/>
    <n v="2824"/>
    <n v="40"/>
    <s v="?"/>
    <x v="1"/>
  </r>
  <r>
    <x v="27"/>
    <s v="?"/>
    <n v="185619"/>
    <s v="Some-college"/>
    <n v="10"/>
    <s v="Never-married"/>
    <s v="?"/>
    <s v="Own-child"/>
    <s v="White"/>
    <s v="Female"/>
    <n v="0"/>
    <n v="0"/>
    <n v="20"/>
    <s v="United-States"/>
    <x v="0"/>
  </r>
  <r>
    <x v="15"/>
    <s v="Local-gov"/>
    <n v="105862"/>
    <s v="Bachelors"/>
    <n v="13"/>
    <s v="Divorced"/>
    <s v="Prof-specialty"/>
    <s v="Unmarried"/>
    <s v="White"/>
    <s v="Female"/>
    <n v="5455"/>
    <n v="0"/>
    <n v="40"/>
    <s v="United-States"/>
    <x v="0"/>
  </r>
  <r>
    <x v="51"/>
    <s v="Local-gov"/>
    <n v="180162"/>
    <s v="9th"/>
    <n v="5"/>
    <s v="Divorced"/>
    <s v="Protective-serv"/>
    <s v="Not-in-family"/>
    <s v="Black"/>
    <s v="Male"/>
    <n v="0"/>
    <n v="0"/>
    <n v="24"/>
    <s v="United-States"/>
    <x v="0"/>
  </r>
  <r>
    <x v="8"/>
    <s v="Private"/>
    <n v="54611"/>
    <s v="Some-college"/>
    <n v="10"/>
    <s v="Divorced"/>
    <s v="Farming-fishing"/>
    <s v="Not-in-family"/>
    <s v="White"/>
    <s v="Male"/>
    <n v="0"/>
    <n v="0"/>
    <n v="40"/>
    <s v="United-States"/>
    <x v="0"/>
  </r>
  <r>
    <x v="7"/>
    <s v="Private"/>
    <n v="46712"/>
    <s v="HS-grad"/>
    <n v="9"/>
    <s v="Divorced"/>
    <s v="Other-service"/>
    <s v="Not-in-family"/>
    <s v="White"/>
    <s v="Female"/>
    <n v="0"/>
    <n v="0"/>
    <n v="40"/>
    <s v="United-States"/>
    <x v="0"/>
  </r>
  <r>
    <x v="56"/>
    <s v="Private"/>
    <n v="344152"/>
    <s v="Masters"/>
    <n v="14"/>
    <s v="Married-civ-spouse"/>
    <s v="Prof-specialty"/>
    <s v="Husband"/>
    <s v="White"/>
    <s v="Male"/>
    <n v="5556"/>
    <n v="0"/>
    <n v="50"/>
    <s v="United-States"/>
    <x v="1"/>
  </r>
  <r>
    <x v="38"/>
    <s v="State-gov"/>
    <n v="58930"/>
    <s v="Bachelors"/>
    <n v="13"/>
    <s v="Never-married"/>
    <s v="Prof-specialty"/>
    <s v="Not-in-family"/>
    <s v="White"/>
    <s v="Female"/>
    <n v="0"/>
    <n v="0"/>
    <n v="40"/>
    <s v="United-States"/>
    <x v="0"/>
  </r>
  <r>
    <x v="1"/>
    <s v="Private"/>
    <n v="392100"/>
    <s v="HS-grad"/>
    <n v="9"/>
    <s v="Married-civ-spouse"/>
    <s v="Craft-repair"/>
    <s v="Own-child"/>
    <s v="White"/>
    <s v="Male"/>
    <n v="0"/>
    <n v="0"/>
    <n v="40"/>
    <s v="United-States"/>
    <x v="0"/>
  </r>
  <r>
    <x v="23"/>
    <s v="Private"/>
    <n v="173593"/>
    <s v="Masters"/>
    <n v="14"/>
    <s v="Married-civ-spouse"/>
    <s v="Machine-op-inspct"/>
    <s v="Husband"/>
    <s v="White"/>
    <s v="Male"/>
    <n v="0"/>
    <n v="0"/>
    <n v="20"/>
    <s v="Canada"/>
    <x v="0"/>
  </r>
  <r>
    <x v="14"/>
    <s v="Private"/>
    <n v="32950"/>
    <s v="Some-college"/>
    <n v="10"/>
    <s v="Never-married"/>
    <s v="Sales"/>
    <s v="Not-in-family"/>
    <s v="White"/>
    <s v="Male"/>
    <n v="0"/>
    <n v="0"/>
    <n v="40"/>
    <s v="United-States"/>
    <x v="0"/>
  </r>
  <r>
    <x v="13"/>
    <s v="Private"/>
    <n v="20534"/>
    <s v="Some-college"/>
    <n v="10"/>
    <s v="Married-civ-spouse"/>
    <s v="Machine-op-inspct"/>
    <s v="Husband"/>
    <s v="White"/>
    <s v="Male"/>
    <n v="0"/>
    <n v="0"/>
    <n v="84"/>
    <s v="United-States"/>
    <x v="1"/>
  </r>
  <r>
    <x v="47"/>
    <s v="Federal-gov"/>
    <n v="229062"/>
    <s v="Some-college"/>
    <n v="10"/>
    <s v="Married-civ-spouse"/>
    <s v="Adm-clerical"/>
    <s v="Husband"/>
    <s v="White"/>
    <s v="Male"/>
    <n v="0"/>
    <n v="1887"/>
    <n v="40"/>
    <s v="United-States"/>
    <x v="1"/>
  </r>
  <r>
    <x v="59"/>
    <s v="Private"/>
    <n v="208843"/>
    <s v="7th-8th"/>
    <n v="4"/>
    <s v="Widowed"/>
    <s v="Protective-serv"/>
    <s v="Not-in-family"/>
    <s v="White"/>
    <s v="Male"/>
    <n v="0"/>
    <n v="0"/>
    <n v="30"/>
    <s v="United-States"/>
    <x v="0"/>
  </r>
  <r>
    <x v="53"/>
    <s v="Private"/>
    <n v="139391"/>
    <s v="Some-college"/>
    <n v="10"/>
    <s v="Married-spouse-absent"/>
    <s v="Machine-op-inspct"/>
    <s v="Not-in-family"/>
    <s v="White"/>
    <s v="Male"/>
    <n v="0"/>
    <n v="0"/>
    <n v="50"/>
    <s v="United-States"/>
    <x v="1"/>
  </r>
  <r>
    <x v="40"/>
    <s v="State-gov"/>
    <n v="111994"/>
    <s v="Some-college"/>
    <n v="10"/>
    <s v="Divorced"/>
    <s v="Adm-clerical"/>
    <s v="Unmarried"/>
    <s v="White"/>
    <s v="Female"/>
    <n v="0"/>
    <n v="0"/>
    <n v="45"/>
    <s v="United-States"/>
    <x v="0"/>
  </r>
  <r>
    <x v="2"/>
    <s v="Self-emp-not-inc"/>
    <n v="348771"/>
    <s v="11th"/>
    <n v="7"/>
    <s v="Married-civ-spouse"/>
    <s v="Craft-repair"/>
    <s v="Husband"/>
    <s v="White"/>
    <s v="Male"/>
    <n v="0"/>
    <n v="0"/>
    <n v="36"/>
    <s v="United-States"/>
    <x v="0"/>
  </r>
  <r>
    <x v="14"/>
    <s v="Private"/>
    <n v="348420"/>
    <s v="Bachelors"/>
    <n v="13"/>
    <s v="Never-married"/>
    <s v="Tech-support"/>
    <s v="Not-in-family"/>
    <s v="White"/>
    <s v="Male"/>
    <n v="0"/>
    <n v="0"/>
    <n v="40"/>
    <s v="United-States"/>
    <x v="0"/>
  </r>
  <r>
    <x v="10"/>
    <s v="Private"/>
    <n v="115700"/>
    <s v="HS-grad"/>
    <n v="9"/>
    <s v="Married-civ-spouse"/>
    <s v="Sales"/>
    <s v="Husband"/>
    <s v="White"/>
    <s v="Male"/>
    <n v="0"/>
    <n v="0"/>
    <n v="50"/>
    <s v="United-States"/>
    <x v="0"/>
  </r>
  <r>
    <x v="40"/>
    <s v="Local-gov"/>
    <n v="133876"/>
    <s v="HS-grad"/>
    <n v="9"/>
    <s v="Divorced"/>
    <s v="Craft-repair"/>
    <s v="Unmarried"/>
    <s v="White"/>
    <s v="Male"/>
    <n v="0"/>
    <n v="0"/>
    <n v="40"/>
    <s v="United-States"/>
    <x v="0"/>
  </r>
  <r>
    <x v="10"/>
    <s v="State-gov"/>
    <n v="196348"/>
    <s v="HS-grad"/>
    <n v="9"/>
    <s v="Married-civ-spouse"/>
    <s v="Exec-managerial"/>
    <s v="Husband"/>
    <s v="White"/>
    <s v="Male"/>
    <n v="0"/>
    <n v="0"/>
    <n v="60"/>
    <s v="United-States"/>
    <x v="1"/>
  </r>
  <r>
    <x v="30"/>
    <s v="Private"/>
    <n v="123429"/>
    <s v="Assoc-acdm"/>
    <n v="12"/>
    <s v="Divorced"/>
    <s v="Tech-support"/>
    <s v="Not-in-family"/>
    <s v="White"/>
    <s v="Male"/>
    <n v="0"/>
    <n v="0"/>
    <n v="30"/>
    <s v="United-States"/>
    <x v="0"/>
  </r>
  <r>
    <x v="22"/>
    <s v="State-gov"/>
    <n v="271328"/>
    <s v="Bachelors"/>
    <n v="13"/>
    <s v="Never-married"/>
    <s v="Prof-specialty"/>
    <s v="Not-in-family"/>
    <s v="White"/>
    <s v="Male"/>
    <n v="0"/>
    <n v="0"/>
    <n v="60"/>
    <s v="United-States"/>
    <x v="0"/>
  </r>
  <r>
    <x v="28"/>
    <s v="Local-gov"/>
    <n v="93618"/>
    <s v="Some-college"/>
    <n v="10"/>
    <s v="Divorced"/>
    <s v="Adm-clerical"/>
    <s v="Not-in-family"/>
    <s v="White"/>
    <s v="Female"/>
    <n v="0"/>
    <n v="0"/>
    <n v="33"/>
    <s v="United-States"/>
    <x v="0"/>
  </r>
  <r>
    <x v="23"/>
    <s v="Private"/>
    <n v="39212"/>
    <s v="HS-grad"/>
    <n v="9"/>
    <s v="Married-civ-spouse"/>
    <s v="Machine-op-inspct"/>
    <s v="Husband"/>
    <s v="White"/>
    <s v="Male"/>
    <n v="0"/>
    <n v="0"/>
    <n v="45"/>
    <s v="United-States"/>
    <x v="0"/>
  </r>
  <r>
    <x v="49"/>
    <s v="Private"/>
    <n v="168211"/>
    <s v="HS-grad"/>
    <n v="9"/>
    <s v="Married-civ-spouse"/>
    <s v="Protective-serv"/>
    <s v="Husband"/>
    <s v="White"/>
    <s v="Male"/>
    <n v="0"/>
    <n v="0"/>
    <n v="40"/>
    <s v="United-States"/>
    <x v="1"/>
  </r>
  <r>
    <x v="32"/>
    <s v="Private"/>
    <n v="104193"/>
    <s v="HS-grad"/>
    <n v="9"/>
    <s v="Never-married"/>
    <s v="Other-service"/>
    <s v="Own-child"/>
    <s v="White"/>
    <s v="Female"/>
    <n v="114"/>
    <n v="0"/>
    <n v="40"/>
    <s v="United-States"/>
    <x v="0"/>
  </r>
  <r>
    <x v="51"/>
    <s v="State-gov"/>
    <n v="202056"/>
    <s v="Bachelors"/>
    <n v="13"/>
    <s v="Divorced"/>
    <s v="Prof-specialty"/>
    <s v="Not-in-family"/>
    <s v="White"/>
    <s v="Male"/>
    <n v="14084"/>
    <n v="0"/>
    <n v="40"/>
    <s v="United-States"/>
    <x v="1"/>
  </r>
  <r>
    <x v="25"/>
    <s v="Private"/>
    <n v="189664"/>
    <s v="Some-college"/>
    <n v="10"/>
    <s v="Married-civ-spouse"/>
    <s v="Sales"/>
    <s v="Husband"/>
    <s v="White"/>
    <s v="Male"/>
    <n v="0"/>
    <n v="0"/>
    <n v="40"/>
    <s v="United-States"/>
    <x v="0"/>
  </r>
  <r>
    <x v="13"/>
    <s v="Private"/>
    <n v="262802"/>
    <s v="Bachelors"/>
    <n v="13"/>
    <s v="Divorced"/>
    <s v="Exec-managerial"/>
    <s v="Unmarried"/>
    <s v="White"/>
    <s v="Female"/>
    <n v="0"/>
    <n v="0"/>
    <n v="40"/>
    <s v="United-States"/>
    <x v="0"/>
  </r>
  <r>
    <x v="17"/>
    <s v="Private"/>
    <n v="219424"/>
    <s v="Bachelors"/>
    <n v="13"/>
    <s v="Never-married"/>
    <s v="Exec-managerial"/>
    <s v="Not-in-family"/>
    <s v="Black"/>
    <s v="Female"/>
    <n v="0"/>
    <n v="0"/>
    <n v="50"/>
    <s v="United-States"/>
    <x v="1"/>
  </r>
  <r>
    <x v="10"/>
    <s v="Self-emp-inc"/>
    <n v="184456"/>
    <s v="Bachelors"/>
    <n v="13"/>
    <s v="Never-married"/>
    <s v="Tech-support"/>
    <s v="Not-in-family"/>
    <s v="White"/>
    <s v="Male"/>
    <n v="27828"/>
    <n v="0"/>
    <n v="55"/>
    <s v="United-States"/>
    <x v="1"/>
  </r>
  <r>
    <x v="49"/>
    <s v="Private"/>
    <n v="207677"/>
    <s v="7th-8th"/>
    <n v="4"/>
    <s v="Divorced"/>
    <s v="Craft-repair"/>
    <s v="Not-in-family"/>
    <s v="White"/>
    <s v="Male"/>
    <n v="0"/>
    <n v="0"/>
    <n v="70"/>
    <s v="United-States"/>
    <x v="0"/>
  </r>
  <r>
    <x v="47"/>
    <s v="?"/>
    <n v="60641"/>
    <s v="Bachelors"/>
    <n v="13"/>
    <s v="Never-married"/>
    <s v="?"/>
    <s v="Not-in-family"/>
    <s v="White"/>
    <s v="Female"/>
    <n v="0"/>
    <n v="0"/>
    <n v="45"/>
    <s v="United-States"/>
    <x v="0"/>
  </r>
  <r>
    <x v="44"/>
    <s v="Local-gov"/>
    <n v="19302"/>
    <s v="Assoc-acdm"/>
    <n v="12"/>
    <s v="Married-civ-spouse"/>
    <s v="Protective-serv"/>
    <s v="Husband"/>
    <s v="White"/>
    <s v="Male"/>
    <n v="0"/>
    <n v="0"/>
    <n v="56"/>
    <s v="England"/>
    <x v="1"/>
  </r>
  <r>
    <x v="7"/>
    <s v="Private"/>
    <n v="208668"/>
    <s v="Assoc-acdm"/>
    <n v="12"/>
    <s v="Never-married"/>
    <s v="Prof-specialty"/>
    <s v="Not-in-family"/>
    <s v="Black"/>
    <s v="Female"/>
    <n v="0"/>
    <n v="0"/>
    <n v="25"/>
    <s v="United-States"/>
    <x v="0"/>
  </r>
  <r>
    <x v="33"/>
    <s v="Private"/>
    <n v="500720"/>
    <s v="HS-grad"/>
    <n v="9"/>
    <s v="Never-married"/>
    <s v="Adm-clerical"/>
    <s v="Own-child"/>
    <s v="White"/>
    <s v="Female"/>
    <n v="0"/>
    <n v="0"/>
    <n v="40"/>
    <s v="Mexico"/>
    <x v="0"/>
  </r>
  <r>
    <x v="38"/>
    <s v="Private"/>
    <n v="222504"/>
    <s v="Prof-school"/>
    <n v="15"/>
    <s v="Divorced"/>
    <s v="Prof-specialty"/>
    <s v="Unmarried"/>
    <s v="White"/>
    <s v="Female"/>
    <n v="0"/>
    <n v="0"/>
    <n v="38"/>
    <s v="United-States"/>
    <x v="0"/>
  </r>
  <r>
    <x v="53"/>
    <s v="Private"/>
    <n v="320376"/>
    <s v="7th-8th"/>
    <n v="4"/>
    <s v="Married-civ-spouse"/>
    <s v="Machine-op-inspct"/>
    <s v="Wife"/>
    <s v="White"/>
    <s v="Female"/>
    <n v="0"/>
    <n v="0"/>
    <n v="40"/>
    <s v="United-States"/>
    <x v="0"/>
  </r>
  <r>
    <x v="1"/>
    <s v="Private"/>
    <n v="148429"/>
    <s v="HS-grad"/>
    <n v="9"/>
    <s v="Married-civ-spouse"/>
    <s v="Machine-op-inspct"/>
    <s v="Husband"/>
    <s v="White"/>
    <s v="Male"/>
    <n v="0"/>
    <n v="0"/>
    <n v="40"/>
    <s v="United-States"/>
    <x v="0"/>
  </r>
  <r>
    <x v="20"/>
    <s v="?"/>
    <n v="175891"/>
    <s v="9th"/>
    <n v="5"/>
    <s v="Married-civ-spouse"/>
    <s v="?"/>
    <s v="Husband"/>
    <s v="White"/>
    <s v="Male"/>
    <n v="0"/>
    <n v="0"/>
    <n v="40"/>
    <s v="United-States"/>
    <x v="0"/>
  </r>
  <r>
    <x v="30"/>
    <s v="Private"/>
    <n v="128272"/>
    <s v="Some-college"/>
    <n v="10"/>
    <s v="Married-civ-spouse"/>
    <s v="Exec-managerial"/>
    <s v="Husband"/>
    <s v="White"/>
    <s v="Male"/>
    <n v="0"/>
    <n v="0"/>
    <n v="40"/>
    <s v="United-States"/>
    <x v="0"/>
  </r>
  <r>
    <x v="3"/>
    <s v="Private"/>
    <n v="216414"/>
    <s v="Assoc-voc"/>
    <n v="11"/>
    <s v="Married-spouse-absent"/>
    <s v="Craft-repair"/>
    <s v="Unmarried"/>
    <s v="White"/>
    <s v="Male"/>
    <n v="0"/>
    <n v="0"/>
    <n v="40"/>
    <s v="United-States"/>
    <x v="0"/>
  </r>
  <r>
    <x v="18"/>
    <s v="Private"/>
    <n v="144784"/>
    <s v="HS-grad"/>
    <n v="9"/>
    <s v="Never-married"/>
    <s v="Other-service"/>
    <s v="Not-in-family"/>
    <s v="Black"/>
    <s v="Female"/>
    <n v="0"/>
    <n v="0"/>
    <n v="40"/>
    <s v="United-States"/>
    <x v="0"/>
  </r>
  <r>
    <x v="44"/>
    <s v="Private"/>
    <n v="116055"/>
    <s v="HS-grad"/>
    <n v="9"/>
    <s v="Never-married"/>
    <s v="Adm-clerical"/>
    <s v="Unmarried"/>
    <s v="Black"/>
    <s v="Female"/>
    <n v="2977"/>
    <n v="0"/>
    <n v="35"/>
    <s v="United-States"/>
    <x v="0"/>
  </r>
  <r>
    <x v="32"/>
    <s v="Private"/>
    <n v="193787"/>
    <s v="Some-college"/>
    <n v="10"/>
    <s v="Never-married"/>
    <s v="Machine-op-inspct"/>
    <s v="Own-child"/>
    <s v="White"/>
    <s v="Female"/>
    <n v="0"/>
    <n v="0"/>
    <n v="50"/>
    <s v="United-States"/>
    <x v="0"/>
  </r>
  <r>
    <x v="22"/>
    <s v="Private"/>
    <n v="113635"/>
    <s v="Bachelors"/>
    <n v="13"/>
    <s v="Never-married"/>
    <s v="Other-service"/>
    <s v="Not-in-family"/>
    <s v="White"/>
    <s v="Male"/>
    <n v="0"/>
    <n v="0"/>
    <n v="35"/>
    <s v="United-States"/>
    <x v="0"/>
  </r>
  <r>
    <x v="36"/>
    <s v="Private"/>
    <n v="417668"/>
    <s v="Bachelors"/>
    <n v="13"/>
    <s v="Never-married"/>
    <s v="Prof-specialty"/>
    <s v="Own-child"/>
    <s v="White"/>
    <s v="Male"/>
    <n v="0"/>
    <n v="0"/>
    <n v="30"/>
    <s v="United-States"/>
    <x v="0"/>
  </r>
  <r>
    <x v="30"/>
    <s v="Private"/>
    <n v="103529"/>
    <s v="11th"/>
    <n v="7"/>
    <s v="Divorced"/>
    <s v="Other-service"/>
    <s v="Unmarried"/>
    <s v="Black"/>
    <s v="Female"/>
    <n v="0"/>
    <n v="0"/>
    <n v="30"/>
    <s v="United-States"/>
    <x v="0"/>
  </r>
  <r>
    <x v="33"/>
    <s v="Private"/>
    <n v="163911"/>
    <s v="Some-college"/>
    <n v="10"/>
    <s v="Never-married"/>
    <s v="Adm-clerical"/>
    <s v="Own-child"/>
    <s v="White"/>
    <s v="Female"/>
    <n v="0"/>
    <n v="0"/>
    <n v="20"/>
    <s v="United-States"/>
    <x v="0"/>
  </r>
  <r>
    <x v="53"/>
    <s v="Local-gov"/>
    <n v="101110"/>
    <s v="Assoc-voc"/>
    <n v="11"/>
    <s v="Divorced"/>
    <s v="Prof-specialty"/>
    <s v="Unmarried"/>
    <s v="White"/>
    <s v="Male"/>
    <n v="0"/>
    <n v="0"/>
    <n v="40"/>
    <s v="United-States"/>
    <x v="1"/>
  </r>
  <r>
    <x v="43"/>
    <s v="Local-gov"/>
    <n v="73715"/>
    <s v="Some-college"/>
    <n v="10"/>
    <s v="Married-civ-spouse"/>
    <s v="Protective-serv"/>
    <s v="Husband"/>
    <s v="White"/>
    <s v="Male"/>
    <n v="0"/>
    <n v="0"/>
    <n v="60"/>
    <s v="United-States"/>
    <x v="1"/>
  </r>
  <r>
    <x v="49"/>
    <s v="Private"/>
    <n v="250733"/>
    <s v="HS-grad"/>
    <n v="9"/>
    <s v="Married-civ-spouse"/>
    <s v="Craft-repair"/>
    <s v="Husband"/>
    <s v="White"/>
    <s v="Male"/>
    <n v="0"/>
    <n v="0"/>
    <n v="46"/>
    <s v="United-States"/>
    <x v="0"/>
  </r>
  <r>
    <x v="24"/>
    <s v="Self-emp-not-inc"/>
    <n v="42402"/>
    <s v="Prof-school"/>
    <n v="15"/>
    <s v="Married-civ-spouse"/>
    <s v="Prof-specialty"/>
    <s v="Husband"/>
    <s v="White"/>
    <s v="Male"/>
    <n v="0"/>
    <n v="2415"/>
    <n v="30"/>
    <s v="United-States"/>
    <x v="1"/>
  </r>
  <r>
    <x v="28"/>
    <s v="Private"/>
    <n v="144351"/>
    <s v="HS-grad"/>
    <n v="9"/>
    <s v="Divorced"/>
    <s v="Craft-repair"/>
    <s v="Unmarried"/>
    <s v="White"/>
    <s v="Male"/>
    <n v="0"/>
    <n v="625"/>
    <n v="40"/>
    <s v="United-States"/>
    <x v="0"/>
  </r>
  <r>
    <x v="60"/>
    <s v="Self-emp-not-inc"/>
    <n v="225892"/>
    <s v="HS-grad"/>
    <n v="9"/>
    <s v="Married-civ-spouse"/>
    <s v="Other-service"/>
    <s v="Husband"/>
    <s v="White"/>
    <s v="Male"/>
    <n v="1409"/>
    <n v="0"/>
    <n v="40"/>
    <s v="United-States"/>
    <x v="0"/>
  </r>
  <r>
    <x v="13"/>
    <s v="Private"/>
    <n v="184277"/>
    <s v="Assoc-voc"/>
    <n v="11"/>
    <s v="Divorced"/>
    <s v="Adm-clerical"/>
    <s v="Unmarried"/>
    <s v="White"/>
    <s v="Female"/>
    <n v="0"/>
    <n v="0"/>
    <n v="55"/>
    <s v="United-States"/>
    <x v="1"/>
  </r>
  <r>
    <x v="18"/>
    <s v="Private"/>
    <n v="48895"/>
    <s v="HS-grad"/>
    <n v="9"/>
    <s v="Never-married"/>
    <s v="Craft-repair"/>
    <s v="Not-in-family"/>
    <s v="White"/>
    <s v="Male"/>
    <n v="0"/>
    <n v="0"/>
    <n v="50"/>
    <s v="United-States"/>
    <x v="0"/>
  </r>
  <r>
    <x v="31"/>
    <s v="Private"/>
    <n v="375698"/>
    <s v="Some-college"/>
    <n v="10"/>
    <s v="Never-married"/>
    <s v="Adm-clerical"/>
    <s v="Own-child"/>
    <s v="White"/>
    <s v="Female"/>
    <n v="0"/>
    <n v="0"/>
    <n v="15"/>
    <s v="United-States"/>
    <x v="0"/>
  </r>
  <r>
    <x v="34"/>
    <s v="Federal-gov"/>
    <n v="184964"/>
    <s v="Some-college"/>
    <n v="10"/>
    <s v="Divorced"/>
    <s v="Adm-clerical"/>
    <s v="Not-in-family"/>
    <s v="White"/>
    <s v="Male"/>
    <n v="0"/>
    <n v="0"/>
    <n v="40"/>
    <s v="United-States"/>
    <x v="1"/>
  </r>
  <r>
    <x v="1"/>
    <s v="Private"/>
    <n v="215211"/>
    <s v="HS-grad"/>
    <n v="9"/>
    <s v="Married-civ-spouse"/>
    <s v="Sales"/>
    <s v="Husband"/>
    <s v="White"/>
    <s v="Male"/>
    <n v="0"/>
    <n v="0"/>
    <n v="50"/>
    <s v="United-States"/>
    <x v="0"/>
  </r>
  <r>
    <x v="44"/>
    <s v="Private"/>
    <n v="101352"/>
    <s v="Some-college"/>
    <n v="10"/>
    <s v="Married-civ-spouse"/>
    <s v="Tech-support"/>
    <s v="Wife"/>
    <s v="White"/>
    <s v="Female"/>
    <n v="0"/>
    <n v="0"/>
    <n v="32"/>
    <s v="United-States"/>
    <x v="1"/>
  </r>
  <r>
    <x v="38"/>
    <s v="Private"/>
    <n v="100451"/>
    <s v="HS-grad"/>
    <n v="9"/>
    <s v="Married-civ-spouse"/>
    <s v="Craft-repair"/>
    <s v="Husband"/>
    <s v="White"/>
    <s v="Male"/>
    <n v="7688"/>
    <n v="0"/>
    <n v="38"/>
    <s v="United-States"/>
    <x v="1"/>
  </r>
  <r>
    <x v="33"/>
    <s v="Private"/>
    <n v="113703"/>
    <s v="Some-college"/>
    <n v="10"/>
    <s v="Never-married"/>
    <s v="Sales"/>
    <s v="Other-relative"/>
    <s v="White"/>
    <s v="Male"/>
    <n v="0"/>
    <n v="0"/>
    <n v="20"/>
    <s v="United-States"/>
    <x v="0"/>
  </r>
  <r>
    <x v="10"/>
    <s v="Self-emp-not-inc"/>
    <n v="150371"/>
    <s v="HS-grad"/>
    <n v="9"/>
    <s v="Never-married"/>
    <s v="Craft-repair"/>
    <s v="Not-in-family"/>
    <s v="White"/>
    <s v="Male"/>
    <n v="0"/>
    <n v="0"/>
    <n v="40"/>
    <s v="United-States"/>
    <x v="0"/>
  </r>
  <r>
    <x v="27"/>
    <s v="Private"/>
    <n v="69151"/>
    <s v="9th"/>
    <n v="5"/>
    <s v="Never-married"/>
    <s v="Handlers-cleaners"/>
    <s v="Own-child"/>
    <s v="White"/>
    <s v="Male"/>
    <n v="0"/>
    <n v="0"/>
    <n v="25"/>
    <s v="United-States"/>
    <x v="0"/>
  </r>
  <r>
    <x v="11"/>
    <s v="Self-emp-not-inc"/>
    <n v="234537"/>
    <s v="Some-college"/>
    <n v="10"/>
    <s v="Married-civ-spouse"/>
    <s v="Craft-repair"/>
    <s v="Husband"/>
    <s v="White"/>
    <s v="Male"/>
    <n v="0"/>
    <n v="0"/>
    <n v="60"/>
    <s v="United-States"/>
    <x v="0"/>
  </r>
  <r>
    <x v="40"/>
    <s v="Private"/>
    <n v="323811"/>
    <s v="Some-college"/>
    <n v="10"/>
    <s v="Married-civ-spouse"/>
    <s v="Machine-op-inspct"/>
    <s v="Husband"/>
    <s v="White"/>
    <s v="Male"/>
    <n v="0"/>
    <n v="0"/>
    <n v="55"/>
    <s v="United-States"/>
    <x v="0"/>
  </r>
  <r>
    <x v="44"/>
    <s v="Self-emp-not-inc"/>
    <n v="35595"/>
    <s v="HS-grad"/>
    <n v="9"/>
    <s v="Married-civ-spouse"/>
    <s v="Craft-repair"/>
    <s v="Husband"/>
    <s v="White"/>
    <s v="Male"/>
    <n v="0"/>
    <n v="0"/>
    <n v="50"/>
    <s v="United-States"/>
    <x v="0"/>
  </r>
  <r>
    <x v="32"/>
    <s v="Private"/>
    <n v="410240"/>
    <s v="HS-grad"/>
    <n v="9"/>
    <s v="Never-married"/>
    <s v="Craft-repair"/>
    <s v="Own-child"/>
    <s v="White"/>
    <s v="Male"/>
    <n v="0"/>
    <n v="0"/>
    <n v="40"/>
    <s v="United-States"/>
    <x v="0"/>
  </r>
  <r>
    <x v="53"/>
    <s v="Private"/>
    <n v="188650"/>
    <s v="5th-6th"/>
    <n v="3"/>
    <s v="Married-civ-spouse"/>
    <s v="Sales"/>
    <s v="Husband"/>
    <s v="White"/>
    <s v="Male"/>
    <n v="0"/>
    <n v="0"/>
    <n v="40"/>
    <s v="?"/>
    <x v="1"/>
  </r>
  <r>
    <x v="13"/>
    <s v="Private"/>
    <n v="30457"/>
    <s v="Bachelors"/>
    <n v="13"/>
    <s v="Married-civ-spouse"/>
    <s v="Exec-managerial"/>
    <s v="Husband"/>
    <s v="White"/>
    <s v="Male"/>
    <n v="15024"/>
    <n v="0"/>
    <n v="40"/>
    <s v="United-States"/>
    <x v="1"/>
  </r>
  <r>
    <x v="4"/>
    <s v="Private"/>
    <n v="293703"/>
    <s v="Some-college"/>
    <n v="10"/>
    <s v="Married-civ-spouse"/>
    <s v="Craft-repair"/>
    <s v="Husband"/>
    <s v="Asian-Pac-Islander"/>
    <s v="Male"/>
    <n v="0"/>
    <n v="0"/>
    <n v="40"/>
    <s v="Philippines"/>
    <x v="0"/>
  </r>
  <r>
    <x v="61"/>
    <s v="?"/>
    <n v="89391"/>
    <s v="Prof-school"/>
    <n v="15"/>
    <s v="Married-civ-spouse"/>
    <s v="?"/>
    <s v="Husband"/>
    <s v="White"/>
    <s v="Male"/>
    <n v="0"/>
    <n v="0"/>
    <n v="24"/>
    <s v="United-States"/>
    <x v="1"/>
  </r>
  <r>
    <x v="18"/>
    <s v="Private"/>
    <n v="181280"/>
    <s v="HS-grad"/>
    <n v="9"/>
    <s v="Married-civ-spouse"/>
    <s v="Machine-op-inspct"/>
    <s v="Husband"/>
    <s v="White"/>
    <s v="Male"/>
    <n v="0"/>
    <n v="0"/>
    <n v="40"/>
    <s v="United-States"/>
    <x v="0"/>
  </r>
  <r>
    <x v="43"/>
    <s v="Private"/>
    <n v="240467"/>
    <s v="Masters"/>
    <n v="14"/>
    <s v="Never-married"/>
    <s v="Exec-managerial"/>
    <s v="Unmarried"/>
    <s v="Black"/>
    <s v="Female"/>
    <n v="0"/>
    <n v="0"/>
    <n v="35"/>
    <s v="United-States"/>
    <x v="0"/>
  </r>
  <r>
    <x v="44"/>
    <s v="?"/>
    <n v="119522"/>
    <s v="Bachelors"/>
    <n v="13"/>
    <s v="Divorced"/>
    <s v="?"/>
    <s v="Not-in-family"/>
    <s v="White"/>
    <s v="Male"/>
    <n v="0"/>
    <n v="0"/>
    <n v="50"/>
    <s v="United-States"/>
    <x v="0"/>
  </r>
  <r>
    <x v="40"/>
    <s v="Private"/>
    <n v="231413"/>
    <s v="Bachelors"/>
    <n v="13"/>
    <s v="Married-civ-spouse"/>
    <s v="Prof-specialty"/>
    <s v="Husband"/>
    <s v="White"/>
    <s v="Male"/>
    <n v="0"/>
    <n v="0"/>
    <n v="40"/>
    <s v="United-States"/>
    <x v="0"/>
  </r>
  <r>
    <x v="40"/>
    <s v="Private"/>
    <n v="347623"/>
    <s v="Masters"/>
    <n v="14"/>
    <s v="Never-married"/>
    <s v="Exec-managerial"/>
    <s v="Unmarried"/>
    <s v="White"/>
    <s v="Male"/>
    <n v="0"/>
    <n v="0"/>
    <n v="40"/>
    <s v="United-States"/>
    <x v="0"/>
  </r>
  <r>
    <x v="4"/>
    <s v="State-gov"/>
    <n v="103371"/>
    <s v="Assoc-voc"/>
    <n v="11"/>
    <s v="Never-married"/>
    <s v="Adm-clerical"/>
    <s v="Unmarried"/>
    <s v="White"/>
    <s v="Female"/>
    <n v="0"/>
    <n v="0"/>
    <n v="40"/>
    <s v="United-States"/>
    <x v="0"/>
  </r>
  <r>
    <x v="23"/>
    <s v="Private"/>
    <n v="276548"/>
    <s v="HS-grad"/>
    <n v="9"/>
    <s v="Married-civ-spouse"/>
    <s v="Sales"/>
    <s v="Wife"/>
    <s v="White"/>
    <s v="Female"/>
    <n v="0"/>
    <n v="0"/>
    <n v="20"/>
    <s v="United-States"/>
    <x v="0"/>
  </r>
  <r>
    <x v="7"/>
    <s v="Self-emp-not-inc"/>
    <n v="85708"/>
    <s v="HS-grad"/>
    <n v="9"/>
    <s v="Married-civ-spouse"/>
    <s v="Craft-repair"/>
    <s v="Husband"/>
    <s v="White"/>
    <s v="Male"/>
    <n v="0"/>
    <n v="0"/>
    <n v="40"/>
    <s v="United-States"/>
    <x v="0"/>
  </r>
  <r>
    <x v="40"/>
    <s v="Private"/>
    <n v="183612"/>
    <s v="HS-grad"/>
    <n v="9"/>
    <s v="Married-civ-spouse"/>
    <s v="Transport-moving"/>
    <s v="Husband"/>
    <s v="White"/>
    <s v="Male"/>
    <n v="0"/>
    <n v="0"/>
    <n v="20"/>
    <s v="United-States"/>
    <x v="0"/>
  </r>
  <r>
    <x v="16"/>
    <s v="Private"/>
    <n v="356824"/>
    <s v="HS-grad"/>
    <n v="9"/>
    <s v="Separated"/>
    <s v="Tech-support"/>
    <s v="Unmarried"/>
    <s v="White"/>
    <s v="Female"/>
    <n v="0"/>
    <n v="0"/>
    <n v="40"/>
    <s v="United-States"/>
    <x v="0"/>
  </r>
  <r>
    <x v="16"/>
    <s v="Federal-gov"/>
    <n v="45937"/>
    <s v="Assoc-acdm"/>
    <n v="12"/>
    <s v="Married-civ-spouse"/>
    <s v="Exec-managerial"/>
    <s v="Wife"/>
    <s v="White"/>
    <s v="Female"/>
    <n v="0"/>
    <n v="0"/>
    <n v="40"/>
    <s v="United-States"/>
    <x v="1"/>
  </r>
  <r>
    <x v="43"/>
    <s v="State-gov"/>
    <n v="255191"/>
    <s v="HS-grad"/>
    <n v="9"/>
    <s v="Never-married"/>
    <s v="Other-service"/>
    <s v="Not-in-family"/>
    <s v="White"/>
    <s v="Male"/>
    <n v="0"/>
    <n v="0"/>
    <n v="40"/>
    <s v="United-States"/>
    <x v="0"/>
  </r>
  <r>
    <x v="9"/>
    <s v="Private"/>
    <n v="195199"/>
    <s v="HS-grad"/>
    <n v="9"/>
    <s v="Never-married"/>
    <s v="Prof-specialty"/>
    <s v="Own-child"/>
    <s v="White"/>
    <s v="Female"/>
    <n v="0"/>
    <n v="0"/>
    <n v="30"/>
    <s v="United-States"/>
    <x v="0"/>
  </r>
  <r>
    <x v="51"/>
    <s v="Self-emp-not-inc"/>
    <n v="197353"/>
    <s v="HS-grad"/>
    <n v="9"/>
    <s v="Married-civ-spouse"/>
    <s v="Craft-repair"/>
    <s v="Husband"/>
    <s v="White"/>
    <s v="Male"/>
    <n v="0"/>
    <n v="1740"/>
    <n v="40"/>
    <s v="United-States"/>
    <x v="0"/>
  </r>
  <r>
    <x v="3"/>
    <s v="Private"/>
    <n v="415051"/>
    <s v="Some-college"/>
    <n v="10"/>
    <s v="Married-civ-spouse"/>
    <s v="Sales"/>
    <s v="Husband"/>
    <s v="Black"/>
    <s v="Male"/>
    <n v="0"/>
    <n v="0"/>
    <n v="60"/>
    <s v="United-States"/>
    <x v="1"/>
  </r>
  <r>
    <x v="43"/>
    <s v="?"/>
    <n v="365465"/>
    <s v="Assoc-voc"/>
    <n v="11"/>
    <s v="Never-married"/>
    <s v="?"/>
    <s v="Own-child"/>
    <s v="White"/>
    <s v="Male"/>
    <n v="0"/>
    <n v="0"/>
    <n v="15"/>
    <s v="United-States"/>
    <x v="0"/>
  </r>
  <r>
    <x v="9"/>
    <s v="Private"/>
    <n v="157893"/>
    <s v="HS-grad"/>
    <n v="9"/>
    <s v="Never-married"/>
    <s v="Transport-moving"/>
    <s v="Own-child"/>
    <s v="White"/>
    <s v="Female"/>
    <n v="0"/>
    <n v="0"/>
    <n v="40"/>
    <s v="United-States"/>
    <x v="0"/>
  </r>
  <r>
    <x v="14"/>
    <s v="Private"/>
    <n v="39615"/>
    <s v="Some-college"/>
    <n v="10"/>
    <s v="Never-married"/>
    <s v="Handlers-cleaners"/>
    <s v="Own-child"/>
    <s v="White"/>
    <s v="Male"/>
    <n v="0"/>
    <n v="0"/>
    <n v="10"/>
    <s v="United-States"/>
    <x v="0"/>
  </r>
  <r>
    <x v="38"/>
    <s v="Self-emp-inc"/>
    <n v="177905"/>
    <s v="Bachelors"/>
    <n v="13"/>
    <s v="Married-civ-spouse"/>
    <s v="Exec-managerial"/>
    <s v="Husband"/>
    <s v="White"/>
    <s v="Male"/>
    <n v="7688"/>
    <n v="0"/>
    <n v="70"/>
    <s v="United-States"/>
    <x v="1"/>
  </r>
  <r>
    <x v="1"/>
    <s v="Private"/>
    <n v="264498"/>
    <s v="Bachelors"/>
    <n v="13"/>
    <s v="Never-married"/>
    <s v="Prof-specialty"/>
    <s v="Not-in-family"/>
    <s v="White"/>
    <s v="Female"/>
    <n v="0"/>
    <n v="0"/>
    <n v="40"/>
    <s v="United-States"/>
    <x v="0"/>
  </r>
  <r>
    <x v="34"/>
    <s v="Private"/>
    <n v="110426"/>
    <s v="Assoc-acdm"/>
    <n v="12"/>
    <s v="Married-civ-spouse"/>
    <s v="Exec-managerial"/>
    <s v="Wife"/>
    <s v="White"/>
    <s v="Female"/>
    <n v="15024"/>
    <n v="0"/>
    <n v="45"/>
    <s v="United-States"/>
    <x v="1"/>
  </r>
  <r>
    <x v="17"/>
    <s v="Local-gov"/>
    <n v="188280"/>
    <s v="Masters"/>
    <n v="14"/>
    <s v="Divorced"/>
    <s v="Prof-specialty"/>
    <s v="Unmarried"/>
    <s v="White"/>
    <s v="Female"/>
    <n v="914"/>
    <n v="0"/>
    <n v="40"/>
    <s v="United-States"/>
    <x v="0"/>
  </r>
  <r>
    <x v="16"/>
    <s v="Private"/>
    <n v="199753"/>
    <s v="Some-college"/>
    <n v="10"/>
    <s v="Married-civ-spouse"/>
    <s v="Craft-repair"/>
    <s v="Husband"/>
    <s v="White"/>
    <s v="Male"/>
    <n v="0"/>
    <n v="0"/>
    <n v="35"/>
    <s v="United-States"/>
    <x v="1"/>
  </r>
  <r>
    <x v="32"/>
    <s v="Private"/>
    <n v="222539"/>
    <s v="10th"/>
    <n v="6"/>
    <s v="Never-married"/>
    <s v="Transport-moving"/>
    <s v="Not-in-family"/>
    <s v="White"/>
    <s v="Male"/>
    <n v="2597"/>
    <n v="0"/>
    <n v="50"/>
    <s v="United-States"/>
    <x v="0"/>
  </r>
  <r>
    <x v="38"/>
    <s v="?"/>
    <n v="252127"/>
    <s v="Some-college"/>
    <n v="10"/>
    <s v="Widowed"/>
    <s v="?"/>
    <s v="Unmarried"/>
    <s v="Black"/>
    <s v="Female"/>
    <n v="0"/>
    <n v="0"/>
    <n v="20"/>
    <s v="United-States"/>
    <x v="0"/>
  </r>
  <r>
    <x v="39"/>
    <s v="Self-emp-not-inc"/>
    <n v="28791"/>
    <s v="HS-grad"/>
    <n v="9"/>
    <s v="Married-civ-spouse"/>
    <s v="Sales"/>
    <s v="Wife"/>
    <s v="White"/>
    <s v="Female"/>
    <n v="0"/>
    <n v="0"/>
    <n v="50"/>
    <s v="United-States"/>
    <x v="0"/>
  </r>
  <r>
    <x v="1"/>
    <s v="Local-gov"/>
    <n v="401886"/>
    <s v="HS-grad"/>
    <n v="9"/>
    <s v="Never-married"/>
    <s v="Adm-clerical"/>
    <s v="Other-relative"/>
    <s v="White"/>
    <s v="Male"/>
    <n v="0"/>
    <n v="0"/>
    <n v="20"/>
    <s v="United-States"/>
    <x v="0"/>
  </r>
  <r>
    <x v="8"/>
    <s v="?"/>
    <n v="175935"/>
    <s v="HS-grad"/>
    <n v="9"/>
    <s v="Separated"/>
    <s v="?"/>
    <s v="Unmarried"/>
    <s v="White"/>
    <s v="Male"/>
    <n v="0"/>
    <n v="0"/>
    <n v="40"/>
    <s v="United-States"/>
    <x v="0"/>
  </r>
  <r>
    <x v="8"/>
    <s v="Local-gov"/>
    <n v="194417"/>
    <s v="Some-college"/>
    <n v="10"/>
    <s v="Married-civ-spouse"/>
    <s v="Protective-serv"/>
    <s v="Husband"/>
    <s v="White"/>
    <s v="Male"/>
    <n v="0"/>
    <n v="0"/>
    <n v="40"/>
    <s v="United-States"/>
    <x v="1"/>
  </r>
  <r>
    <x v="46"/>
    <s v="Self-emp-not-inc"/>
    <n v="413373"/>
    <s v="Doctorate"/>
    <n v="16"/>
    <s v="Married-civ-spouse"/>
    <s v="Sales"/>
    <s v="Husband"/>
    <s v="White"/>
    <s v="Male"/>
    <n v="0"/>
    <n v="1902"/>
    <n v="40"/>
    <s v="United-States"/>
    <x v="1"/>
  </r>
  <r>
    <x v="10"/>
    <s v="Private"/>
    <n v="418702"/>
    <s v="Assoc-voc"/>
    <n v="11"/>
    <s v="Divorced"/>
    <s v="Adm-clerical"/>
    <s v="Unmarried"/>
    <s v="White"/>
    <s v="Female"/>
    <n v="0"/>
    <n v="0"/>
    <n v="40"/>
    <s v="United-States"/>
    <x v="0"/>
  </r>
  <r>
    <x v="4"/>
    <s v="Local-gov"/>
    <n v="136331"/>
    <s v="Bachelors"/>
    <n v="13"/>
    <s v="Married-civ-spouse"/>
    <s v="Prof-specialty"/>
    <s v="Husband"/>
    <s v="White"/>
    <s v="Male"/>
    <n v="0"/>
    <n v="0"/>
    <n v="60"/>
    <s v="United-States"/>
    <x v="0"/>
  </r>
  <r>
    <x v="0"/>
    <s v="Self-emp-inc"/>
    <n v="174202"/>
    <s v="HS-grad"/>
    <n v="9"/>
    <s v="Never-married"/>
    <s v="Transport-moving"/>
    <s v="Own-child"/>
    <s v="White"/>
    <s v="Male"/>
    <n v="0"/>
    <n v="0"/>
    <n v="60"/>
    <s v="United-States"/>
    <x v="0"/>
  </r>
  <r>
    <x v="19"/>
    <s v="Private"/>
    <n v="309504"/>
    <s v="10th"/>
    <n v="6"/>
    <s v="Never-married"/>
    <s v="Sales"/>
    <s v="Unmarried"/>
    <s v="White"/>
    <s v="Female"/>
    <n v="0"/>
    <n v="0"/>
    <n v="24"/>
    <s v="United-States"/>
    <x v="0"/>
  </r>
  <r>
    <x v="4"/>
    <s v="Self-emp-inc"/>
    <n v="154120"/>
    <s v="HS-grad"/>
    <n v="9"/>
    <s v="Never-married"/>
    <s v="Farming-fishing"/>
    <s v="Own-child"/>
    <s v="White"/>
    <s v="Male"/>
    <n v="0"/>
    <n v="0"/>
    <n v="55"/>
    <s v="United-States"/>
    <x v="0"/>
  </r>
  <r>
    <x v="15"/>
    <s v="Private"/>
    <n v="259307"/>
    <s v="Some-college"/>
    <n v="10"/>
    <s v="Never-married"/>
    <s v="Exec-managerial"/>
    <s v="Not-in-family"/>
    <s v="White"/>
    <s v="Male"/>
    <n v="0"/>
    <n v="0"/>
    <n v="50"/>
    <s v="United-States"/>
    <x v="0"/>
  </r>
  <r>
    <x v="23"/>
    <s v="Private"/>
    <n v="107827"/>
    <s v="HS-grad"/>
    <n v="9"/>
    <s v="Never-married"/>
    <s v="Other-service"/>
    <s v="Unmarried"/>
    <s v="White"/>
    <s v="Male"/>
    <n v="0"/>
    <n v="0"/>
    <n v="25"/>
    <s v="United-States"/>
    <x v="0"/>
  </r>
  <r>
    <x v="20"/>
    <s v="Private"/>
    <n v="115498"/>
    <s v="Bachelors"/>
    <n v="13"/>
    <s v="Married-civ-spouse"/>
    <s v="Exec-managerial"/>
    <s v="Husband"/>
    <s v="White"/>
    <s v="Male"/>
    <n v="99999"/>
    <n v="0"/>
    <n v="55"/>
    <s v="?"/>
    <x v="1"/>
  </r>
  <r>
    <x v="16"/>
    <s v="Private"/>
    <n v="272950"/>
    <s v="HS-grad"/>
    <n v="9"/>
    <s v="Divorced"/>
    <s v="Craft-repair"/>
    <s v="Not-in-family"/>
    <s v="White"/>
    <s v="Male"/>
    <n v="0"/>
    <n v="0"/>
    <n v="40"/>
    <s v="United-States"/>
    <x v="0"/>
  </r>
  <r>
    <x v="38"/>
    <s v="Private"/>
    <n v="318046"/>
    <s v="Some-college"/>
    <n v="10"/>
    <s v="Married-civ-spouse"/>
    <s v="Transport-moving"/>
    <s v="Husband"/>
    <s v="White"/>
    <s v="Male"/>
    <n v="0"/>
    <n v="0"/>
    <n v="48"/>
    <s v="United-States"/>
    <x v="1"/>
  </r>
  <r>
    <x v="56"/>
    <s v="Local-gov"/>
    <n v="103153"/>
    <s v="7th-8th"/>
    <n v="4"/>
    <s v="Married-civ-spouse"/>
    <s v="Exec-managerial"/>
    <s v="Husband"/>
    <s v="White"/>
    <s v="Male"/>
    <n v="0"/>
    <n v="1411"/>
    <n v="40"/>
    <s v="United-States"/>
    <x v="0"/>
  </r>
  <r>
    <x v="6"/>
    <s v="Private"/>
    <n v="161691"/>
    <s v="Masters"/>
    <n v="14"/>
    <s v="Divorced"/>
    <s v="Prof-specialty"/>
    <s v="Not-in-family"/>
    <s v="White"/>
    <s v="Female"/>
    <n v="0"/>
    <n v="2559"/>
    <n v="40"/>
    <s v="United-States"/>
    <x v="1"/>
  </r>
  <r>
    <x v="8"/>
    <s v="Private"/>
    <n v="248356"/>
    <s v="HS-grad"/>
    <n v="9"/>
    <s v="Never-married"/>
    <s v="Sales"/>
    <s v="Unmarried"/>
    <s v="White"/>
    <s v="Female"/>
    <n v="0"/>
    <n v="0"/>
    <n v="40"/>
    <s v="United-States"/>
    <x v="0"/>
  </r>
  <r>
    <x v="7"/>
    <s v="Self-emp-not-inc"/>
    <n v="176185"/>
    <s v="Some-college"/>
    <n v="10"/>
    <s v="Married-spouse-absent"/>
    <s v="Craft-repair"/>
    <s v="Own-child"/>
    <s v="White"/>
    <s v="Male"/>
    <n v="0"/>
    <n v="0"/>
    <n v="60"/>
    <s v="United-States"/>
    <x v="1"/>
  </r>
  <r>
    <x v="7"/>
    <s v="?"/>
    <n v="33811"/>
    <s v="Bachelors"/>
    <n v="13"/>
    <s v="Never-married"/>
    <s v="?"/>
    <s v="Not-in-family"/>
    <s v="Asian-Pac-Islander"/>
    <s v="Female"/>
    <n v="0"/>
    <n v="0"/>
    <n v="99"/>
    <s v="United-States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3">
  <r>
    <s v="1"/>
    <n v="18"/>
    <s v="Private"/>
    <n v="309634"/>
    <x v="0"/>
    <n v="7"/>
    <s v="Never-married"/>
    <s v="Other-service"/>
    <s v="Own-child"/>
    <s v="White"/>
    <x v="0"/>
    <n v="0"/>
    <n v="0"/>
    <n v="22"/>
    <s v="United-States"/>
    <x v="0"/>
    <n v="22"/>
    <e v="#N/A"/>
  </r>
  <r>
    <s v="2"/>
    <n v="28"/>
    <s v="Private"/>
    <n v="69621"/>
    <x v="1"/>
    <n v="12"/>
    <s v="Never-married"/>
    <s v="Sales"/>
    <s v="Not-in-family"/>
    <s v="White"/>
    <x v="0"/>
    <n v="0"/>
    <n v="0"/>
    <n v="60"/>
    <s v="United-States"/>
    <x v="0"/>
    <n v="60"/>
    <e v="#N/A"/>
  </r>
  <r>
    <s v="3"/>
    <n v="35"/>
    <s v="Private"/>
    <n v="153790"/>
    <x v="2"/>
    <n v="10"/>
    <s v="Never-married"/>
    <s v="Sales"/>
    <s v="Not-in-family"/>
    <s v="Amer-Indian-Eskimo"/>
    <x v="0"/>
    <n v="0"/>
    <n v="0"/>
    <n v="40"/>
    <s v="United-States"/>
    <x v="0"/>
    <n v="40"/>
    <e v="#N/A"/>
  </r>
  <r>
    <s v="4"/>
    <n v="46"/>
    <s v="Private"/>
    <n v="214955"/>
    <x v="3"/>
    <n v="3"/>
    <s v="Divorced"/>
    <s v="Craft-repair"/>
    <s v="Not-in-family"/>
    <s v="White"/>
    <x v="0"/>
    <n v="0"/>
    <n v="2339"/>
    <n v="45"/>
    <s v="United-States"/>
    <x v="0"/>
    <n v="45"/>
    <e v="#N/A"/>
  </r>
  <r>
    <s v="5"/>
    <n v="35"/>
    <s v="Private"/>
    <n v="92440"/>
    <x v="4"/>
    <n v="8"/>
    <s v="Divorced"/>
    <s v="Craft-repair"/>
    <s v="Not-in-family"/>
    <s v="White"/>
    <x v="1"/>
    <n v="0"/>
    <n v="0"/>
    <n v="50"/>
    <s v="United-States"/>
    <x v="1"/>
    <e v="#N/A"/>
    <n v="50"/>
  </r>
  <r>
    <s v="6"/>
    <n v="34"/>
    <s v="Local-gov"/>
    <n v="243867"/>
    <x v="0"/>
    <n v="7"/>
    <s v="Separated"/>
    <s v="Machine-op-inspct"/>
    <s v="Not-in-family"/>
    <s v="Black"/>
    <x v="1"/>
    <n v="0"/>
    <n v="0"/>
    <n v="40"/>
    <s v="United-States"/>
    <x v="0"/>
    <e v="#N/A"/>
    <n v="40"/>
  </r>
  <r>
    <s v="7"/>
    <n v="44"/>
    <s v="Private"/>
    <n v="116632"/>
    <x v="1"/>
    <n v="12"/>
    <s v="Never-married"/>
    <s v="Farming-fishing"/>
    <s v="Own-child"/>
    <s v="White"/>
    <x v="1"/>
    <n v="0"/>
    <n v="0"/>
    <n v="40"/>
    <s v="United-States"/>
    <x v="0"/>
    <e v="#N/A"/>
    <n v="40"/>
  </r>
  <r>
    <s v="8"/>
    <n v="28"/>
    <s v="State-gov"/>
    <n v="70100"/>
    <x v="5"/>
    <n v="13"/>
    <s v="Never-married"/>
    <s v="Prof-specialty"/>
    <s v="Not-in-family"/>
    <s v="White"/>
    <x v="1"/>
    <n v="0"/>
    <n v="0"/>
    <n v="20"/>
    <s v="United-States"/>
    <x v="0"/>
    <e v="#N/A"/>
    <n v="20"/>
  </r>
  <r>
    <s v="9"/>
    <n v="34"/>
    <s v="Private"/>
    <n v="148291"/>
    <x v="6"/>
    <n v="9"/>
    <s v="Married-civ-spouse"/>
    <s v="Tech-support"/>
    <s v="Wife"/>
    <s v="White"/>
    <x v="0"/>
    <n v="0"/>
    <n v="0"/>
    <n v="32"/>
    <s v="United-States"/>
    <x v="0"/>
    <n v="32"/>
    <e v="#N/A"/>
  </r>
  <r>
    <s v="10"/>
    <n v="54"/>
    <s v="Private"/>
    <n v="212960"/>
    <x v="5"/>
    <n v="13"/>
    <s v="Married-civ-spouse"/>
    <s v="Sales"/>
    <s v="Husband"/>
    <s v="White"/>
    <x v="1"/>
    <n v="0"/>
    <n v="0"/>
    <n v="35"/>
    <s v="United-States"/>
    <x v="1"/>
    <e v="#N/A"/>
    <n v="35"/>
  </r>
  <r>
    <s v="11"/>
    <n v="30"/>
    <s v="Private"/>
    <n v="103649"/>
    <x v="5"/>
    <n v="13"/>
    <s v="Married-civ-spouse"/>
    <s v="Adm-clerical"/>
    <s v="Wife"/>
    <s v="Black"/>
    <x v="0"/>
    <n v="0"/>
    <n v="0"/>
    <n v="40"/>
    <s v="United-States"/>
    <x v="1"/>
    <n v="40"/>
    <e v="#N/A"/>
  </r>
  <r>
    <s v="12"/>
    <n v="42"/>
    <s v="Private"/>
    <n v="247019"/>
    <x v="6"/>
    <n v="9"/>
    <s v="Married-civ-spouse"/>
    <s v="Craft-repair"/>
    <s v="Husband"/>
    <s v="Black"/>
    <x v="1"/>
    <n v="0"/>
    <n v="0"/>
    <n v="40"/>
    <s v="United-States"/>
    <x v="1"/>
    <e v="#N/A"/>
    <n v="40"/>
  </r>
  <r>
    <s v="13"/>
    <n v="21"/>
    <s v="Private"/>
    <n v="163870"/>
    <x v="2"/>
    <n v="10"/>
    <s v="Never-married"/>
    <s v="Handlers-cleaners"/>
    <s v="Own-child"/>
    <s v="White"/>
    <x v="1"/>
    <n v="0"/>
    <n v="0"/>
    <n v="30"/>
    <s v="United-States"/>
    <x v="0"/>
    <e v="#N/A"/>
    <n v="30"/>
  </r>
  <r>
    <s v="14"/>
    <n v="36"/>
    <s v="Private"/>
    <n v="70282"/>
    <x v="2"/>
    <n v="10"/>
    <s v="Divorced"/>
    <s v="Adm-clerical"/>
    <s v="Unmarried"/>
    <s v="Black"/>
    <x v="0"/>
    <n v="0"/>
    <n v="0"/>
    <n v="40"/>
    <s v="United-States"/>
    <x v="0"/>
    <n v="40"/>
    <e v="#N/A"/>
  </r>
  <r>
    <s v="15"/>
    <n v="31"/>
    <s v="Private"/>
    <n v="295697"/>
    <x v="6"/>
    <n v="9"/>
    <s v="Separated"/>
    <s v="Other-service"/>
    <s v="Unmarried"/>
    <s v="Black"/>
    <x v="0"/>
    <n v="0"/>
    <n v="0"/>
    <n v="40"/>
    <s v="United-States"/>
    <x v="0"/>
    <n v="40"/>
    <e v="#N/A"/>
  </r>
  <r>
    <s v="16"/>
    <n v="55"/>
    <s v="Private"/>
    <n v="173093"/>
    <x v="2"/>
    <n v="10"/>
    <s v="Divorced"/>
    <s v="Adm-clerical"/>
    <s v="Not-in-family"/>
    <s v="Asian-Pac-Islander"/>
    <x v="0"/>
    <n v="0"/>
    <n v="0"/>
    <n v="40"/>
    <s v="United-States"/>
    <x v="0"/>
    <n v="40"/>
    <e v="#N/A"/>
  </r>
  <r>
    <s v="17"/>
    <n v="45"/>
    <s v="?"/>
    <n v="51164"/>
    <x v="2"/>
    <n v="10"/>
    <s v="Married-civ-spouse"/>
    <s v="?"/>
    <s v="Wife"/>
    <s v="Black"/>
    <x v="0"/>
    <n v="0"/>
    <n v="0"/>
    <n v="40"/>
    <s v="United-States"/>
    <x v="0"/>
    <n v="40"/>
    <e v="#N/A"/>
  </r>
  <r>
    <s v="18"/>
    <n v="23"/>
    <s v="Private"/>
    <n v="145111"/>
    <x v="6"/>
    <n v="9"/>
    <s v="Never-married"/>
    <s v="Transport-moving"/>
    <s v="Unmarried"/>
    <s v="White"/>
    <x v="1"/>
    <n v="0"/>
    <n v="0"/>
    <n v="50"/>
    <s v="United-States"/>
    <x v="0"/>
    <e v="#N/A"/>
    <n v="50"/>
  </r>
  <r>
    <s v="19"/>
    <n v="40"/>
    <s v="State-gov"/>
    <n v="188693"/>
    <x v="7"/>
    <n v="14"/>
    <s v="Married-civ-spouse"/>
    <s v="Prof-specialty"/>
    <s v="Husband"/>
    <s v="White"/>
    <x v="1"/>
    <n v="0"/>
    <n v="0"/>
    <n v="35"/>
    <s v="United-States"/>
    <x v="1"/>
    <e v="#N/A"/>
    <n v="35"/>
  </r>
  <r>
    <s v="20"/>
    <n v="37"/>
    <s v="Private"/>
    <n v="215310"/>
    <x v="6"/>
    <n v="9"/>
    <s v="Married-civ-spouse"/>
    <s v="Craft-repair"/>
    <s v="Husband"/>
    <s v="White"/>
    <x v="1"/>
    <n v="0"/>
    <n v="0"/>
    <n v="50"/>
    <s v="United-States"/>
    <x v="1"/>
    <e v="#N/A"/>
    <n v="50"/>
  </r>
  <r>
    <s v="21"/>
    <n v="43"/>
    <s v="Private"/>
    <n v="173728"/>
    <x v="5"/>
    <n v="13"/>
    <s v="Separated"/>
    <s v="Prof-specialty"/>
    <s v="Unmarried"/>
    <s v="White"/>
    <x v="0"/>
    <n v="0"/>
    <n v="0"/>
    <n v="40"/>
    <s v="United-States"/>
    <x v="0"/>
    <n v="40"/>
    <e v="#N/A"/>
  </r>
  <r>
    <s v="22"/>
    <n v="31"/>
    <s v="Private"/>
    <n v="185732"/>
    <x v="6"/>
    <n v="9"/>
    <s v="Never-married"/>
    <s v="Other-service"/>
    <s v="Own-child"/>
    <s v="White"/>
    <x v="0"/>
    <n v="0"/>
    <n v="0"/>
    <n v="30"/>
    <s v="United-States"/>
    <x v="0"/>
    <n v="30"/>
    <e v="#N/A"/>
  </r>
  <r>
    <s v="23"/>
    <n v="28"/>
    <s v="Self-emp-not-inc"/>
    <n v="218555"/>
    <x v="2"/>
    <n v="10"/>
    <s v="Never-married"/>
    <s v="Transport-moving"/>
    <s v="Not-in-family"/>
    <s v="White"/>
    <x v="1"/>
    <n v="0"/>
    <n v="1762"/>
    <n v="40"/>
    <s v="United-States"/>
    <x v="0"/>
    <e v="#N/A"/>
    <n v="40"/>
  </r>
  <r>
    <s v="24"/>
    <n v="29"/>
    <s v="Federal-gov"/>
    <n v="301010"/>
    <x v="2"/>
    <n v="10"/>
    <s v="Never-married"/>
    <s v="Armed-Forces"/>
    <s v="Not-in-family"/>
    <s v="Black"/>
    <x v="1"/>
    <n v="0"/>
    <n v="0"/>
    <n v="60"/>
    <s v="United-States"/>
    <x v="0"/>
    <e v="#N/A"/>
    <n v="60"/>
  </r>
  <r>
    <s v="25"/>
    <n v="17"/>
    <s v="?"/>
    <n v="138507"/>
    <x v="8"/>
    <n v="6"/>
    <s v="Never-married"/>
    <s v="?"/>
    <s v="Own-child"/>
    <s v="White"/>
    <x v="1"/>
    <n v="0"/>
    <n v="0"/>
    <n v="20"/>
    <s v="United-States"/>
    <x v="0"/>
    <e v="#N/A"/>
    <n v="20"/>
  </r>
  <r>
    <s v="26"/>
    <n v="17"/>
    <s v="Private"/>
    <n v="197850"/>
    <x v="0"/>
    <n v="7"/>
    <s v="Never-married"/>
    <s v="Adm-clerical"/>
    <s v="Own-child"/>
    <s v="Asian-Pac-Islander"/>
    <x v="0"/>
    <n v="0"/>
    <n v="0"/>
    <n v="24"/>
    <s v="United-States"/>
    <x v="0"/>
    <n v="24"/>
    <e v="#N/A"/>
  </r>
  <r>
    <s v="27"/>
    <n v="66"/>
    <s v="Self-emp-not-inc"/>
    <n v="298834"/>
    <x v="9"/>
    <n v="11"/>
    <s v="Married-civ-spouse"/>
    <s v="Prof-specialty"/>
    <s v="Husband"/>
    <s v="White"/>
    <x v="1"/>
    <n v="0"/>
    <n v="0"/>
    <n v="50"/>
    <s v="United-States"/>
    <x v="0"/>
    <e v="#N/A"/>
    <n v="50"/>
  </r>
  <r>
    <s v="28"/>
    <n v="69"/>
    <s v="?"/>
    <n v="473040"/>
    <x v="3"/>
    <n v="3"/>
    <s v="Divorced"/>
    <s v="?"/>
    <s v="Not-in-family"/>
    <s v="White"/>
    <x v="1"/>
    <n v="0"/>
    <n v="0"/>
    <n v="40"/>
    <s v="United-States"/>
    <x v="0"/>
    <e v="#N/A"/>
    <n v="40"/>
  </r>
  <r>
    <s v="29"/>
    <n v="27"/>
    <s v="Private"/>
    <n v="168107"/>
    <x v="5"/>
    <n v="13"/>
    <s v="Married-civ-spouse"/>
    <s v="Craft-repair"/>
    <s v="Husband"/>
    <s v="White"/>
    <x v="1"/>
    <n v="0"/>
    <n v="0"/>
    <n v="40"/>
    <s v="United-States"/>
    <x v="0"/>
    <e v="#N/A"/>
    <n v="40"/>
  </r>
  <r>
    <s v="30"/>
    <n v="26"/>
    <s v="Private"/>
    <n v="294493"/>
    <x v="5"/>
    <n v="13"/>
    <s v="Never-married"/>
    <s v="Craft-repair"/>
    <s v="Other-relative"/>
    <s v="White"/>
    <x v="1"/>
    <n v="0"/>
    <n v="0"/>
    <n v="40"/>
    <s v="United-States"/>
    <x v="0"/>
    <e v="#N/A"/>
    <n v="40"/>
  </r>
  <r>
    <s v="31"/>
    <n v="50"/>
    <s v="Private"/>
    <n v="171338"/>
    <x v="2"/>
    <n v="10"/>
    <s v="Married-civ-spouse"/>
    <s v="Exec-managerial"/>
    <s v="Husband"/>
    <s v="White"/>
    <x v="1"/>
    <n v="99999"/>
    <n v="0"/>
    <n v="50"/>
    <s v="United-States"/>
    <x v="1"/>
    <e v="#N/A"/>
    <n v="50"/>
  </r>
  <r>
    <s v="32"/>
    <n v="59"/>
    <s v="Private"/>
    <n v="183606"/>
    <x v="0"/>
    <n v="7"/>
    <s v="Married-civ-spouse"/>
    <s v="Machine-op-inspct"/>
    <s v="Husband"/>
    <s v="White"/>
    <x v="1"/>
    <n v="0"/>
    <n v="0"/>
    <n v="40"/>
    <s v="United-States"/>
    <x v="0"/>
    <e v="#N/A"/>
    <n v="40"/>
  </r>
  <r>
    <s v="33"/>
    <n v="37"/>
    <s v="Local-gov"/>
    <n v="118909"/>
    <x v="6"/>
    <n v="9"/>
    <s v="Divorced"/>
    <s v="Adm-clerical"/>
    <s v="Unmarried"/>
    <s v="Black"/>
    <x v="0"/>
    <n v="0"/>
    <n v="0"/>
    <n v="35"/>
    <s v="United-States"/>
    <x v="0"/>
    <n v="35"/>
    <e v="#N/A"/>
  </r>
  <r>
    <s v="34"/>
    <n v="18"/>
    <s v="Private"/>
    <n v="152545"/>
    <x v="6"/>
    <n v="9"/>
    <s v="Never-married"/>
    <s v="Other-service"/>
    <s v="Own-child"/>
    <s v="White"/>
    <x v="0"/>
    <n v="0"/>
    <n v="0"/>
    <n v="8"/>
    <s v="United-States"/>
    <x v="0"/>
    <n v="8"/>
    <e v="#N/A"/>
  </r>
  <r>
    <s v="35"/>
    <n v="21"/>
    <s v="Private"/>
    <n v="165475"/>
    <x v="6"/>
    <n v="9"/>
    <s v="Married-civ-spouse"/>
    <s v="Machine-op-inspct"/>
    <s v="Husband"/>
    <s v="White"/>
    <x v="1"/>
    <n v="0"/>
    <n v="0"/>
    <n v="40"/>
    <s v="United-States"/>
    <x v="0"/>
    <e v="#N/A"/>
    <n v="40"/>
  </r>
  <r>
    <s v="36"/>
    <n v="64"/>
    <s v="Private"/>
    <n v="170483"/>
    <x v="6"/>
    <n v="9"/>
    <s v="Widowed"/>
    <s v="Other-service"/>
    <s v="Not-in-family"/>
    <s v="White"/>
    <x v="0"/>
    <n v="0"/>
    <n v="0"/>
    <n v="38"/>
    <s v="United-States"/>
    <x v="0"/>
    <n v="38"/>
    <e v="#N/A"/>
  </r>
  <r>
    <s v="37"/>
    <n v="50"/>
    <s v="Private"/>
    <n v="112351"/>
    <x v="6"/>
    <n v="9"/>
    <s v="Divorced"/>
    <s v="Exec-managerial"/>
    <s v="Unmarried"/>
    <s v="White"/>
    <x v="1"/>
    <n v="0"/>
    <n v="0"/>
    <n v="38"/>
    <s v="United-States"/>
    <x v="0"/>
    <e v="#N/A"/>
    <n v="38"/>
  </r>
  <r>
    <s v="38"/>
    <n v="19"/>
    <s v="Private"/>
    <n v="354104"/>
    <x v="6"/>
    <n v="9"/>
    <s v="Never-married"/>
    <s v="Handlers-cleaners"/>
    <s v="Own-child"/>
    <s v="White"/>
    <x v="1"/>
    <n v="0"/>
    <n v="0"/>
    <n v="30"/>
    <s v="United-States"/>
    <x v="0"/>
    <e v="#N/A"/>
    <n v="30"/>
  </r>
  <r>
    <s v="39"/>
    <n v="28"/>
    <s v="?"/>
    <n v="308493"/>
    <x v="6"/>
    <n v="9"/>
    <s v="Married-civ-spouse"/>
    <s v="?"/>
    <s v="Wife"/>
    <s v="White"/>
    <x v="0"/>
    <n v="0"/>
    <n v="0"/>
    <n v="17"/>
    <s v="Honduras"/>
    <x v="0"/>
    <n v="17"/>
    <e v="#N/A"/>
  </r>
  <r>
    <s v="40"/>
    <n v="47"/>
    <s v="Private"/>
    <n v="326857"/>
    <x v="9"/>
    <n v="11"/>
    <s v="Married-civ-spouse"/>
    <s v="Craft-repair"/>
    <s v="Husband"/>
    <s v="White"/>
    <x v="1"/>
    <n v="5013"/>
    <n v="0"/>
    <n v="40"/>
    <s v="United-States"/>
    <x v="0"/>
    <e v="#N/A"/>
    <n v="40"/>
  </r>
  <r>
    <s v="41"/>
    <n v="56"/>
    <s v="Local-gov"/>
    <n v="242670"/>
    <x v="2"/>
    <n v="10"/>
    <s v="Widowed"/>
    <s v="Adm-clerical"/>
    <s v="Unmarried"/>
    <s v="White"/>
    <x v="0"/>
    <n v="0"/>
    <n v="0"/>
    <n v="40"/>
    <s v="United-States"/>
    <x v="0"/>
    <n v="40"/>
    <e v="#N/A"/>
  </r>
  <r>
    <s v="42"/>
    <n v="26"/>
    <s v="Private"/>
    <n v="60726"/>
    <x v="2"/>
    <n v="10"/>
    <s v="Married-civ-spouse"/>
    <s v="Craft-repair"/>
    <s v="Husband"/>
    <s v="Black"/>
    <x v="1"/>
    <n v="0"/>
    <n v="0"/>
    <n v="40"/>
    <s v="United-States"/>
    <x v="0"/>
    <e v="#N/A"/>
    <n v="40"/>
  </r>
  <r>
    <s v="43"/>
    <n v="51"/>
    <s v="Private"/>
    <n v="204322"/>
    <x v="9"/>
    <n v="11"/>
    <s v="Married-civ-spouse"/>
    <s v="Handlers-cleaners"/>
    <s v="Husband"/>
    <s v="White"/>
    <x v="1"/>
    <n v="0"/>
    <n v="0"/>
    <n v="40"/>
    <s v="United-States"/>
    <x v="1"/>
    <e v="#N/A"/>
    <n v="40"/>
  </r>
  <r>
    <s v="44"/>
    <n v="20"/>
    <s v="Private"/>
    <n v="236769"/>
    <x v="2"/>
    <n v="10"/>
    <s v="Never-married"/>
    <s v="Handlers-cleaners"/>
    <s v="Own-child"/>
    <s v="White"/>
    <x v="1"/>
    <n v="0"/>
    <n v="0"/>
    <n v="40"/>
    <s v="United-States"/>
    <x v="0"/>
    <e v="#N/A"/>
    <n v="40"/>
  </r>
  <r>
    <s v="45"/>
    <n v="25"/>
    <s v="Private"/>
    <n v="73289"/>
    <x v="6"/>
    <n v="9"/>
    <s v="Never-married"/>
    <s v="Transport-moving"/>
    <s v="Own-child"/>
    <s v="White"/>
    <x v="1"/>
    <n v="0"/>
    <n v="0"/>
    <n v="40"/>
    <s v="United-States"/>
    <x v="0"/>
    <e v="#N/A"/>
    <n v="40"/>
  </r>
  <r>
    <s v="46"/>
    <n v="46"/>
    <s v="Private"/>
    <n v="109089"/>
    <x v="6"/>
    <n v="9"/>
    <s v="Divorced"/>
    <s v="Craft-repair"/>
    <s v="Not-in-family"/>
    <s v="White"/>
    <x v="1"/>
    <n v="0"/>
    <n v="0"/>
    <n v="37"/>
    <s v="United-States"/>
    <x v="0"/>
    <e v="#N/A"/>
    <n v="37"/>
  </r>
  <r>
    <s v="47"/>
    <n v="22"/>
    <s v="Private"/>
    <n v="230574"/>
    <x v="8"/>
    <n v="6"/>
    <s v="Never-married"/>
    <s v="Transport-moving"/>
    <s v="Own-child"/>
    <s v="White"/>
    <x v="1"/>
    <n v="0"/>
    <n v="0"/>
    <n v="25"/>
    <s v="United-States"/>
    <x v="0"/>
    <e v="#N/A"/>
    <n v="25"/>
  </r>
  <r>
    <s v="48"/>
    <n v="37"/>
    <s v="Private"/>
    <n v="65390"/>
    <x v="5"/>
    <n v="13"/>
    <s v="Married-civ-spouse"/>
    <s v="Farming-fishing"/>
    <s v="Husband"/>
    <s v="White"/>
    <x v="1"/>
    <n v="0"/>
    <n v="0"/>
    <n v="50"/>
    <s v="United-States"/>
    <x v="0"/>
    <e v="#N/A"/>
    <n v="50"/>
  </r>
  <r>
    <s v="49"/>
    <n v="22"/>
    <s v="Private"/>
    <n v="189950"/>
    <x v="5"/>
    <n v="13"/>
    <s v="Never-married"/>
    <s v="Prof-specialty"/>
    <s v="Not-in-family"/>
    <s v="White"/>
    <x v="1"/>
    <n v="0"/>
    <n v="0"/>
    <n v="55"/>
    <s v="United-States"/>
    <x v="0"/>
    <e v="#N/A"/>
    <n v="55"/>
  </r>
  <r>
    <s v="50"/>
    <n v="27"/>
    <s v="Private"/>
    <n v="387776"/>
    <x v="2"/>
    <n v="10"/>
    <s v="Never-married"/>
    <s v="Other-service"/>
    <s v="Own-child"/>
    <s v="White"/>
    <x v="1"/>
    <n v="0"/>
    <n v="0"/>
    <n v="40"/>
    <s v="United-States"/>
    <x v="0"/>
    <e v="#N/A"/>
    <n v="40"/>
  </r>
  <r>
    <s v="51"/>
    <n v="55"/>
    <s v="Self-emp-inc"/>
    <n v="124137"/>
    <x v="10"/>
    <n v="15"/>
    <s v="Married-civ-spouse"/>
    <s v="Prof-specialty"/>
    <s v="Husband"/>
    <s v="White"/>
    <x v="1"/>
    <n v="0"/>
    <n v="2415"/>
    <n v="35"/>
    <s v="Greece"/>
    <x v="1"/>
    <e v="#N/A"/>
    <n v="35"/>
  </r>
  <r>
    <s v="52"/>
    <n v="39"/>
    <s v="Private"/>
    <n v="172425"/>
    <x v="9"/>
    <n v="11"/>
    <s v="Married-civ-spouse"/>
    <s v="Adm-clerical"/>
    <s v="Wife"/>
    <s v="White"/>
    <x v="0"/>
    <n v="0"/>
    <n v="0"/>
    <n v="20"/>
    <s v="United-States"/>
    <x v="1"/>
    <n v="20"/>
    <e v="#N/A"/>
  </r>
  <r>
    <s v="53"/>
    <n v="53"/>
    <s v="?"/>
    <n v="181317"/>
    <x v="6"/>
    <n v="9"/>
    <s v="Married-civ-spouse"/>
    <s v="?"/>
    <s v="Husband"/>
    <s v="White"/>
    <x v="1"/>
    <n v="0"/>
    <n v="0"/>
    <n v="40"/>
    <s v="United-States"/>
    <x v="0"/>
    <e v="#N/A"/>
    <n v="40"/>
  </r>
  <r>
    <s v="54"/>
    <n v="24"/>
    <s v="State-gov"/>
    <n v="166851"/>
    <x v="7"/>
    <n v="14"/>
    <s v="Never-married"/>
    <s v="Prof-specialty"/>
    <s v="Not-in-family"/>
    <s v="White"/>
    <x v="1"/>
    <n v="0"/>
    <n v="0"/>
    <n v="13"/>
    <s v="United-States"/>
    <x v="0"/>
    <e v="#N/A"/>
    <n v="13"/>
  </r>
  <r>
    <s v="55"/>
    <n v="24"/>
    <s v="Private"/>
    <n v="145964"/>
    <x v="5"/>
    <n v="13"/>
    <s v="Never-married"/>
    <s v="Exec-managerial"/>
    <s v="Not-in-family"/>
    <s v="White"/>
    <x v="1"/>
    <n v="0"/>
    <n v="0"/>
    <n v="40"/>
    <s v="United-States"/>
    <x v="0"/>
    <e v="#N/A"/>
    <n v="40"/>
  </r>
  <r>
    <s v="56"/>
    <n v="21"/>
    <s v="Private"/>
    <n v="34616"/>
    <x v="2"/>
    <n v="10"/>
    <s v="Never-married"/>
    <s v="Other-service"/>
    <s v="Own-child"/>
    <s v="White"/>
    <x v="0"/>
    <n v="0"/>
    <n v="0"/>
    <n v="25"/>
    <s v="United-States"/>
    <x v="0"/>
    <n v="25"/>
    <e v="#N/A"/>
  </r>
  <r>
    <s v="57"/>
    <n v="30"/>
    <s v="Federal-gov"/>
    <n v="68330"/>
    <x v="5"/>
    <n v="13"/>
    <s v="Never-married"/>
    <s v="Prof-specialty"/>
    <s v="Not-in-family"/>
    <s v="White"/>
    <x v="1"/>
    <n v="0"/>
    <n v="0"/>
    <n v="40"/>
    <s v="United-States"/>
    <x v="1"/>
    <e v="#N/A"/>
    <n v="40"/>
  </r>
  <r>
    <s v="58"/>
    <n v="58"/>
    <s v="Private"/>
    <n v="205896"/>
    <x v="6"/>
    <n v="9"/>
    <s v="Divorced"/>
    <s v="Sales"/>
    <s v="Other-relative"/>
    <s v="White"/>
    <x v="0"/>
    <n v="0"/>
    <n v="0"/>
    <n v="40"/>
    <s v="United-States"/>
    <x v="0"/>
    <n v="40"/>
    <e v="#N/A"/>
  </r>
  <r>
    <s v="59"/>
    <n v="41"/>
    <s v="Private"/>
    <n v="194710"/>
    <x v="6"/>
    <n v="9"/>
    <s v="Never-married"/>
    <s v="Exec-managerial"/>
    <s v="Not-in-family"/>
    <s v="White"/>
    <x v="0"/>
    <n v="0"/>
    <n v="0"/>
    <n v="40"/>
    <s v="United-States"/>
    <x v="0"/>
    <n v="40"/>
    <e v="#N/A"/>
  </r>
  <r>
    <s v="60"/>
    <n v="17"/>
    <s v="Private"/>
    <n v="295488"/>
    <x v="0"/>
    <n v="7"/>
    <s v="Never-married"/>
    <s v="Other-service"/>
    <s v="Own-child"/>
    <s v="Black"/>
    <x v="0"/>
    <n v="0"/>
    <n v="0"/>
    <n v="25"/>
    <s v="United-States"/>
    <x v="0"/>
    <n v="25"/>
    <e v="#N/A"/>
  </r>
  <r>
    <s v="61"/>
    <n v="31"/>
    <s v="Private"/>
    <n v="169240"/>
    <x v="6"/>
    <n v="9"/>
    <s v="Never-married"/>
    <s v="Other-service"/>
    <s v="Not-in-family"/>
    <s v="White"/>
    <x v="0"/>
    <n v="0"/>
    <n v="0"/>
    <n v="40"/>
    <s v="United-States"/>
    <x v="0"/>
    <n v="40"/>
    <e v="#N/A"/>
  </r>
  <r>
    <s v="62"/>
    <n v="48"/>
    <s v="Private"/>
    <n v="186172"/>
    <x v="5"/>
    <n v="13"/>
    <s v="Married-civ-spouse"/>
    <s v="Exec-managerial"/>
    <s v="Husband"/>
    <s v="White"/>
    <x v="1"/>
    <n v="0"/>
    <n v="0"/>
    <n v="45"/>
    <s v="United-States"/>
    <x v="1"/>
    <e v="#N/A"/>
    <n v="45"/>
  </r>
  <r>
    <s v="63"/>
    <n v="42"/>
    <s v="Private"/>
    <n v="200574"/>
    <x v="2"/>
    <n v="10"/>
    <s v="Married-civ-spouse"/>
    <s v="Sales"/>
    <s v="Husband"/>
    <s v="White"/>
    <x v="1"/>
    <n v="0"/>
    <n v="0"/>
    <n v="40"/>
    <s v="United-States"/>
    <x v="0"/>
    <e v="#N/A"/>
    <n v="40"/>
  </r>
  <r>
    <s v="64"/>
    <n v="26"/>
    <s v="Private"/>
    <n v="198163"/>
    <x v="7"/>
    <n v="14"/>
    <s v="Married-civ-spouse"/>
    <s v="Sales"/>
    <s v="Wife"/>
    <s v="White"/>
    <x v="0"/>
    <n v="0"/>
    <n v="0"/>
    <n v="40"/>
    <s v="United-States"/>
    <x v="0"/>
    <n v="40"/>
    <e v="#N/A"/>
  </r>
  <r>
    <s v="65"/>
    <n v="33"/>
    <s v="Private"/>
    <n v="144064"/>
    <x v="5"/>
    <n v="13"/>
    <s v="Married-civ-spouse"/>
    <s v="Exec-managerial"/>
    <s v="Husband"/>
    <s v="White"/>
    <x v="1"/>
    <n v="0"/>
    <n v="0"/>
    <n v="50"/>
    <s v="United-States"/>
    <x v="0"/>
    <e v="#N/A"/>
    <n v="50"/>
  </r>
  <r>
    <s v="66"/>
    <n v="40"/>
    <s v="Private"/>
    <n v="220609"/>
    <x v="2"/>
    <n v="10"/>
    <s v="Divorced"/>
    <s v="Exec-managerial"/>
    <s v="Not-in-family"/>
    <s v="White"/>
    <x v="0"/>
    <n v="0"/>
    <n v="0"/>
    <n v="40"/>
    <s v="United-States"/>
    <x v="0"/>
    <n v="40"/>
    <e v="#N/A"/>
  </r>
  <r>
    <s v="67"/>
    <n v="51"/>
    <s v="Private"/>
    <n v="24185"/>
    <x v="5"/>
    <n v="13"/>
    <s v="Married-civ-spouse"/>
    <s v="Craft-repair"/>
    <s v="Husband"/>
    <s v="White"/>
    <x v="1"/>
    <n v="0"/>
    <n v="0"/>
    <n v="40"/>
    <s v="United-States"/>
    <x v="1"/>
    <e v="#N/A"/>
    <n v="40"/>
  </r>
  <r>
    <s v="68"/>
    <n v="35"/>
    <s v="?"/>
    <n v="169809"/>
    <x v="5"/>
    <n v="13"/>
    <s v="Married-civ-spouse"/>
    <s v="?"/>
    <s v="Husband"/>
    <s v="White"/>
    <x v="1"/>
    <n v="0"/>
    <n v="0"/>
    <n v="20"/>
    <s v="United-States"/>
    <x v="0"/>
    <e v="#N/A"/>
    <n v="20"/>
  </r>
  <r>
    <s v="69"/>
    <n v="44"/>
    <s v="Private"/>
    <n v="248973"/>
    <x v="5"/>
    <n v="13"/>
    <s v="Divorced"/>
    <s v="Adm-clerical"/>
    <s v="Not-in-family"/>
    <s v="Black"/>
    <x v="1"/>
    <n v="0"/>
    <n v="0"/>
    <n v="65"/>
    <s v="United-States"/>
    <x v="0"/>
    <e v="#N/A"/>
    <n v="65"/>
  </r>
  <r>
    <s v="70"/>
    <n v="58"/>
    <s v="Local-gov"/>
    <n v="310085"/>
    <x v="8"/>
    <n v="6"/>
    <s v="Married-civ-spouse"/>
    <s v="Transport-moving"/>
    <s v="Husband"/>
    <s v="White"/>
    <x v="1"/>
    <n v="0"/>
    <n v="0"/>
    <n v="40"/>
    <s v="United-States"/>
    <x v="0"/>
    <e v="#N/A"/>
    <n v="40"/>
  </r>
  <r>
    <s v="71"/>
    <n v="73"/>
    <s v="Private"/>
    <n v="123160"/>
    <x v="8"/>
    <n v="6"/>
    <s v="Widowed"/>
    <s v="Other-service"/>
    <s v="Not-in-family"/>
    <s v="White"/>
    <x v="0"/>
    <n v="0"/>
    <n v="0"/>
    <n v="10"/>
    <s v="United-States"/>
    <x v="0"/>
    <n v="10"/>
    <e v="#N/A"/>
  </r>
  <r>
    <s v="72"/>
    <n v="36"/>
    <s v="Private"/>
    <n v="166988"/>
    <x v="5"/>
    <n v="13"/>
    <s v="Married-civ-spouse"/>
    <s v="Prof-specialty"/>
    <s v="Wife"/>
    <s v="White"/>
    <x v="0"/>
    <n v="0"/>
    <n v="0"/>
    <n v="40"/>
    <s v="United-States"/>
    <x v="1"/>
    <n v="40"/>
    <e v="#N/A"/>
  </r>
  <r>
    <s v="73"/>
    <n v="23"/>
    <s v="Self-emp-inc"/>
    <n v="214542"/>
    <x v="2"/>
    <n v="10"/>
    <s v="Never-married"/>
    <s v="Prof-specialty"/>
    <s v="Not-in-family"/>
    <s v="White"/>
    <x v="1"/>
    <n v="0"/>
    <n v="0"/>
    <n v="50"/>
    <s v="United-States"/>
    <x v="0"/>
    <e v="#N/A"/>
    <n v="50"/>
  </r>
  <r>
    <s v="74"/>
    <n v="59"/>
    <s v="Private"/>
    <n v="146391"/>
    <x v="9"/>
    <n v="11"/>
    <s v="Married-civ-spouse"/>
    <s v="Tech-support"/>
    <s v="Husband"/>
    <s v="White"/>
    <x v="1"/>
    <n v="7298"/>
    <n v="0"/>
    <n v="40"/>
    <s v="United-States"/>
    <x v="1"/>
    <e v="#N/A"/>
    <n v="40"/>
  </r>
  <r>
    <s v="75"/>
    <n v="24"/>
    <s v="Private"/>
    <n v="102493"/>
    <x v="6"/>
    <n v="9"/>
    <s v="Married-civ-spouse"/>
    <s v="Handlers-cleaners"/>
    <s v="Husband"/>
    <s v="White"/>
    <x v="1"/>
    <n v="0"/>
    <n v="0"/>
    <n v="40"/>
    <s v="United-States"/>
    <x v="0"/>
    <e v="#N/A"/>
    <n v="40"/>
  </r>
  <r>
    <s v="76"/>
    <n v="39"/>
    <s v="?"/>
    <n v="362685"/>
    <x v="11"/>
    <n v="1"/>
    <s v="Widowed"/>
    <s v="?"/>
    <s v="Not-in-family"/>
    <s v="White"/>
    <x v="0"/>
    <n v="0"/>
    <n v="0"/>
    <n v="20"/>
    <s v="El-Salvador"/>
    <x v="0"/>
    <n v="20"/>
    <e v="#N/A"/>
  </r>
  <r>
    <s v="77"/>
    <n v="43"/>
    <s v="Private"/>
    <n v="245842"/>
    <x v="6"/>
    <n v="9"/>
    <s v="Married-civ-spouse"/>
    <s v="Machine-op-inspct"/>
    <s v="Husband"/>
    <s v="White"/>
    <x v="1"/>
    <n v="0"/>
    <n v="0"/>
    <n v="44"/>
    <s v="Mexico"/>
    <x v="0"/>
    <e v="#N/A"/>
    <n v="44"/>
  </r>
  <r>
    <s v="78"/>
    <n v="51"/>
    <s v="Private"/>
    <n v="53197"/>
    <x v="6"/>
    <n v="9"/>
    <s v="Married-civ-spouse"/>
    <s v="Craft-repair"/>
    <s v="Husband"/>
    <s v="White"/>
    <x v="1"/>
    <n v="0"/>
    <n v="0"/>
    <n v="40"/>
    <s v="United-States"/>
    <x v="0"/>
    <e v="#N/A"/>
    <n v="40"/>
  </r>
  <r>
    <s v="79"/>
    <n v="70"/>
    <s v="Private"/>
    <n v="35494"/>
    <x v="6"/>
    <n v="9"/>
    <s v="Married-civ-spouse"/>
    <s v="Exec-managerial"/>
    <s v="Husband"/>
    <s v="White"/>
    <x v="1"/>
    <n v="0"/>
    <n v="0"/>
    <n v="30"/>
    <s v="United-States"/>
    <x v="0"/>
    <e v="#N/A"/>
    <n v="30"/>
  </r>
  <r>
    <s v="80"/>
    <n v="70"/>
    <s v="Private"/>
    <n v="121993"/>
    <x v="6"/>
    <n v="9"/>
    <s v="Married-civ-spouse"/>
    <s v="Adm-clerical"/>
    <s v="Wife"/>
    <s v="White"/>
    <x v="0"/>
    <n v="0"/>
    <n v="0"/>
    <n v="5"/>
    <s v="United-States"/>
    <x v="0"/>
    <n v="5"/>
    <e v="#N/A"/>
  </r>
  <r>
    <s v="81"/>
    <n v="28"/>
    <s v="Local-gov"/>
    <n v="154863"/>
    <x v="6"/>
    <n v="9"/>
    <s v="Never-married"/>
    <s v="Protective-serv"/>
    <s v="Other-relative"/>
    <s v="Black"/>
    <x v="1"/>
    <n v="0"/>
    <n v="1876"/>
    <n v="40"/>
    <s v="United-States"/>
    <x v="0"/>
    <e v="#N/A"/>
    <n v="40"/>
  </r>
  <r>
    <s v="82"/>
    <n v="19"/>
    <s v="Private"/>
    <n v="38619"/>
    <x v="2"/>
    <n v="10"/>
    <s v="Never-married"/>
    <s v="Farming-fishing"/>
    <s v="Own-child"/>
    <s v="White"/>
    <x v="1"/>
    <n v="0"/>
    <n v="0"/>
    <n v="66"/>
    <s v="United-States"/>
    <x v="0"/>
    <e v="#N/A"/>
    <n v="66"/>
  </r>
  <r>
    <s v="83"/>
    <n v="51"/>
    <s v="Private"/>
    <n v="186338"/>
    <x v="6"/>
    <n v="9"/>
    <s v="Married-civ-spouse"/>
    <s v="Craft-repair"/>
    <s v="Husband"/>
    <s v="White"/>
    <x v="1"/>
    <n v="0"/>
    <n v="0"/>
    <n v="40"/>
    <s v="United-States"/>
    <x v="1"/>
    <e v="#N/A"/>
    <n v="40"/>
  </r>
  <r>
    <s v="84"/>
    <n v="47"/>
    <s v="Private"/>
    <n v="76612"/>
    <x v="6"/>
    <n v="9"/>
    <s v="Married-civ-spouse"/>
    <s v="Prof-specialty"/>
    <s v="Husband"/>
    <s v="White"/>
    <x v="1"/>
    <n v="0"/>
    <n v="0"/>
    <n v="50"/>
    <s v="United-States"/>
    <x v="0"/>
    <e v="#N/A"/>
    <n v="50"/>
  </r>
  <r>
    <s v="85"/>
    <n v="28"/>
    <s v="Private"/>
    <n v="210867"/>
    <x v="0"/>
    <n v="7"/>
    <s v="Divorced"/>
    <s v="Sales"/>
    <s v="Own-child"/>
    <s v="White"/>
    <x v="1"/>
    <n v="0"/>
    <n v="0"/>
    <n v="40"/>
    <s v="United-States"/>
    <x v="0"/>
    <e v="#N/A"/>
    <n v="40"/>
  </r>
  <r>
    <s v="86"/>
    <n v="41"/>
    <s v="Local-gov"/>
    <n v="52037"/>
    <x v="2"/>
    <n v="10"/>
    <s v="Divorced"/>
    <s v="Adm-clerical"/>
    <s v="Unmarried"/>
    <s v="White"/>
    <x v="0"/>
    <n v="0"/>
    <n v="0"/>
    <n v="40"/>
    <s v="United-States"/>
    <x v="0"/>
    <n v="40"/>
    <e v="#N/A"/>
  </r>
  <r>
    <s v="87"/>
    <n v="31"/>
    <s v="Private"/>
    <n v="45604"/>
    <x v="6"/>
    <n v="9"/>
    <s v="Married-civ-spouse"/>
    <s v="Exec-managerial"/>
    <s v="Husband"/>
    <s v="White"/>
    <x v="1"/>
    <n v="0"/>
    <n v="0"/>
    <n v="54"/>
    <s v="United-States"/>
    <x v="0"/>
    <e v="#N/A"/>
    <n v="54"/>
  </r>
  <r>
    <s v="88"/>
    <n v="38"/>
    <s v="State-gov"/>
    <n v="31352"/>
    <x v="2"/>
    <n v="10"/>
    <s v="Divorced"/>
    <s v="Protective-serv"/>
    <s v="Unmarried"/>
    <s v="Amer-Indian-Eskimo"/>
    <x v="0"/>
    <n v="0"/>
    <n v="0"/>
    <n v="40"/>
    <s v="United-States"/>
    <x v="1"/>
    <n v="40"/>
    <e v="#N/A"/>
  </r>
  <r>
    <s v="89"/>
    <n v="21"/>
    <s v="Private"/>
    <n v="452640"/>
    <x v="6"/>
    <n v="9"/>
    <s v="Never-married"/>
    <s v="Craft-repair"/>
    <s v="Not-in-family"/>
    <s v="White"/>
    <x v="1"/>
    <n v="0"/>
    <n v="0"/>
    <n v="40"/>
    <s v="United-States"/>
    <x v="0"/>
    <e v="#N/A"/>
    <n v="40"/>
  </r>
  <r>
    <s v="90"/>
    <n v="44"/>
    <s v="Private"/>
    <n v="111483"/>
    <x v="6"/>
    <n v="9"/>
    <s v="Never-married"/>
    <s v="Adm-clerical"/>
    <s v="Own-child"/>
    <s v="White"/>
    <x v="1"/>
    <n v="0"/>
    <n v="1504"/>
    <n v="50"/>
    <s v="United-States"/>
    <x v="0"/>
    <e v="#N/A"/>
    <n v="50"/>
  </r>
  <r>
    <s v="91"/>
    <n v="29"/>
    <s v="Private"/>
    <n v="52636"/>
    <x v="6"/>
    <n v="9"/>
    <s v="Married-civ-spouse"/>
    <s v="Transport-moving"/>
    <s v="Husband"/>
    <s v="White"/>
    <x v="1"/>
    <n v="0"/>
    <n v="0"/>
    <n v="40"/>
    <s v="United-States"/>
    <x v="0"/>
    <e v="#N/A"/>
    <n v="40"/>
  </r>
  <r>
    <s v="92"/>
    <n v="25"/>
    <s v="Private"/>
    <n v="267012"/>
    <x v="9"/>
    <n v="11"/>
    <s v="Never-married"/>
    <s v="Sales"/>
    <s v="Not-in-family"/>
    <s v="White"/>
    <x v="1"/>
    <n v="0"/>
    <n v="0"/>
    <n v="45"/>
    <s v="United-States"/>
    <x v="0"/>
    <e v="#N/A"/>
    <n v="45"/>
  </r>
  <r>
    <s v="93"/>
    <n v="20"/>
    <s v="?"/>
    <n v="24395"/>
    <x v="2"/>
    <n v="10"/>
    <s v="Never-married"/>
    <s v="?"/>
    <s v="Unmarried"/>
    <s v="White"/>
    <x v="0"/>
    <n v="0"/>
    <n v="0"/>
    <n v="20"/>
    <s v="United-States"/>
    <x v="0"/>
    <n v="20"/>
    <e v="#N/A"/>
  </r>
  <r>
    <s v="94"/>
    <n v="43"/>
    <s v="Private"/>
    <n v="191149"/>
    <x v="6"/>
    <n v="9"/>
    <s v="Divorced"/>
    <s v="Exec-managerial"/>
    <s v="Not-in-family"/>
    <s v="White"/>
    <x v="0"/>
    <n v="0"/>
    <n v="0"/>
    <n v="40"/>
    <s v="United-States"/>
    <x v="0"/>
    <n v="40"/>
    <e v="#N/A"/>
  </r>
  <r>
    <s v="95"/>
    <n v="27"/>
    <s v="Federal-gov"/>
    <n v="285432"/>
    <x v="1"/>
    <n v="12"/>
    <s v="Never-married"/>
    <s v="Transport-moving"/>
    <s v="Not-in-family"/>
    <s v="Black"/>
    <x v="1"/>
    <n v="0"/>
    <n v="0"/>
    <n v="40"/>
    <s v="United-States"/>
    <x v="0"/>
    <e v="#N/A"/>
    <n v="40"/>
  </r>
  <r>
    <s v="96"/>
    <n v="32"/>
    <s v="Federal-gov"/>
    <n v="125856"/>
    <x v="6"/>
    <n v="9"/>
    <s v="Divorced"/>
    <s v="Craft-repair"/>
    <s v="Unmarried"/>
    <s v="White"/>
    <x v="1"/>
    <n v="0"/>
    <n v="0"/>
    <n v="40"/>
    <s v="United-States"/>
    <x v="0"/>
    <e v="#N/A"/>
    <n v="40"/>
  </r>
  <r>
    <s v="97"/>
    <n v="29"/>
    <s v="Private"/>
    <n v="114224"/>
    <x v="5"/>
    <n v="13"/>
    <s v="Married-civ-spouse"/>
    <s v="Prof-specialty"/>
    <s v="Husband"/>
    <s v="White"/>
    <x v="1"/>
    <n v="0"/>
    <n v="0"/>
    <n v="40"/>
    <s v="United-States"/>
    <x v="1"/>
    <e v="#N/A"/>
    <n v="40"/>
  </r>
  <r>
    <s v="98"/>
    <n v="34"/>
    <s v="Self-emp-inc"/>
    <n v="207668"/>
    <x v="6"/>
    <n v="9"/>
    <s v="Married-civ-spouse"/>
    <s v="Craft-repair"/>
    <s v="Husband"/>
    <s v="White"/>
    <x v="1"/>
    <n v="0"/>
    <n v="0"/>
    <n v="54"/>
    <s v="?"/>
    <x v="1"/>
    <e v="#N/A"/>
    <n v="54"/>
  </r>
  <r>
    <s v="99"/>
    <n v="42"/>
    <s v="Self-emp-not-inc"/>
    <n v="174216"/>
    <x v="10"/>
    <n v="15"/>
    <s v="Married-civ-spouse"/>
    <s v="Prof-specialty"/>
    <s v="Husband"/>
    <s v="White"/>
    <x v="1"/>
    <n v="0"/>
    <n v="0"/>
    <n v="38"/>
    <s v="United-States"/>
    <x v="1"/>
    <e v="#N/A"/>
    <n v="38"/>
  </r>
  <r>
    <s v="100"/>
    <n v="39"/>
    <s v="Private"/>
    <n v="172538"/>
    <x v="6"/>
    <n v="9"/>
    <s v="Married-civ-spouse"/>
    <s v="Prof-specialty"/>
    <s v="Husband"/>
    <s v="White"/>
    <x v="1"/>
    <n v="0"/>
    <n v="0"/>
    <n v="50"/>
    <s v="United-States"/>
    <x v="1"/>
    <e v="#N/A"/>
    <n v="50"/>
  </r>
  <r>
    <s v="101"/>
    <n v="42"/>
    <s v="State-gov"/>
    <n v="55764"/>
    <x v="1"/>
    <n v="12"/>
    <s v="Divorced"/>
    <s v="Prof-specialty"/>
    <s v="Not-in-family"/>
    <s v="Black"/>
    <x v="1"/>
    <n v="0"/>
    <n v="0"/>
    <n v="40"/>
    <s v="United-States"/>
    <x v="0"/>
    <e v="#N/A"/>
    <n v="40"/>
  </r>
  <r>
    <s v="102"/>
    <n v="25"/>
    <s v="Private"/>
    <n v="252752"/>
    <x v="2"/>
    <n v="10"/>
    <s v="Never-married"/>
    <s v="Prof-specialty"/>
    <s v="Not-in-family"/>
    <s v="White"/>
    <x v="0"/>
    <n v="0"/>
    <n v="0"/>
    <n v="8"/>
    <s v="United-States"/>
    <x v="0"/>
    <n v="8"/>
    <e v="#N/A"/>
  </r>
  <r>
    <s v="103"/>
    <n v="52"/>
    <s v="Private"/>
    <n v="270142"/>
    <x v="9"/>
    <n v="11"/>
    <s v="Separated"/>
    <s v="Exec-managerial"/>
    <s v="Unmarried"/>
    <s v="Black"/>
    <x v="0"/>
    <n v="0"/>
    <n v="0"/>
    <n v="60"/>
    <s v="United-States"/>
    <x v="0"/>
    <n v="60"/>
    <e v="#N/A"/>
  </r>
  <r>
    <s v="104"/>
    <n v="26"/>
    <s v="Private"/>
    <n v="132661"/>
    <x v="6"/>
    <n v="9"/>
    <s v="Married-civ-spouse"/>
    <s v="Exec-managerial"/>
    <s v="Wife"/>
    <s v="White"/>
    <x v="0"/>
    <n v="5013"/>
    <n v="0"/>
    <n v="40"/>
    <s v="United-States"/>
    <x v="0"/>
    <n v="40"/>
    <e v="#N/A"/>
  </r>
  <r>
    <s v="105"/>
    <n v="57"/>
    <s v="Local-gov"/>
    <n v="44273"/>
    <x v="6"/>
    <n v="9"/>
    <s v="Widowed"/>
    <s v="Transport-moving"/>
    <s v="Not-in-family"/>
    <s v="White"/>
    <x v="0"/>
    <n v="0"/>
    <n v="0"/>
    <n v="40"/>
    <s v="United-States"/>
    <x v="0"/>
    <n v="40"/>
    <e v="#N/A"/>
  </r>
  <r>
    <s v="106"/>
    <n v="28"/>
    <s v="Private"/>
    <n v="56179"/>
    <x v="2"/>
    <n v="10"/>
    <s v="Never-married"/>
    <s v="Exec-managerial"/>
    <s v="Not-in-family"/>
    <s v="White"/>
    <x v="1"/>
    <n v="2174"/>
    <n v="0"/>
    <n v="55"/>
    <s v="United-States"/>
    <x v="0"/>
    <e v="#N/A"/>
    <n v="55"/>
  </r>
  <r>
    <s v="107"/>
    <n v="28"/>
    <s v="Private"/>
    <n v="149734"/>
    <x v="6"/>
    <n v="9"/>
    <s v="Never-married"/>
    <s v="Other-service"/>
    <s v="Unmarried"/>
    <s v="Black"/>
    <x v="0"/>
    <n v="0"/>
    <n v="0"/>
    <n v="52"/>
    <s v="United-States"/>
    <x v="0"/>
    <n v="52"/>
    <e v="#N/A"/>
  </r>
  <r>
    <s v="108"/>
    <n v="59"/>
    <s v="Private"/>
    <n v="194290"/>
    <x v="6"/>
    <n v="9"/>
    <s v="Married-civ-spouse"/>
    <s v="Farming-fishing"/>
    <s v="Husband"/>
    <s v="White"/>
    <x v="1"/>
    <n v="0"/>
    <n v="0"/>
    <n v="48"/>
    <s v="United-States"/>
    <x v="0"/>
    <e v="#N/A"/>
    <n v="48"/>
  </r>
  <r>
    <s v="109"/>
    <n v="61"/>
    <s v="?"/>
    <n v="226989"/>
    <x v="2"/>
    <n v="10"/>
    <s v="Married-spouse-absent"/>
    <s v="?"/>
    <s v="Not-in-family"/>
    <s v="White"/>
    <x v="1"/>
    <n v="0"/>
    <n v="0"/>
    <n v="40"/>
    <s v="United-States"/>
    <x v="0"/>
    <e v="#N/A"/>
    <n v="40"/>
  </r>
  <r>
    <s v="110"/>
    <n v="21"/>
    <s v="Private"/>
    <n v="146499"/>
    <x v="9"/>
    <n v="11"/>
    <s v="Married-civ-spouse"/>
    <s v="Adm-clerical"/>
    <s v="Other-relative"/>
    <s v="White"/>
    <x v="0"/>
    <n v="0"/>
    <n v="1579"/>
    <n v="40"/>
    <s v="United-States"/>
    <x v="0"/>
    <n v="40"/>
    <e v="#N/A"/>
  </r>
  <r>
    <s v="111"/>
    <n v="19"/>
    <s v="Self-emp-not-inc"/>
    <n v="30800"/>
    <x v="8"/>
    <n v="6"/>
    <s v="Married-spouse-absent"/>
    <s v="Adm-clerical"/>
    <s v="Unmarried"/>
    <s v="Amer-Indian-Eskimo"/>
    <x v="0"/>
    <n v="0"/>
    <n v="0"/>
    <n v="40"/>
    <s v="United-States"/>
    <x v="0"/>
    <n v="40"/>
    <e v="#N/A"/>
  </r>
  <r>
    <s v="112"/>
    <n v="28"/>
    <s v="Private"/>
    <n v="96337"/>
    <x v="2"/>
    <n v="10"/>
    <s v="Never-married"/>
    <s v="Adm-clerical"/>
    <s v="Not-in-family"/>
    <s v="White"/>
    <x v="0"/>
    <n v="0"/>
    <n v="0"/>
    <n v="40"/>
    <s v="United-States"/>
    <x v="0"/>
    <n v="40"/>
    <e v="#N/A"/>
  </r>
  <r>
    <s v="113"/>
    <n v="39"/>
    <s v="Local-gov"/>
    <n v="139364"/>
    <x v="5"/>
    <n v="13"/>
    <s v="Married-civ-spouse"/>
    <s v="Prof-specialty"/>
    <s v="Husband"/>
    <s v="White"/>
    <x v="1"/>
    <n v="0"/>
    <n v="0"/>
    <n v="35"/>
    <s v="United-States"/>
    <x v="1"/>
    <e v="#N/A"/>
    <n v="35"/>
  </r>
  <r>
    <s v="114"/>
    <n v="64"/>
    <s v="?"/>
    <n v="286732"/>
    <x v="12"/>
    <n v="4"/>
    <s v="Widowed"/>
    <s v="?"/>
    <s v="Not-in-family"/>
    <s v="White"/>
    <x v="0"/>
    <n v="0"/>
    <n v="0"/>
    <n v="40"/>
    <s v="United-States"/>
    <x v="0"/>
    <n v="40"/>
    <e v="#N/A"/>
  </r>
  <r>
    <s v="115"/>
    <n v="28"/>
    <s v="Private"/>
    <n v="308709"/>
    <x v="5"/>
    <n v="13"/>
    <s v="Never-married"/>
    <s v="Sales"/>
    <s v="Not-in-family"/>
    <s v="White"/>
    <x v="0"/>
    <n v="0"/>
    <n v="0"/>
    <n v="48"/>
    <s v="United-States"/>
    <x v="0"/>
    <n v="48"/>
    <e v="#N/A"/>
  </r>
  <r>
    <s v="116"/>
    <n v="42"/>
    <s v="Private"/>
    <n v="236110"/>
    <x v="3"/>
    <n v="3"/>
    <s v="Married-spouse-absent"/>
    <s v="Craft-repair"/>
    <s v="Not-in-family"/>
    <s v="White"/>
    <x v="1"/>
    <n v="0"/>
    <n v="0"/>
    <n v="40"/>
    <s v="Puerto-Rico"/>
    <x v="0"/>
    <e v="#N/A"/>
    <n v="40"/>
  </r>
  <r>
    <s v="117"/>
    <n v="35"/>
    <s v="Private"/>
    <n v="112271"/>
    <x v="7"/>
    <n v="14"/>
    <s v="Married-civ-spouse"/>
    <s v="Adm-clerical"/>
    <s v="Husband"/>
    <s v="White"/>
    <x v="1"/>
    <n v="0"/>
    <n v="0"/>
    <n v="40"/>
    <s v="United-States"/>
    <x v="0"/>
    <e v="#N/A"/>
    <n v="40"/>
  </r>
  <r>
    <s v="118"/>
    <n v="23"/>
    <s v="Private"/>
    <n v="224954"/>
    <x v="2"/>
    <n v="10"/>
    <s v="Never-married"/>
    <s v="Machine-op-inspct"/>
    <s v="Own-child"/>
    <s v="White"/>
    <x v="1"/>
    <n v="0"/>
    <n v="0"/>
    <n v="25"/>
    <s v="United-States"/>
    <x v="0"/>
    <e v="#N/A"/>
    <n v="25"/>
  </r>
  <r>
    <s v="119"/>
    <n v="63"/>
    <s v="Private"/>
    <n v="68872"/>
    <x v="6"/>
    <n v="9"/>
    <s v="Married-civ-spouse"/>
    <s v="Transport-moving"/>
    <s v="Wife"/>
    <s v="Asian-Pac-Islander"/>
    <x v="0"/>
    <n v="0"/>
    <n v="0"/>
    <n v="20"/>
    <s v="United-States"/>
    <x v="0"/>
    <n v="20"/>
    <e v="#N/A"/>
  </r>
  <r>
    <s v="120"/>
    <n v="53"/>
    <s v="Private"/>
    <n v="152373"/>
    <x v="2"/>
    <n v="10"/>
    <s v="Divorced"/>
    <s v="Craft-repair"/>
    <s v="Not-in-family"/>
    <s v="White"/>
    <x v="1"/>
    <n v="0"/>
    <n v="0"/>
    <n v="48"/>
    <s v="United-States"/>
    <x v="1"/>
    <e v="#N/A"/>
    <n v="48"/>
  </r>
  <r>
    <s v="121"/>
    <n v="56"/>
    <s v="Self-emp-not-inc"/>
    <n v="258752"/>
    <x v="5"/>
    <n v="13"/>
    <s v="Married-civ-spouse"/>
    <s v="Exec-managerial"/>
    <s v="Husband"/>
    <s v="White"/>
    <x v="1"/>
    <n v="0"/>
    <n v="0"/>
    <n v="60"/>
    <s v="United-States"/>
    <x v="0"/>
    <e v="#N/A"/>
    <n v="60"/>
  </r>
  <r>
    <s v="122"/>
    <n v="49"/>
    <s v="Private"/>
    <n v="115784"/>
    <x v="6"/>
    <n v="9"/>
    <s v="Married-civ-spouse"/>
    <s v="Machine-op-inspct"/>
    <s v="Husband"/>
    <s v="White"/>
    <x v="1"/>
    <n v="0"/>
    <n v="0"/>
    <n v="40"/>
    <s v="United-States"/>
    <x v="0"/>
    <e v="#N/A"/>
    <n v="40"/>
  </r>
  <r>
    <s v="123"/>
    <n v="47"/>
    <s v="Private"/>
    <n v="80924"/>
    <x v="2"/>
    <n v="10"/>
    <s v="Widowed"/>
    <s v="Other-service"/>
    <s v="Not-in-family"/>
    <s v="White"/>
    <x v="0"/>
    <n v="0"/>
    <n v="0"/>
    <n v="35"/>
    <s v="United-States"/>
    <x v="0"/>
    <n v="35"/>
    <e v="#N/A"/>
  </r>
  <r>
    <s v="124"/>
    <n v="22"/>
    <s v="Private"/>
    <n v="203240"/>
    <x v="8"/>
    <n v="6"/>
    <s v="Never-married"/>
    <s v="Adm-clerical"/>
    <s v="Not-in-family"/>
    <s v="White"/>
    <x v="0"/>
    <n v="0"/>
    <n v="0"/>
    <n v="40"/>
    <s v="United-States"/>
    <x v="0"/>
    <n v="40"/>
    <e v="#N/A"/>
  </r>
  <r>
    <s v="125"/>
    <n v="20"/>
    <s v="Private"/>
    <n v="105312"/>
    <x v="2"/>
    <n v="10"/>
    <s v="Never-married"/>
    <s v="Sales"/>
    <s v="Own-child"/>
    <s v="White"/>
    <x v="0"/>
    <n v="0"/>
    <n v="0"/>
    <n v="18"/>
    <s v="United-States"/>
    <x v="0"/>
    <n v="18"/>
    <e v="#N/A"/>
  </r>
  <r>
    <s v="126"/>
    <n v="18"/>
    <s v="Private"/>
    <n v="71792"/>
    <x v="6"/>
    <n v="9"/>
    <s v="Never-married"/>
    <s v="Sales"/>
    <s v="Own-child"/>
    <s v="Asian-Pac-Islander"/>
    <x v="0"/>
    <n v="0"/>
    <n v="0"/>
    <n v="40"/>
    <s v="United-States"/>
    <x v="0"/>
    <n v="40"/>
    <e v="#N/A"/>
  </r>
  <r>
    <s v="127"/>
    <n v="31"/>
    <s v="Private"/>
    <n v="114324"/>
    <x v="9"/>
    <n v="11"/>
    <s v="Never-married"/>
    <s v="Other-service"/>
    <s v="Not-in-family"/>
    <s v="Black"/>
    <x v="0"/>
    <n v="0"/>
    <n v="0"/>
    <n v="40"/>
    <s v="United-States"/>
    <x v="0"/>
    <n v="40"/>
    <e v="#N/A"/>
  </r>
  <r>
    <s v="128"/>
    <n v="51"/>
    <s v="Private"/>
    <n v="30008"/>
    <x v="6"/>
    <n v="9"/>
    <s v="Married-civ-spouse"/>
    <s v="Transport-moving"/>
    <s v="Husband"/>
    <s v="White"/>
    <x v="1"/>
    <n v="0"/>
    <n v="0"/>
    <n v="60"/>
    <s v="United-States"/>
    <x v="0"/>
    <e v="#N/A"/>
    <n v="60"/>
  </r>
  <r>
    <s v="129"/>
    <n v="90"/>
    <s v="Self-emp-not-inc"/>
    <n v="155981"/>
    <x v="5"/>
    <n v="13"/>
    <s v="Married-civ-spouse"/>
    <s v="Prof-specialty"/>
    <s v="Husband"/>
    <s v="White"/>
    <x v="1"/>
    <n v="10566"/>
    <n v="0"/>
    <n v="50"/>
    <s v="United-States"/>
    <x v="0"/>
    <e v="#N/A"/>
    <n v="50"/>
  </r>
  <r>
    <s v="130"/>
    <n v="26"/>
    <s v="Private"/>
    <n v="133373"/>
    <x v="2"/>
    <n v="10"/>
    <s v="Never-married"/>
    <s v="Sales"/>
    <s v="Own-child"/>
    <s v="White"/>
    <x v="1"/>
    <n v="0"/>
    <n v="0"/>
    <n v="42"/>
    <s v="United-States"/>
    <x v="0"/>
    <e v="#N/A"/>
    <n v="42"/>
  </r>
  <r>
    <s v="131"/>
    <n v="51"/>
    <s v="Self-emp-not-inc"/>
    <n v="256963"/>
    <x v="2"/>
    <n v="10"/>
    <s v="Married-civ-spouse"/>
    <s v="Sales"/>
    <s v="Husband"/>
    <s v="White"/>
    <x v="1"/>
    <n v="0"/>
    <n v="0"/>
    <n v="60"/>
    <s v="United-States"/>
    <x v="0"/>
    <e v="#N/A"/>
    <n v="60"/>
  </r>
  <r>
    <s v="132"/>
    <n v="34"/>
    <s v="Local-gov"/>
    <n v="167063"/>
    <x v="6"/>
    <n v="9"/>
    <s v="Never-married"/>
    <s v="Protective-serv"/>
    <s v="Own-child"/>
    <s v="White"/>
    <x v="1"/>
    <n v="0"/>
    <n v="0"/>
    <n v="40"/>
    <s v="United-States"/>
    <x v="0"/>
    <e v="#N/A"/>
    <n v="40"/>
  </r>
  <r>
    <s v="133"/>
    <n v="48"/>
    <s v="Self-emp-inc"/>
    <n v="155664"/>
    <x v="10"/>
    <n v="15"/>
    <s v="Married-civ-spouse"/>
    <s v="Prof-specialty"/>
    <s v="Husband"/>
    <s v="White"/>
    <x v="1"/>
    <n v="0"/>
    <n v="0"/>
    <n v="60"/>
    <s v="United-States"/>
    <x v="1"/>
    <e v="#N/A"/>
    <n v="60"/>
  </r>
  <r>
    <s v="134"/>
    <n v="64"/>
    <s v="Private"/>
    <n v="149044"/>
    <x v="7"/>
    <n v="14"/>
    <s v="Married-civ-spouse"/>
    <s v="Prof-specialty"/>
    <s v="Husband"/>
    <s v="Asian-Pac-Islander"/>
    <x v="1"/>
    <n v="0"/>
    <n v="2057"/>
    <n v="60"/>
    <s v="China"/>
    <x v="0"/>
    <e v="#N/A"/>
    <n v="60"/>
  </r>
  <r>
    <s v="135"/>
    <n v="33"/>
    <s v="Private"/>
    <n v="67072"/>
    <x v="6"/>
    <n v="9"/>
    <s v="Married-civ-spouse"/>
    <s v="Sales"/>
    <s v="Husband"/>
    <s v="White"/>
    <x v="1"/>
    <n v="0"/>
    <n v="0"/>
    <n v="50"/>
    <s v="United-States"/>
    <x v="1"/>
    <e v="#N/A"/>
    <n v="50"/>
  </r>
  <r>
    <s v="136"/>
    <n v="20"/>
    <s v="Private"/>
    <n v="115824"/>
    <x v="0"/>
    <n v="7"/>
    <s v="Married-civ-spouse"/>
    <s v="Handlers-cleaners"/>
    <s v="Husband"/>
    <s v="White"/>
    <x v="1"/>
    <n v="0"/>
    <n v="1573"/>
    <n v="40"/>
    <s v="United-States"/>
    <x v="0"/>
    <e v="#N/A"/>
    <n v="40"/>
  </r>
  <r>
    <s v="137"/>
    <n v="37"/>
    <s v="State-gov"/>
    <n v="191779"/>
    <x v="2"/>
    <n v="10"/>
    <s v="Married-civ-spouse"/>
    <s v="Craft-repair"/>
    <s v="Husband"/>
    <s v="White"/>
    <x v="1"/>
    <n v="0"/>
    <n v="0"/>
    <n v="40"/>
    <s v="United-States"/>
    <x v="0"/>
    <e v="#N/A"/>
    <n v="40"/>
  </r>
  <r>
    <s v="138"/>
    <n v="23"/>
    <s v="Private"/>
    <n v="33105"/>
    <x v="2"/>
    <n v="10"/>
    <s v="Never-married"/>
    <s v="Handlers-cleaners"/>
    <s v="Own-child"/>
    <s v="Amer-Indian-Eskimo"/>
    <x v="1"/>
    <n v="0"/>
    <n v="0"/>
    <n v="40"/>
    <s v="United-States"/>
    <x v="0"/>
    <e v="#N/A"/>
    <n v="40"/>
  </r>
  <r>
    <s v="139"/>
    <n v="30"/>
    <s v="?"/>
    <n v="203834"/>
    <x v="5"/>
    <n v="13"/>
    <s v="Never-married"/>
    <s v="?"/>
    <s v="Not-in-family"/>
    <s v="Asian-Pac-Islander"/>
    <x v="0"/>
    <n v="0"/>
    <n v="0"/>
    <n v="50"/>
    <s v="Taiwan"/>
    <x v="0"/>
    <n v="50"/>
    <e v="#N/A"/>
  </r>
  <r>
    <s v="140"/>
    <n v="45"/>
    <s v="Private"/>
    <n v="110171"/>
    <x v="6"/>
    <n v="9"/>
    <s v="Never-married"/>
    <s v="Handlers-cleaners"/>
    <s v="Not-in-family"/>
    <s v="White"/>
    <x v="1"/>
    <n v="0"/>
    <n v="0"/>
    <n v="40"/>
    <s v="United-States"/>
    <x v="0"/>
    <e v="#N/A"/>
    <n v="40"/>
  </r>
  <r>
    <s v="141"/>
    <n v="41"/>
    <s v="Private"/>
    <n v="166813"/>
    <x v="2"/>
    <n v="10"/>
    <s v="Married-civ-spouse"/>
    <s v="Sales"/>
    <s v="Husband"/>
    <s v="White"/>
    <x v="1"/>
    <n v="0"/>
    <n v="0"/>
    <n v="55"/>
    <s v="United-States"/>
    <x v="0"/>
    <e v="#N/A"/>
    <n v="55"/>
  </r>
  <r>
    <s v="142"/>
    <n v="32"/>
    <s v="Private"/>
    <n v="32732"/>
    <x v="6"/>
    <n v="9"/>
    <s v="Married-civ-spouse"/>
    <s v="Prof-specialty"/>
    <s v="Husband"/>
    <s v="White"/>
    <x v="1"/>
    <n v="0"/>
    <n v="0"/>
    <n v="50"/>
    <s v="United-States"/>
    <x v="0"/>
    <e v="#N/A"/>
    <n v="50"/>
  </r>
  <r>
    <s v="143"/>
    <n v="39"/>
    <s v="Private"/>
    <n v="269722"/>
    <x v="5"/>
    <n v="13"/>
    <s v="Married-civ-spouse"/>
    <s v="Exec-managerial"/>
    <s v="Husband"/>
    <s v="White"/>
    <x v="1"/>
    <n v="0"/>
    <n v="0"/>
    <n v="70"/>
    <s v="United-States"/>
    <x v="0"/>
    <e v="#N/A"/>
    <n v="70"/>
  </r>
  <r>
    <s v="144"/>
    <n v="45"/>
    <s v="Private"/>
    <n v="327886"/>
    <x v="10"/>
    <n v="15"/>
    <s v="Never-married"/>
    <s v="Prof-specialty"/>
    <s v="Not-in-family"/>
    <s v="White"/>
    <x v="1"/>
    <n v="0"/>
    <n v="0"/>
    <n v="40"/>
    <s v="United-States"/>
    <x v="1"/>
    <e v="#N/A"/>
    <n v="40"/>
  </r>
  <r>
    <s v="145"/>
    <n v="46"/>
    <s v="Private"/>
    <n v="28419"/>
    <x v="9"/>
    <n v="11"/>
    <s v="Never-married"/>
    <s v="Transport-moving"/>
    <s v="Not-in-family"/>
    <s v="White"/>
    <x v="1"/>
    <n v="0"/>
    <n v="0"/>
    <n v="50"/>
    <s v="United-States"/>
    <x v="0"/>
    <e v="#N/A"/>
    <n v="50"/>
  </r>
  <r>
    <s v="146"/>
    <n v="34"/>
    <s v="Private"/>
    <n v="213722"/>
    <x v="6"/>
    <n v="9"/>
    <s v="Never-married"/>
    <s v="Handlers-cleaners"/>
    <s v="Own-child"/>
    <s v="White"/>
    <x v="1"/>
    <n v="0"/>
    <n v="0"/>
    <n v="40"/>
    <s v="United-States"/>
    <x v="0"/>
    <e v="#N/A"/>
    <n v="40"/>
  </r>
  <r>
    <s v="147"/>
    <n v="54"/>
    <s v="Private"/>
    <n v="94055"/>
    <x v="5"/>
    <n v="13"/>
    <s v="Married-civ-spouse"/>
    <s v="Other-service"/>
    <s v="Husband"/>
    <s v="White"/>
    <x v="1"/>
    <n v="0"/>
    <n v="0"/>
    <n v="40"/>
    <s v="United-States"/>
    <x v="0"/>
    <e v="#N/A"/>
    <n v="40"/>
  </r>
  <r>
    <s v="148"/>
    <n v="64"/>
    <s v="Local-gov"/>
    <n v="202984"/>
    <x v="6"/>
    <n v="9"/>
    <s v="Married-civ-spouse"/>
    <s v="Craft-repair"/>
    <s v="Husband"/>
    <s v="White"/>
    <x v="1"/>
    <n v="3137"/>
    <n v="0"/>
    <n v="40"/>
    <s v="United-States"/>
    <x v="0"/>
    <e v="#N/A"/>
    <n v="40"/>
  </r>
  <r>
    <s v="149"/>
    <n v="36"/>
    <s v="Private"/>
    <n v="128382"/>
    <x v="2"/>
    <n v="10"/>
    <s v="Never-married"/>
    <s v="Machine-op-inspct"/>
    <s v="Unmarried"/>
    <s v="White"/>
    <x v="1"/>
    <n v="0"/>
    <n v="0"/>
    <n v="45"/>
    <s v="United-States"/>
    <x v="0"/>
    <e v="#N/A"/>
    <n v="45"/>
  </r>
  <r>
    <s v="150"/>
    <n v="38"/>
    <s v="Private"/>
    <n v="193026"/>
    <x v="6"/>
    <n v="9"/>
    <s v="Never-married"/>
    <s v="Other-service"/>
    <s v="Unmarried"/>
    <s v="White"/>
    <x v="1"/>
    <n v="0"/>
    <n v="1408"/>
    <n v="40"/>
    <s v="?"/>
    <x v="0"/>
    <e v="#N/A"/>
    <n v="40"/>
  </r>
  <r>
    <s v="151"/>
    <n v="62"/>
    <s v="?"/>
    <n v="225657"/>
    <x v="6"/>
    <n v="9"/>
    <s v="Married-civ-spouse"/>
    <s v="?"/>
    <s v="Husband"/>
    <s v="White"/>
    <x v="1"/>
    <n v="0"/>
    <n v="0"/>
    <n v="24"/>
    <s v="United-States"/>
    <x v="0"/>
    <e v="#N/A"/>
    <n v="24"/>
  </r>
  <r>
    <s v="152"/>
    <n v="56"/>
    <s v="Private"/>
    <n v="85018"/>
    <x v="6"/>
    <n v="9"/>
    <s v="Never-married"/>
    <s v="Adm-clerical"/>
    <s v="Not-in-family"/>
    <s v="White"/>
    <x v="0"/>
    <n v="0"/>
    <n v="0"/>
    <n v="40"/>
    <s v="United-States"/>
    <x v="0"/>
    <n v="40"/>
    <e v="#N/A"/>
  </r>
  <r>
    <s v="153"/>
    <n v="26"/>
    <s v="Private"/>
    <n v="224361"/>
    <x v="6"/>
    <n v="9"/>
    <s v="Never-married"/>
    <s v="Exec-managerial"/>
    <s v="Not-in-family"/>
    <s v="White"/>
    <x v="1"/>
    <n v="0"/>
    <n v="0"/>
    <n v="40"/>
    <s v="United-States"/>
    <x v="0"/>
    <e v="#N/A"/>
    <n v="40"/>
  </r>
  <r>
    <s v="154"/>
    <n v="63"/>
    <s v="Private"/>
    <n v="118798"/>
    <x v="6"/>
    <n v="9"/>
    <s v="Married-civ-spouse"/>
    <s v="Craft-repair"/>
    <s v="Husband"/>
    <s v="White"/>
    <x v="1"/>
    <n v="99999"/>
    <n v="0"/>
    <n v="40"/>
    <s v="United-States"/>
    <x v="1"/>
    <e v="#N/A"/>
    <n v="40"/>
  </r>
  <r>
    <s v="155"/>
    <n v="38"/>
    <s v="Federal-gov"/>
    <n v="122493"/>
    <x v="5"/>
    <n v="13"/>
    <s v="Married-civ-spouse"/>
    <s v="Prof-specialty"/>
    <s v="Husband"/>
    <s v="White"/>
    <x v="1"/>
    <n v="4064"/>
    <n v="0"/>
    <n v="40"/>
    <s v="United-States"/>
    <x v="0"/>
    <e v="#N/A"/>
    <n v="40"/>
  </r>
  <r>
    <s v="156"/>
    <n v="43"/>
    <s v="Private"/>
    <n v="59107"/>
    <x v="6"/>
    <n v="9"/>
    <s v="Separated"/>
    <s v="Other-service"/>
    <s v="Not-in-family"/>
    <s v="White"/>
    <x v="0"/>
    <n v="4101"/>
    <n v="0"/>
    <n v="40"/>
    <s v="United-States"/>
    <x v="0"/>
    <n v="40"/>
    <e v="#N/A"/>
  </r>
  <r>
    <s v="157"/>
    <n v="30"/>
    <s v="?"/>
    <n v="186420"/>
    <x v="5"/>
    <n v="13"/>
    <s v="Never-married"/>
    <s v="?"/>
    <s v="Not-in-family"/>
    <s v="White"/>
    <x v="0"/>
    <n v="0"/>
    <n v="0"/>
    <n v="40"/>
    <s v="United-States"/>
    <x v="0"/>
    <n v="40"/>
    <e v="#N/A"/>
  </r>
  <r>
    <s v="158"/>
    <n v="26"/>
    <s v="Private"/>
    <n v="89648"/>
    <x v="5"/>
    <n v="13"/>
    <s v="Never-married"/>
    <s v="Exec-managerial"/>
    <s v="Not-in-family"/>
    <s v="White"/>
    <x v="0"/>
    <n v="0"/>
    <n v="0"/>
    <n v="50"/>
    <s v="United-States"/>
    <x v="0"/>
    <n v="50"/>
    <e v="#N/A"/>
  </r>
  <r>
    <s v="159"/>
    <n v="42"/>
    <s v="Private"/>
    <n v="57600"/>
    <x v="6"/>
    <n v="9"/>
    <s v="Divorced"/>
    <s v="Prof-specialty"/>
    <s v="Not-in-family"/>
    <s v="White"/>
    <x v="0"/>
    <n v="0"/>
    <n v="0"/>
    <n v="45"/>
    <s v="United-States"/>
    <x v="0"/>
    <n v="45"/>
    <e v="#N/A"/>
  </r>
  <r>
    <s v="160"/>
    <n v="43"/>
    <s v="Private"/>
    <n v="35910"/>
    <x v="2"/>
    <n v="10"/>
    <s v="Married-civ-spouse"/>
    <s v="Sales"/>
    <s v="Husband"/>
    <s v="White"/>
    <x v="1"/>
    <n v="0"/>
    <n v="0"/>
    <n v="43"/>
    <s v="United-States"/>
    <x v="1"/>
    <e v="#N/A"/>
    <n v="43"/>
  </r>
  <r>
    <s v="161"/>
    <n v="29"/>
    <s v="Private"/>
    <n v="161444"/>
    <x v="6"/>
    <n v="9"/>
    <s v="Married-civ-spouse"/>
    <s v="Exec-managerial"/>
    <s v="Husband"/>
    <s v="White"/>
    <x v="1"/>
    <n v="0"/>
    <n v="0"/>
    <n v="40"/>
    <s v="Columbia"/>
    <x v="0"/>
    <e v="#N/A"/>
    <n v="40"/>
  </r>
  <r>
    <s v="162"/>
    <n v="23"/>
    <s v="Private"/>
    <n v="176486"/>
    <x v="9"/>
    <n v="11"/>
    <s v="Never-married"/>
    <s v="Adm-clerical"/>
    <s v="Own-child"/>
    <s v="White"/>
    <x v="0"/>
    <n v="0"/>
    <n v="0"/>
    <n v="36"/>
    <s v="United-States"/>
    <x v="0"/>
    <n v="36"/>
    <e v="#N/A"/>
  </r>
  <r>
    <s v="163"/>
    <n v="31"/>
    <s v="Private"/>
    <n v="31600"/>
    <x v="5"/>
    <n v="13"/>
    <s v="Never-married"/>
    <s v="Prof-specialty"/>
    <s v="Not-in-family"/>
    <s v="White"/>
    <x v="0"/>
    <n v="0"/>
    <n v="0"/>
    <n v="40"/>
    <s v="United-States"/>
    <x v="0"/>
    <n v="40"/>
    <e v="#N/A"/>
  </r>
  <r>
    <s v="164"/>
    <n v="40"/>
    <s v="Private"/>
    <n v="173858"/>
    <x v="12"/>
    <n v="4"/>
    <s v="Married-civ-spouse"/>
    <s v="Other-service"/>
    <s v="Husband"/>
    <s v="Asian-Pac-Islander"/>
    <x v="1"/>
    <n v="0"/>
    <n v="0"/>
    <n v="42"/>
    <s v="Cambodia"/>
    <x v="0"/>
    <e v="#N/A"/>
    <n v="42"/>
  </r>
  <r>
    <s v="165"/>
    <n v="50"/>
    <s v="Private"/>
    <n v="210217"/>
    <x v="5"/>
    <n v="13"/>
    <s v="Divorced"/>
    <s v="Sales"/>
    <s v="Unmarried"/>
    <s v="Black"/>
    <x v="1"/>
    <n v="0"/>
    <n v="0"/>
    <n v="40"/>
    <s v="United-States"/>
    <x v="0"/>
    <e v="#N/A"/>
    <n v="40"/>
  </r>
  <r>
    <s v="166"/>
    <n v="32"/>
    <s v="Self-emp-inc"/>
    <n v="113543"/>
    <x v="10"/>
    <n v="15"/>
    <s v="Married-civ-spouse"/>
    <s v="Prof-specialty"/>
    <s v="Husband"/>
    <s v="White"/>
    <x v="1"/>
    <n v="0"/>
    <n v="0"/>
    <n v="40"/>
    <s v="United-States"/>
    <x v="1"/>
    <e v="#N/A"/>
    <n v="40"/>
  </r>
  <r>
    <s v="167"/>
    <n v="17"/>
    <s v="Private"/>
    <n v="111332"/>
    <x v="0"/>
    <n v="7"/>
    <s v="Never-married"/>
    <s v="Sales"/>
    <s v="Own-child"/>
    <s v="White"/>
    <x v="0"/>
    <n v="0"/>
    <n v="0"/>
    <n v="20"/>
    <s v="United-States"/>
    <x v="0"/>
    <n v="20"/>
    <e v="#N/A"/>
  </r>
  <r>
    <s v="168"/>
    <n v="23"/>
    <s v="Private"/>
    <n v="222925"/>
    <x v="6"/>
    <n v="9"/>
    <s v="Married-civ-spouse"/>
    <s v="Machine-op-inspct"/>
    <s v="Own-child"/>
    <s v="White"/>
    <x v="0"/>
    <n v="2105"/>
    <n v="0"/>
    <n v="40"/>
    <s v="United-States"/>
    <x v="0"/>
    <n v="40"/>
    <e v="#N/A"/>
  </r>
  <r>
    <s v="169"/>
    <n v="34"/>
    <s v="?"/>
    <n v="353881"/>
    <x v="9"/>
    <n v="11"/>
    <s v="Married-civ-spouse"/>
    <s v="?"/>
    <s v="Husband"/>
    <s v="White"/>
    <x v="1"/>
    <n v="3103"/>
    <n v="0"/>
    <n v="60"/>
    <s v="United-States"/>
    <x v="1"/>
    <e v="#N/A"/>
    <n v="60"/>
  </r>
  <r>
    <s v="170"/>
    <n v="48"/>
    <s v="Private"/>
    <n v="248164"/>
    <x v="5"/>
    <n v="13"/>
    <s v="Married-civ-spouse"/>
    <s v="Sales"/>
    <s v="Husband"/>
    <s v="White"/>
    <x v="1"/>
    <n v="4386"/>
    <n v="0"/>
    <n v="50"/>
    <s v="United-States"/>
    <x v="1"/>
    <e v="#N/A"/>
    <n v="50"/>
  </r>
  <r>
    <s v="171"/>
    <n v="40"/>
    <s v="Self-emp-not-inc"/>
    <n v="33068"/>
    <x v="6"/>
    <n v="9"/>
    <s v="Married-civ-spouse"/>
    <s v="Farming-fishing"/>
    <s v="Husband"/>
    <s v="White"/>
    <x v="1"/>
    <n v="0"/>
    <n v="0"/>
    <n v="50"/>
    <s v="United-States"/>
    <x v="0"/>
    <e v="#N/A"/>
    <n v="50"/>
  </r>
  <r>
    <s v="172"/>
    <n v="21"/>
    <s v="Private"/>
    <n v="222490"/>
    <x v="2"/>
    <n v="10"/>
    <s v="Never-married"/>
    <s v="Handlers-cleaners"/>
    <s v="Own-child"/>
    <s v="White"/>
    <x v="0"/>
    <n v="0"/>
    <n v="0"/>
    <n v="40"/>
    <s v="United-States"/>
    <x v="0"/>
    <n v="40"/>
    <e v="#N/A"/>
  </r>
  <r>
    <s v="173"/>
    <n v="43"/>
    <s v="Private"/>
    <n v="115323"/>
    <x v="5"/>
    <n v="13"/>
    <s v="Married-civ-spouse"/>
    <s v="Exec-managerial"/>
    <s v="Husband"/>
    <s v="White"/>
    <x v="1"/>
    <n v="3103"/>
    <n v="0"/>
    <n v="40"/>
    <s v="United-States"/>
    <x v="1"/>
    <e v="#N/A"/>
    <n v="40"/>
  </r>
  <r>
    <s v="174"/>
    <n v="39"/>
    <s v="State-gov"/>
    <n v="114055"/>
    <x v="5"/>
    <n v="13"/>
    <s v="Never-married"/>
    <s v="Exec-managerial"/>
    <s v="Not-in-family"/>
    <s v="White"/>
    <x v="0"/>
    <n v="0"/>
    <n v="0"/>
    <n v="40"/>
    <s v="United-States"/>
    <x v="0"/>
    <n v="40"/>
    <e v="#N/A"/>
  </r>
  <r>
    <s v="175"/>
    <n v="27"/>
    <s v="Private"/>
    <n v="302406"/>
    <x v="2"/>
    <n v="10"/>
    <s v="Married-civ-spouse"/>
    <s v="Sales"/>
    <s v="Husband"/>
    <s v="White"/>
    <x v="1"/>
    <n v="0"/>
    <n v="0"/>
    <n v="40"/>
    <s v="United-States"/>
    <x v="1"/>
    <e v="#N/A"/>
    <n v="40"/>
  </r>
  <r>
    <s v="176"/>
    <n v="17"/>
    <s v="Private"/>
    <n v="294485"/>
    <x v="8"/>
    <n v="6"/>
    <s v="Never-married"/>
    <s v="Other-service"/>
    <s v="Own-child"/>
    <s v="White"/>
    <x v="1"/>
    <n v="0"/>
    <n v="0"/>
    <n v="30"/>
    <s v="United-States"/>
    <x v="0"/>
    <e v="#N/A"/>
    <n v="30"/>
  </r>
  <r>
    <s v="177"/>
    <n v="25"/>
    <s v="Private"/>
    <n v="177499"/>
    <x v="5"/>
    <n v="13"/>
    <s v="Never-married"/>
    <s v="Craft-repair"/>
    <s v="Own-child"/>
    <s v="White"/>
    <x v="1"/>
    <n v="0"/>
    <n v="1590"/>
    <n v="35"/>
    <s v="United-States"/>
    <x v="0"/>
    <e v="#N/A"/>
    <n v="35"/>
  </r>
  <r>
    <s v="178"/>
    <n v="33"/>
    <s v="Private"/>
    <n v="323069"/>
    <x v="9"/>
    <n v="11"/>
    <s v="Divorced"/>
    <s v="Other-service"/>
    <s v="Unmarried"/>
    <s v="White"/>
    <x v="0"/>
    <n v="0"/>
    <n v="0"/>
    <n v="40"/>
    <s v="United-States"/>
    <x v="0"/>
    <n v="40"/>
    <e v="#N/A"/>
  </r>
  <r>
    <s v="179"/>
    <n v="51"/>
    <s v="Federal-gov"/>
    <n v="45487"/>
    <x v="6"/>
    <n v="9"/>
    <s v="Married-civ-spouse"/>
    <s v="Transport-moving"/>
    <s v="Husband"/>
    <s v="White"/>
    <x v="1"/>
    <n v="0"/>
    <n v="0"/>
    <n v="80"/>
    <s v="United-States"/>
    <x v="0"/>
    <e v="#N/A"/>
    <n v="80"/>
  </r>
  <r>
    <s v="180"/>
    <n v="27"/>
    <s v="Self-emp-not-inc"/>
    <n v="442612"/>
    <x v="6"/>
    <n v="9"/>
    <s v="Married-civ-spouse"/>
    <s v="Sales"/>
    <s v="Husband"/>
    <s v="White"/>
    <x v="1"/>
    <n v="0"/>
    <n v="0"/>
    <n v="65"/>
    <s v="United-States"/>
    <x v="1"/>
    <e v="#N/A"/>
    <n v="65"/>
  </r>
  <r>
    <s v="181"/>
    <n v="36"/>
    <s v="Private"/>
    <n v="308945"/>
    <x v="6"/>
    <n v="9"/>
    <s v="Married-civ-spouse"/>
    <s v="Machine-op-inspct"/>
    <s v="Husband"/>
    <s v="White"/>
    <x v="1"/>
    <n v="0"/>
    <n v="0"/>
    <n v="40"/>
    <s v="United-States"/>
    <x v="0"/>
    <e v="#N/A"/>
    <n v="40"/>
  </r>
  <r>
    <s v="182"/>
    <n v="52"/>
    <s v="Private"/>
    <n v="245275"/>
    <x v="8"/>
    <n v="6"/>
    <s v="Married-civ-spouse"/>
    <s v="Other-service"/>
    <s v="Wife"/>
    <s v="White"/>
    <x v="0"/>
    <n v="0"/>
    <n v="0"/>
    <n v="35"/>
    <s v="United-States"/>
    <x v="0"/>
    <n v="35"/>
    <e v="#N/A"/>
  </r>
  <r>
    <s v="183"/>
    <n v="43"/>
    <s v="Private"/>
    <n v="177905"/>
    <x v="6"/>
    <n v="9"/>
    <s v="Married-civ-spouse"/>
    <s v="Handlers-cleaners"/>
    <s v="Husband"/>
    <s v="White"/>
    <x v="1"/>
    <n v="3908"/>
    <n v="0"/>
    <n v="40"/>
    <s v="United-States"/>
    <x v="0"/>
    <e v="#N/A"/>
    <n v="40"/>
  </r>
  <r>
    <s v="184"/>
    <n v="56"/>
    <s v="Private"/>
    <n v="132026"/>
    <x v="5"/>
    <n v="13"/>
    <s v="Married-civ-spouse"/>
    <s v="Sales"/>
    <s v="Husband"/>
    <s v="Black"/>
    <x v="1"/>
    <n v="7688"/>
    <n v="0"/>
    <n v="45"/>
    <s v="United-States"/>
    <x v="1"/>
    <e v="#N/A"/>
    <n v="45"/>
  </r>
  <r>
    <s v="185"/>
    <n v="25"/>
    <s v="Private"/>
    <n v="75759"/>
    <x v="6"/>
    <n v="9"/>
    <s v="Married-civ-spouse"/>
    <s v="Transport-moving"/>
    <s v="Husband"/>
    <s v="White"/>
    <x v="1"/>
    <n v="0"/>
    <n v="0"/>
    <n v="44"/>
    <s v="United-States"/>
    <x v="1"/>
    <e v="#N/A"/>
    <n v="44"/>
  </r>
  <r>
    <s v="186"/>
    <n v="55"/>
    <s v="Private"/>
    <n v="201112"/>
    <x v="6"/>
    <n v="9"/>
    <s v="Divorced"/>
    <s v="Prof-specialty"/>
    <s v="Unmarried"/>
    <s v="Black"/>
    <x v="0"/>
    <n v="0"/>
    <n v="0"/>
    <n v="40"/>
    <s v="United-States"/>
    <x v="0"/>
    <n v="40"/>
    <e v="#N/A"/>
  </r>
  <r>
    <s v="187"/>
    <n v="37"/>
    <s v="Private"/>
    <n v="108913"/>
    <x v="6"/>
    <n v="9"/>
    <s v="Never-married"/>
    <s v="Other-service"/>
    <s v="Not-in-family"/>
    <s v="White"/>
    <x v="1"/>
    <n v="0"/>
    <n v="0"/>
    <n v="40"/>
    <s v="United-States"/>
    <x v="0"/>
    <e v="#N/A"/>
    <n v="40"/>
  </r>
  <r>
    <s v="188"/>
    <n v="34"/>
    <s v="Private"/>
    <n v="207668"/>
    <x v="2"/>
    <n v="10"/>
    <s v="Married-civ-spouse"/>
    <s v="Handlers-cleaners"/>
    <s v="Husband"/>
    <s v="White"/>
    <x v="1"/>
    <n v="0"/>
    <n v="1887"/>
    <n v="40"/>
    <s v="United-States"/>
    <x v="1"/>
    <e v="#N/A"/>
    <n v="40"/>
  </r>
  <r>
    <s v="189"/>
    <n v="27"/>
    <s v="Private"/>
    <n v="119170"/>
    <x v="0"/>
    <n v="7"/>
    <s v="Never-married"/>
    <s v="Exec-managerial"/>
    <s v="Unmarried"/>
    <s v="White"/>
    <x v="0"/>
    <n v="0"/>
    <n v="0"/>
    <n v="45"/>
    <s v="United-States"/>
    <x v="0"/>
    <n v="45"/>
    <e v="#N/A"/>
  </r>
  <r>
    <s v="190"/>
    <n v="50"/>
    <s v="Private"/>
    <n v="258819"/>
    <x v="6"/>
    <n v="9"/>
    <s v="Divorced"/>
    <s v="Craft-repair"/>
    <s v="Not-in-family"/>
    <s v="White"/>
    <x v="1"/>
    <n v="0"/>
    <n v="0"/>
    <n v="40"/>
    <s v="United-States"/>
    <x v="1"/>
    <e v="#N/A"/>
    <n v="40"/>
  </r>
  <r>
    <s v="191"/>
    <n v="34"/>
    <s v="Self-emp-not-inc"/>
    <n v="123429"/>
    <x v="6"/>
    <n v="9"/>
    <s v="Married-civ-spouse"/>
    <s v="Sales"/>
    <s v="Husband"/>
    <s v="White"/>
    <x v="1"/>
    <n v="0"/>
    <n v="0"/>
    <n v="60"/>
    <s v="United-States"/>
    <x v="0"/>
    <e v="#N/A"/>
    <n v="60"/>
  </r>
  <r>
    <s v="192"/>
    <n v="20"/>
    <s v="Private"/>
    <n v="120572"/>
    <x v="2"/>
    <n v="10"/>
    <s v="Never-married"/>
    <s v="Other-service"/>
    <s v="Not-in-family"/>
    <s v="White"/>
    <x v="0"/>
    <n v="0"/>
    <n v="0"/>
    <n v="12"/>
    <s v="United-States"/>
    <x v="0"/>
    <n v="12"/>
    <e v="#N/A"/>
  </r>
  <r>
    <s v="193"/>
    <n v="41"/>
    <s v="State-gov"/>
    <n v="116520"/>
    <x v="13"/>
    <n v="16"/>
    <s v="Married-civ-spouse"/>
    <s v="Prof-specialty"/>
    <s v="Husband"/>
    <s v="White"/>
    <x v="1"/>
    <n v="0"/>
    <n v="0"/>
    <n v="40"/>
    <s v="United-States"/>
    <x v="1"/>
    <e v="#N/A"/>
    <n v="40"/>
  </r>
  <r>
    <s v="194"/>
    <n v="38"/>
    <s v="Self-emp-not-inc"/>
    <n v="201328"/>
    <x v="12"/>
    <n v="4"/>
    <s v="Married-civ-spouse"/>
    <s v="Farming-fishing"/>
    <s v="Husband"/>
    <s v="White"/>
    <x v="1"/>
    <n v="0"/>
    <n v="0"/>
    <n v="56"/>
    <s v="United-States"/>
    <x v="0"/>
    <e v="#N/A"/>
    <n v="56"/>
  </r>
  <r>
    <s v="195"/>
    <n v="39"/>
    <s v="Private"/>
    <n v="188069"/>
    <x v="14"/>
    <n v="5"/>
    <s v="Married-civ-spouse"/>
    <s v="Transport-moving"/>
    <s v="Husband"/>
    <s v="White"/>
    <x v="1"/>
    <n v="0"/>
    <n v="0"/>
    <n v="25"/>
    <s v="United-States"/>
    <x v="0"/>
    <e v="#N/A"/>
    <n v="25"/>
  </r>
  <r>
    <s v="196"/>
    <n v="36"/>
    <s v="Private"/>
    <n v="272944"/>
    <x v="6"/>
    <n v="9"/>
    <s v="Never-married"/>
    <s v="Transport-moving"/>
    <s v="Not-in-family"/>
    <s v="White"/>
    <x v="1"/>
    <n v="0"/>
    <n v="0"/>
    <n v="45"/>
    <s v="United-States"/>
    <x v="0"/>
    <e v="#N/A"/>
    <n v="45"/>
  </r>
  <r>
    <s v="197"/>
    <n v="64"/>
    <s v="Local-gov"/>
    <n v="202738"/>
    <x v="6"/>
    <n v="9"/>
    <s v="Married-civ-spouse"/>
    <s v="Adm-clerical"/>
    <s v="Wife"/>
    <s v="White"/>
    <x v="0"/>
    <n v="0"/>
    <n v="0"/>
    <n v="35"/>
    <s v="United-States"/>
    <x v="0"/>
    <n v="35"/>
    <e v="#N/A"/>
  </r>
  <r>
    <s v="198"/>
    <n v="18"/>
    <s v="Private"/>
    <n v="374969"/>
    <x v="8"/>
    <n v="6"/>
    <s v="Never-married"/>
    <s v="Transport-moving"/>
    <s v="Not-in-family"/>
    <s v="White"/>
    <x v="1"/>
    <n v="0"/>
    <n v="0"/>
    <n v="56"/>
    <s v="United-States"/>
    <x v="0"/>
    <e v="#N/A"/>
    <n v="56"/>
  </r>
  <r>
    <s v="199"/>
    <n v="46"/>
    <s v="Private"/>
    <n v="179869"/>
    <x v="6"/>
    <n v="9"/>
    <s v="Married-civ-spouse"/>
    <s v="Craft-repair"/>
    <s v="Husband"/>
    <s v="White"/>
    <x v="1"/>
    <n v="0"/>
    <n v="0"/>
    <n v="40"/>
    <s v="United-States"/>
    <x v="0"/>
    <e v="#N/A"/>
    <n v="40"/>
  </r>
  <r>
    <s v="200"/>
    <n v="18"/>
    <s v="Private"/>
    <n v="120691"/>
    <x v="2"/>
    <n v="10"/>
    <s v="Never-married"/>
    <s v="Other-service"/>
    <s v="Own-child"/>
    <s v="Black"/>
    <x v="1"/>
    <n v="0"/>
    <n v="0"/>
    <n v="35"/>
    <s v="?"/>
    <x v="0"/>
    <e v="#N/A"/>
    <n v="35"/>
  </r>
  <r>
    <s v="201"/>
    <n v="63"/>
    <s v="Private"/>
    <n v="100099"/>
    <x v="6"/>
    <n v="9"/>
    <s v="Married-spouse-absent"/>
    <s v="Craft-repair"/>
    <s v="Not-in-family"/>
    <s v="White"/>
    <x v="1"/>
    <n v="0"/>
    <n v="0"/>
    <n v="40"/>
    <s v="United-States"/>
    <x v="0"/>
    <e v="#N/A"/>
    <n v="40"/>
  </r>
  <r>
    <s v="202"/>
    <n v="56"/>
    <s v="State-gov"/>
    <n v="143931"/>
    <x v="5"/>
    <n v="13"/>
    <s v="Widowed"/>
    <s v="Prof-specialty"/>
    <s v="Not-in-family"/>
    <s v="White"/>
    <x v="0"/>
    <n v="0"/>
    <n v="0"/>
    <n v="40"/>
    <s v="United-States"/>
    <x v="0"/>
    <n v="40"/>
    <e v="#N/A"/>
  </r>
  <r>
    <s v="203"/>
    <n v="59"/>
    <s v="Private"/>
    <n v="271571"/>
    <x v="2"/>
    <n v="10"/>
    <s v="Married-civ-spouse"/>
    <s v="Craft-repair"/>
    <s v="Husband"/>
    <s v="White"/>
    <x v="1"/>
    <n v="15024"/>
    <n v="0"/>
    <n v="50"/>
    <s v="United-States"/>
    <x v="1"/>
    <e v="#N/A"/>
    <n v="50"/>
  </r>
  <r>
    <s v="204"/>
    <n v="37"/>
    <s v="Private"/>
    <n v="126743"/>
    <x v="15"/>
    <n v="2"/>
    <s v="Married-civ-spouse"/>
    <s v="Other-service"/>
    <s v="Husband"/>
    <s v="White"/>
    <x v="1"/>
    <n v="0"/>
    <n v="0"/>
    <n v="53"/>
    <s v="Mexico"/>
    <x v="0"/>
    <e v="#N/A"/>
    <n v="53"/>
  </r>
  <r>
    <s v="205"/>
    <n v="21"/>
    <s v="Private"/>
    <n v="232569"/>
    <x v="6"/>
    <n v="9"/>
    <s v="Never-married"/>
    <s v="Handlers-cleaners"/>
    <s v="Not-in-family"/>
    <s v="White"/>
    <x v="1"/>
    <n v="0"/>
    <n v="0"/>
    <n v="40"/>
    <s v="United-States"/>
    <x v="0"/>
    <e v="#N/A"/>
    <n v="40"/>
  </r>
  <r>
    <s v="206"/>
    <n v="23"/>
    <s v="?"/>
    <n v="164574"/>
    <x v="1"/>
    <n v="12"/>
    <s v="Never-married"/>
    <s v="?"/>
    <s v="Own-child"/>
    <s v="White"/>
    <x v="1"/>
    <n v="0"/>
    <n v="0"/>
    <n v="40"/>
    <s v="United-States"/>
    <x v="0"/>
    <e v="#N/A"/>
    <n v="40"/>
  </r>
  <r>
    <s v="207"/>
    <n v="30"/>
    <s v="Private"/>
    <n v="349148"/>
    <x v="5"/>
    <n v="13"/>
    <s v="Never-married"/>
    <s v="Prof-specialty"/>
    <s v="Not-in-family"/>
    <s v="White"/>
    <x v="1"/>
    <n v="0"/>
    <n v="0"/>
    <n v="70"/>
    <s v="United-States"/>
    <x v="0"/>
    <e v="#N/A"/>
    <n v="70"/>
  </r>
  <r>
    <s v="208"/>
    <n v="42"/>
    <s v="Private"/>
    <n v="156580"/>
    <x v="5"/>
    <n v="13"/>
    <s v="Married-civ-spouse"/>
    <s v="Sales"/>
    <s v="Wife"/>
    <s v="White"/>
    <x v="0"/>
    <n v="0"/>
    <n v="0"/>
    <n v="40"/>
    <s v="Puerto-Rico"/>
    <x v="0"/>
    <n v="40"/>
    <e v="#N/A"/>
  </r>
  <r>
    <s v="209"/>
    <n v="48"/>
    <s v="Self-emp-not-inc"/>
    <n v="164582"/>
    <x v="2"/>
    <n v="10"/>
    <s v="Married-civ-spouse"/>
    <s v="Farming-fishing"/>
    <s v="Husband"/>
    <s v="White"/>
    <x v="1"/>
    <n v="7298"/>
    <n v="0"/>
    <n v="60"/>
    <s v="United-States"/>
    <x v="1"/>
    <e v="#N/A"/>
    <n v="60"/>
  </r>
  <r>
    <s v="210"/>
    <n v="56"/>
    <s v="Self-emp-inc"/>
    <n v="184598"/>
    <x v="14"/>
    <n v="5"/>
    <s v="Married-civ-spouse"/>
    <s v="Transport-moving"/>
    <s v="Husband"/>
    <s v="White"/>
    <x v="1"/>
    <n v="0"/>
    <n v="0"/>
    <n v="99"/>
    <s v="United-States"/>
    <x v="0"/>
    <e v="#N/A"/>
    <n v="99"/>
  </r>
  <r>
    <s v="211"/>
    <n v="25"/>
    <s v="Private"/>
    <n v="182866"/>
    <x v="6"/>
    <n v="9"/>
    <s v="Never-married"/>
    <s v="Handlers-cleaners"/>
    <s v="Own-child"/>
    <s v="White"/>
    <x v="1"/>
    <n v="0"/>
    <n v="0"/>
    <n v="40"/>
    <s v="United-States"/>
    <x v="0"/>
    <e v="#N/A"/>
    <n v="40"/>
  </r>
  <r>
    <s v="212"/>
    <n v="46"/>
    <s v="Local-gov"/>
    <n v="344172"/>
    <x v="1"/>
    <n v="12"/>
    <s v="Married-civ-spouse"/>
    <s v="Protective-serv"/>
    <s v="Husband"/>
    <s v="White"/>
    <x v="1"/>
    <n v="0"/>
    <n v="0"/>
    <n v="49"/>
    <s v="United-States"/>
    <x v="1"/>
    <e v="#N/A"/>
    <n v="49"/>
  </r>
  <r>
    <s v="213"/>
    <n v="18"/>
    <s v="Private"/>
    <n v="243900"/>
    <x v="6"/>
    <n v="9"/>
    <s v="Never-married"/>
    <s v="Adm-clerical"/>
    <s v="Own-child"/>
    <s v="White"/>
    <x v="0"/>
    <n v="0"/>
    <n v="0"/>
    <n v="15"/>
    <s v="United-States"/>
    <x v="0"/>
    <n v="15"/>
    <e v="#N/A"/>
  </r>
  <r>
    <s v="214"/>
    <n v="74"/>
    <s v="Self-emp-not-inc"/>
    <n v="119129"/>
    <x v="6"/>
    <n v="9"/>
    <s v="Married-civ-spouse"/>
    <s v="Sales"/>
    <s v="Husband"/>
    <s v="White"/>
    <x v="1"/>
    <n v="0"/>
    <n v="2149"/>
    <n v="20"/>
    <s v="United-States"/>
    <x v="0"/>
    <e v="#N/A"/>
    <n v="20"/>
  </r>
  <r>
    <s v="215"/>
    <n v="32"/>
    <s v="Private"/>
    <n v="188048"/>
    <x v="5"/>
    <n v="13"/>
    <s v="Never-married"/>
    <s v="Adm-clerical"/>
    <s v="Own-child"/>
    <s v="White"/>
    <x v="0"/>
    <n v="0"/>
    <n v="0"/>
    <n v="40"/>
    <s v="United-States"/>
    <x v="0"/>
    <n v="40"/>
    <e v="#N/A"/>
  </r>
  <r>
    <s v="216"/>
    <n v="20"/>
    <s v="Private"/>
    <n v="366929"/>
    <x v="2"/>
    <n v="10"/>
    <s v="Never-married"/>
    <s v="Adm-clerical"/>
    <s v="Own-child"/>
    <s v="White"/>
    <x v="0"/>
    <n v="0"/>
    <n v="0"/>
    <n v="35"/>
    <s v="United-States"/>
    <x v="0"/>
    <n v="35"/>
    <e v="#N/A"/>
  </r>
  <r>
    <s v="217"/>
    <n v="23"/>
    <s v="Private"/>
    <n v="107801"/>
    <x v="2"/>
    <n v="10"/>
    <s v="Never-married"/>
    <s v="Adm-clerical"/>
    <s v="Own-child"/>
    <s v="White"/>
    <x v="0"/>
    <n v="0"/>
    <n v="1617"/>
    <n v="25"/>
    <s v="United-States"/>
    <x v="0"/>
    <n v="25"/>
    <e v="#N/A"/>
  </r>
  <r>
    <s v="218"/>
    <n v="57"/>
    <s v="Federal-gov"/>
    <n v="199114"/>
    <x v="5"/>
    <n v="13"/>
    <s v="Never-married"/>
    <s v="Adm-clerical"/>
    <s v="Not-in-family"/>
    <s v="White"/>
    <x v="1"/>
    <n v="0"/>
    <n v="2258"/>
    <n v="40"/>
    <s v="United-States"/>
    <x v="0"/>
    <e v="#N/A"/>
    <n v="40"/>
  </r>
  <r>
    <s v="219"/>
    <n v="47"/>
    <s v="Private"/>
    <n v="216999"/>
    <x v="6"/>
    <n v="9"/>
    <s v="Married-civ-spouse"/>
    <s v="Sales"/>
    <s v="Husband"/>
    <s v="White"/>
    <x v="1"/>
    <n v="0"/>
    <n v="0"/>
    <n v="45"/>
    <s v="United-States"/>
    <x v="0"/>
    <e v="#N/A"/>
    <n v="45"/>
  </r>
  <r>
    <s v="220"/>
    <n v="55"/>
    <s v="Private"/>
    <n v="208311"/>
    <x v="7"/>
    <n v="14"/>
    <s v="Married-civ-spouse"/>
    <s v="Tech-support"/>
    <s v="Husband"/>
    <s v="White"/>
    <x v="1"/>
    <n v="0"/>
    <n v="1977"/>
    <n v="20"/>
    <s v="United-States"/>
    <x v="1"/>
    <e v="#N/A"/>
    <n v="20"/>
  </r>
  <r>
    <s v="221"/>
    <n v="26"/>
    <s v="Private"/>
    <n v="227489"/>
    <x v="6"/>
    <n v="9"/>
    <s v="Never-married"/>
    <s v="Tech-support"/>
    <s v="Other-relative"/>
    <s v="Black"/>
    <x v="1"/>
    <n v="0"/>
    <n v="0"/>
    <n v="40"/>
    <s v="?"/>
    <x v="0"/>
    <e v="#N/A"/>
    <n v="40"/>
  </r>
  <r>
    <s v="222"/>
    <n v="47"/>
    <s v="Private"/>
    <n v="152073"/>
    <x v="6"/>
    <n v="9"/>
    <s v="Divorced"/>
    <s v="Machine-op-inspct"/>
    <s v="Unmarried"/>
    <s v="White"/>
    <x v="0"/>
    <n v="0"/>
    <n v="0"/>
    <n v="40"/>
    <s v="United-States"/>
    <x v="0"/>
    <n v="40"/>
    <e v="#N/A"/>
  </r>
  <r>
    <s v="223"/>
    <n v="24"/>
    <s v="Private"/>
    <n v="441700"/>
    <x v="5"/>
    <n v="13"/>
    <s v="Never-married"/>
    <s v="Tech-support"/>
    <s v="Own-child"/>
    <s v="White"/>
    <x v="1"/>
    <n v="0"/>
    <n v="0"/>
    <n v="40"/>
    <s v="United-States"/>
    <x v="0"/>
    <e v="#N/A"/>
    <n v="40"/>
  </r>
  <r>
    <s v="224"/>
    <n v="28"/>
    <s v="?"/>
    <n v="147471"/>
    <x v="6"/>
    <n v="9"/>
    <s v="Divorced"/>
    <s v="?"/>
    <s v="Own-child"/>
    <s v="White"/>
    <x v="0"/>
    <n v="0"/>
    <n v="0"/>
    <n v="10"/>
    <s v="United-States"/>
    <x v="0"/>
    <n v="10"/>
    <e v="#N/A"/>
  </r>
  <r>
    <s v="225"/>
    <n v="23"/>
    <s v="Private"/>
    <n v="289982"/>
    <x v="6"/>
    <n v="9"/>
    <s v="Never-married"/>
    <s v="Sales"/>
    <s v="Not-in-family"/>
    <s v="White"/>
    <x v="0"/>
    <n v="0"/>
    <n v="0"/>
    <n v="40"/>
    <s v="United-States"/>
    <x v="0"/>
    <n v="40"/>
    <e v="#N/A"/>
  </r>
  <r>
    <s v="226"/>
    <n v="40"/>
    <s v="Private"/>
    <n v="191544"/>
    <x v="6"/>
    <n v="9"/>
    <s v="Never-married"/>
    <s v="Other-service"/>
    <s v="Not-in-family"/>
    <s v="White"/>
    <x v="0"/>
    <n v="0"/>
    <n v="0"/>
    <n v="35"/>
    <s v="United-States"/>
    <x v="0"/>
    <n v="35"/>
    <e v="#N/A"/>
  </r>
  <r>
    <s v="227"/>
    <n v="60"/>
    <s v="Federal-gov"/>
    <n v="165630"/>
    <x v="6"/>
    <n v="9"/>
    <s v="Married-civ-spouse"/>
    <s v="Tech-support"/>
    <s v="Husband"/>
    <s v="White"/>
    <x v="1"/>
    <n v="0"/>
    <n v="1977"/>
    <n v="40"/>
    <s v="United-States"/>
    <x v="1"/>
    <e v="#N/A"/>
    <n v="40"/>
  </r>
  <r>
    <s v="228"/>
    <n v="28"/>
    <s v="Private"/>
    <n v="263614"/>
    <x v="5"/>
    <n v="13"/>
    <s v="Married-civ-spouse"/>
    <s v="Exec-managerial"/>
    <s v="Husband"/>
    <s v="White"/>
    <x v="1"/>
    <n v="0"/>
    <n v="0"/>
    <n v="40"/>
    <s v="United-States"/>
    <x v="1"/>
    <e v="#N/A"/>
    <n v="40"/>
  </r>
  <r>
    <s v="229"/>
    <n v="43"/>
    <s v="Private"/>
    <n v="184099"/>
    <x v="1"/>
    <n v="12"/>
    <s v="Married-civ-spouse"/>
    <s v="Transport-moving"/>
    <s v="Husband"/>
    <s v="White"/>
    <x v="1"/>
    <n v="0"/>
    <n v="0"/>
    <n v="40"/>
    <s v="United-States"/>
    <x v="0"/>
    <e v="#N/A"/>
    <n v="40"/>
  </r>
  <r>
    <s v="230"/>
    <n v="42"/>
    <s v="Private"/>
    <n v="135056"/>
    <x v="2"/>
    <n v="10"/>
    <s v="Married-civ-spouse"/>
    <s v="Adm-clerical"/>
    <s v="Wife"/>
    <s v="White"/>
    <x v="0"/>
    <n v="0"/>
    <n v="0"/>
    <n v="40"/>
    <s v="United-States"/>
    <x v="0"/>
    <n v="40"/>
    <e v="#N/A"/>
  </r>
  <r>
    <s v="231"/>
    <n v="67"/>
    <s v="Private"/>
    <n v="174603"/>
    <x v="6"/>
    <n v="9"/>
    <s v="Never-married"/>
    <s v="Exec-managerial"/>
    <s v="Not-in-family"/>
    <s v="White"/>
    <x v="0"/>
    <n v="0"/>
    <n v="0"/>
    <n v="35"/>
    <s v="United-States"/>
    <x v="0"/>
    <n v="35"/>
    <e v="#N/A"/>
  </r>
  <r>
    <s v="232"/>
    <n v="25"/>
    <s v="Private"/>
    <n v="247006"/>
    <x v="1"/>
    <n v="12"/>
    <s v="Married-civ-spouse"/>
    <s v="Exec-managerial"/>
    <s v="Husband"/>
    <s v="White"/>
    <x v="1"/>
    <n v="0"/>
    <n v="0"/>
    <n v="45"/>
    <s v="United-States"/>
    <x v="0"/>
    <e v="#N/A"/>
    <n v="45"/>
  </r>
  <r>
    <s v="233"/>
    <n v="30"/>
    <s v="Private"/>
    <n v="148524"/>
    <x v="6"/>
    <n v="9"/>
    <s v="Married-civ-spouse"/>
    <s v="Transport-moving"/>
    <s v="Husband"/>
    <s v="White"/>
    <x v="1"/>
    <n v="0"/>
    <n v="2057"/>
    <n v="40"/>
    <s v="United-States"/>
    <x v="0"/>
    <e v="#N/A"/>
    <n v="40"/>
  </r>
  <r>
    <s v="234"/>
    <n v="37"/>
    <s v="Local-gov"/>
    <n v="102936"/>
    <x v="5"/>
    <n v="13"/>
    <s v="Divorced"/>
    <s v="Prof-specialty"/>
    <s v="Unmarried"/>
    <s v="White"/>
    <x v="0"/>
    <n v="0"/>
    <n v="0"/>
    <n v="55"/>
    <s v="United-States"/>
    <x v="0"/>
    <n v="55"/>
    <e v="#N/A"/>
  </r>
  <r>
    <s v="235"/>
    <n v="62"/>
    <s v="Private"/>
    <n v="208711"/>
    <x v="5"/>
    <n v="13"/>
    <s v="Married-civ-spouse"/>
    <s v="Craft-repair"/>
    <s v="Husband"/>
    <s v="White"/>
    <x v="1"/>
    <n v="7688"/>
    <n v="0"/>
    <n v="50"/>
    <s v="United-States"/>
    <x v="1"/>
    <e v="#N/A"/>
    <n v="50"/>
  </r>
  <r>
    <s v="236"/>
    <n v="41"/>
    <s v="?"/>
    <n v="27187"/>
    <x v="9"/>
    <n v="11"/>
    <s v="Married-civ-spouse"/>
    <s v="?"/>
    <s v="Husband"/>
    <s v="White"/>
    <x v="1"/>
    <n v="0"/>
    <n v="2415"/>
    <n v="12"/>
    <s v="United-States"/>
    <x v="1"/>
    <e v="#N/A"/>
    <n v="12"/>
  </r>
  <r>
    <s v="237"/>
    <n v="40"/>
    <s v="Private"/>
    <n v="119101"/>
    <x v="2"/>
    <n v="10"/>
    <s v="Married-civ-spouse"/>
    <s v="Craft-repair"/>
    <s v="Husband"/>
    <s v="White"/>
    <x v="1"/>
    <n v="5178"/>
    <n v="0"/>
    <n v="40"/>
    <s v="United-States"/>
    <x v="1"/>
    <e v="#N/A"/>
    <n v="40"/>
  </r>
  <r>
    <s v="238"/>
    <n v="58"/>
    <s v="?"/>
    <n v="347692"/>
    <x v="0"/>
    <n v="7"/>
    <s v="Divorced"/>
    <s v="?"/>
    <s v="Not-in-family"/>
    <s v="Black"/>
    <x v="1"/>
    <n v="0"/>
    <n v="0"/>
    <n v="15"/>
    <s v="United-States"/>
    <x v="0"/>
    <e v="#N/A"/>
    <n v="15"/>
  </r>
  <r>
    <s v="239"/>
    <n v="35"/>
    <s v="Private"/>
    <n v="31023"/>
    <x v="5"/>
    <n v="13"/>
    <s v="Married-civ-spouse"/>
    <s v="Sales"/>
    <s v="Husband"/>
    <s v="White"/>
    <x v="1"/>
    <n v="0"/>
    <n v="0"/>
    <n v="45"/>
    <s v="United-States"/>
    <x v="0"/>
    <e v="#N/A"/>
    <n v="45"/>
  </r>
  <r>
    <s v="240"/>
    <n v="49"/>
    <s v="Private"/>
    <n v="30219"/>
    <x v="6"/>
    <n v="9"/>
    <s v="Divorced"/>
    <s v="Craft-repair"/>
    <s v="Not-in-family"/>
    <s v="White"/>
    <x v="1"/>
    <n v="0"/>
    <n v="1669"/>
    <n v="40"/>
    <s v="United-States"/>
    <x v="0"/>
    <e v="#N/A"/>
    <n v="40"/>
  </r>
  <r>
    <s v="241"/>
    <n v="90"/>
    <s v="?"/>
    <n v="39824"/>
    <x v="6"/>
    <n v="9"/>
    <s v="Widowed"/>
    <s v="?"/>
    <s v="Not-in-family"/>
    <s v="White"/>
    <x v="1"/>
    <n v="401"/>
    <n v="0"/>
    <n v="4"/>
    <s v="United-States"/>
    <x v="0"/>
    <e v="#N/A"/>
    <n v="4"/>
  </r>
  <r>
    <s v="242"/>
    <n v="54"/>
    <s v="Private"/>
    <n v="326156"/>
    <x v="2"/>
    <n v="10"/>
    <s v="Married-civ-spouse"/>
    <s v="Craft-repair"/>
    <s v="Husband"/>
    <s v="White"/>
    <x v="1"/>
    <n v="0"/>
    <n v="0"/>
    <n v="40"/>
    <s v="United-States"/>
    <x v="1"/>
    <e v="#N/A"/>
    <n v="40"/>
  </r>
  <r>
    <s v="243"/>
    <n v="18"/>
    <s v="Private"/>
    <n v="36251"/>
    <x v="8"/>
    <n v="6"/>
    <s v="Never-married"/>
    <s v="Other-service"/>
    <s v="Own-child"/>
    <s v="White"/>
    <x v="0"/>
    <n v="0"/>
    <n v="0"/>
    <n v="15"/>
    <s v="United-States"/>
    <x v="0"/>
    <n v="15"/>
    <e v="#N/A"/>
  </r>
  <r>
    <s v="244"/>
    <n v="25"/>
    <s v="Private"/>
    <n v="361307"/>
    <x v="5"/>
    <n v="13"/>
    <s v="Never-married"/>
    <s v="Sales"/>
    <s v="Own-child"/>
    <s v="White"/>
    <x v="0"/>
    <n v="0"/>
    <n v="0"/>
    <n v="40"/>
    <s v="United-States"/>
    <x v="0"/>
    <n v="40"/>
    <e v="#N/A"/>
  </r>
  <r>
    <s v="245"/>
    <n v="31"/>
    <s v="Private"/>
    <n v="142038"/>
    <x v="6"/>
    <n v="9"/>
    <s v="Married-civ-spouse"/>
    <s v="Craft-repair"/>
    <s v="Wife"/>
    <s v="White"/>
    <x v="0"/>
    <n v="0"/>
    <n v="0"/>
    <n v="45"/>
    <s v="United-States"/>
    <x v="0"/>
    <n v="45"/>
    <e v="#N/A"/>
  </r>
  <r>
    <s v="246"/>
    <n v="22"/>
    <s v="Private"/>
    <n v="188274"/>
    <x v="6"/>
    <n v="9"/>
    <s v="Never-married"/>
    <s v="Transport-moving"/>
    <s v="Own-child"/>
    <s v="White"/>
    <x v="1"/>
    <n v="0"/>
    <n v="0"/>
    <n v="40"/>
    <s v="United-States"/>
    <x v="0"/>
    <e v="#N/A"/>
    <n v="40"/>
  </r>
  <r>
    <s v="247"/>
    <n v="25"/>
    <s v="Private"/>
    <n v="211497"/>
    <x v="2"/>
    <n v="10"/>
    <s v="Married-civ-spouse"/>
    <s v="Exec-managerial"/>
    <s v="Husband"/>
    <s v="White"/>
    <x v="1"/>
    <n v="0"/>
    <n v="0"/>
    <n v="40"/>
    <s v="United-States"/>
    <x v="0"/>
    <e v="#N/A"/>
    <n v="40"/>
  </r>
  <r>
    <s v="248"/>
    <n v="36"/>
    <s v="Private"/>
    <n v="592930"/>
    <x v="6"/>
    <n v="9"/>
    <s v="Married-civ-spouse"/>
    <s v="Transport-moving"/>
    <s v="Husband"/>
    <s v="Black"/>
    <x v="1"/>
    <n v="0"/>
    <n v="0"/>
    <n v="50"/>
    <s v="United-States"/>
    <x v="1"/>
    <e v="#N/A"/>
    <n v="50"/>
  </r>
  <r>
    <s v="249"/>
    <n v="26"/>
    <s v="Private"/>
    <n v="179772"/>
    <x v="5"/>
    <n v="13"/>
    <s v="Never-married"/>
    <s v="Exec-managerial"/>
    <s v="Not-in-family"/>
    <s v="White"/>
    <x v="0"/>
    <n v="0"/>
    <n v="0"/>
    <n v="45"/>
    <s v="United-States"/>
    <x v="0"/>
    <n v="45"/>
    <e v="#N/A"/>
  </r>
  <r>
    <s v="250"/>
    <n v="37"/>
    <s v="Private"/>
    <n v="179731"/>
    <x v="6"/>
    <n v="9"/>
    <s v="Never-married"/>
    <s v="Other-service"/>
    <s v="Unmarried"/>
    <s v="White"/>
    <x v="0"/>
    <n v="0"/>
    <n v="0"/>
    <n v="35"/>
    <s v="United-States"/>
    <x v="0"/>
    <n v="35"/>
    <e v="#N/A"/>
  </r>
  <r>
    <s v="251"/>
    <n v="27"/>
    <s v="Private"/>
    <n v="104457"/>
    <x v="5"/>
    <n v="13"/>
    <s v="Never-married"/>
    <s v="Machine-op-inspct"/>
    <s v="Not-in-family"/>
    <s v="Asian-Pac-Islander"/>
    <x v="1"/>
    <n v="0"/>
    <n v="0"/>
    <n v="40"/>
    <s v="?"/>
    <x v="0"/>
    <e v="#N/A"/>
    <n v="40"/>
  </r>
  <r>
    <s v="252"/>
    <n v="18"/>
    <s v="?"/>
    <n v="343161"/>
    <x v="0"/>
    <n v="7"/>
    <s v="Never-married"/>
    <s v="?"/>
    <s v="Own-child"/>
    <s v="White"/>
    <x v="1"/>
    <n v="0"/>
    <n v="0"/>
    <n v="16"/>
    <s v="United-States"/>
    <x v="0"/>
    <e v="#N/A"/>
    <n v="16"/>
  </r>
  <r>
    <s v="253"/>
    <n v="24"/>
    <s v="Private"/>
    <n v="122234"/>
    <x v="2"/>
    <n v="10"/>
    <s v="Never-married"/>
    <s v="Adm-clerical"/>
    <s v="Not-in-family"/>
    <s v="Black"/>
    <x v="0"/>
    <n v="0"/>
    <n v="0"/>
    <n v="20"/>
    <s v="?"/>
    <x v="0"/>
    <n v="20"/>
    <e v="#N/A"/>
  </r>
  <r>
    <s v="254"/>
    <n v="47"/>
    <s v="Self-emp-not-inc"/>
    <n v="160045"/>
    <x v="2"/>
    <n v="10"/>
    <s v="Widowed"/>
    <s v="Other-service"/>
    <s v="Unmarried"/>
    <s v="White"/>
    <x v="0"/>
    <n v="0"/>
    <n v="0"/>
    <n v="35"/>
    <s v="United-States"/>
    <x v="0"/>
    <n v="35"/>
    <e v="#N/A"/>
  </r>
  <r>
    <s v="255"/>
    <n v="48"/>
    <s v="Private"/>
    <n v="248059"/>
    <x v="5"/>
    <n v="13"/>
    <s v="Married-civ-spouse"/>
    <s v="Exec-managerial"/>
    <s v="Husband"/>
    <s v="White"/>
    <x v="1"/>
    <n v="5013"/>
    <n v="0"/>
    <n v="45"/>
    <s v="United-States"/>
    <x v="0"/>
    <e v="#N/A"/>
    <n v="45"/>
  </r>
  <r>
    <s v="256"/>
    <n v="39"/>
    <s v="Federal-gov"/>
    <n v="193583"/>
    <x v="5"/>
    <n v="13"/>
    <s v="Divorced"/>
    <s v="Prof-specialty"/>
    <s v="Unmarried"/>
    <s v="White"/>
    <x v="0"/>
    <n v="5455"/>
    <n v="0"/>
    <n v="60"/>
    <s v="United-States"/>
    <x v="0"/>
    <n v="60"/>
    <e v="#N/A"/>
  </r>
  <r>
    <s v="257"/>
    <n v="26"/>
    <s v="Private"/>
    <n v="120268"/>
    <x v="5"/>
    <n v="13"/>
    <s v="Never-married"/>
    <s v="Adm-clerical"/>
    <s v="Own-child"/>
    <s v="White"/>
    <x v="1"/>
    <n v="0"/>
    <n v="0"/>
    <n v="24"/>
    <s v="United-States"/>
    <x v="0"/>
    <e v="#N/A"/>
    <n v="24"/>
  </r>
  <r>
    <s v="258"/>
    <n v="51"/>
    <s v="Private"/>
    <n v="133336"/>
    <x v="6"/>
    <n v="9"/>
    <s v="Married-civ-spouse"/>
    <s v="Tech-support"/>
    <s v="Husband"/>
    <s v="White"/>
    <x v="1"/>
    <n v="0"/>
    <n v="0"/>
    <n v="40"/>
    <s v="United-States"/>
    <x v="1"/>
    <e v="#N/A"/>
    <n v="40"/>
  </r>
  <r>
    <s v="259"/>
    <n v="32"/>
    <s v="Private"/>
    <n v="207685"/>
    <x v="6"/>
    <n v="9"/>
    <s v="Married-civ-spouse"/>
    <s v="Handlers-cleaners"/>
    <s v="Wife"/>
    <s v="Black"/>
    <x v="0"/>
    <n v="3908"/>
    <n v="0"/>
    <n v="40"/>
    <s v="United-States"/>
    <x v="0"/>
    <n v="40"/>
    <e v="#N/A"/>
  </r>
  <r>
    <s v="260"/>
    <n v="38"/>
    <s v="Private"/>
    <n v="170861"/>
    <x v="2"/>
    <n v="10"/>
    <s v="Never-married"/>
    <s v="Adm-clerical"/>
    <s v="Own-child"/>
    <s v="White"/>
    <x v="0"/>
    <n v="0"/>
    <n v="0"/>
    <n v="40"/>
    <s v="United-States"/>
    <x v="0"/>
    <n v="40"/>
    <e v="#N/A"/>
  </r>
  <r>
    <s v="261"/>
    <n v="41"/>
    <s v="Self-emp-not-inc"/>
    <n v="223763"/>
    <x v="7"/>
    <n v="14"/>
    <s v="Married-civ-spouse"/>
    <s v="Craft-repair"/>
    <s v="Husband"/>
    <s v="White"/>
    <x v="1"/>
    <n v="0"/>
    <n v="0"/>
    <n v="65"/>
    <s v="United-States"/>
    <x v="0"/>
    <e v="#N/A"/>
    <n v="65"/>
  </r>
  <r>
    <s v="262"/>
    <n v="27"/>
    <s v="Private"/>
    <n v="108431"/>
    <x v="2"/>
    <n v="10"/>
    <s v="Never-married"/>
    <s v="Craft-repair"/>
    <s v="Not-in-family"/>
    <s v="Black"/>
    <x v="1"/>
    <n v="0"/>
    <n v="0"/>
    <n v="40"/>
    <s v="United-States"/>
    <x v="0"/>
    <e v="#N/A"/>
    <n v="40"/>
  </r>
  <r>
    <s v="263"/>
    <n v="52"/>
    <s v="Self-emp-not-inc"/>
    <n v="123011"/>
    <x v="10"/>
    <n v="15"/>
    <s v="Married-civ-spouse"/>
    <s v="Prof-specialty"/>
    <s v="Husband"/>
    <s v="White"/>
    <x v="1"/>
    <n v="0"/>
    <n v="0"/>
    <n v="50"/>
    <s v="United-States"/>
    <x v="1"/>
    <e v="#N/A"/>
    <n v="50"/>
  </r>
  <r>
    <s v="264"/>
    <n v="28"/>
    <s v="Private"/>
    <n v="243660"/>
    <x v="6"/>
    <n v="9"/>
    <s v="Married-civ-spouse"/>
    <s v="Transport-moving"/>
    <s v="Husband"/>
    <s v="White"/>
    <x v="1"/>
    <n v="0"/>
    <n v="0"/>
    <n v="40"/>
    <s v="United-States"/>
    <x v="0"/>
    <e v="#N/A"/>
    <n v="40"/>
  </r>
  <r>
    <s v="265"/>
    <n v="54"/>
    <s v="Self-emp-not-inc"/>
    <n v="71344"/>
    <x v="7"/>
    <n v="14"/>
    <s v="Divorced"/>
    <s v="Prof-specialty"/>
    <s v="Not-in-family"/>
    <s v="White"/>
    <x v="1"/>
    <n v="0"/>
    <n v="0"/>
    <n v="50"/>
    <s v="United-States"/>
    <x v="1"/>
    <e v="#N/A"/>
    <n v="50"/>
  </r>
  <r>
    <s v="266"/>
    <n v="71"/>
    <s v="?"/>
    <n v="125101"/>
    <x v="9"/>
    <n v="11"/>
    <s v="Widowed"/>
    <s v="?"/>
    <s v="Not-in-family"/>
    <s v="White"/>
    <x v="0"/>
    <n v="0"/>
    <n v="0"/>
    <n v="40"/>
    <s v="United-States"/>
    <x v="0"/>
    <n v="40"/>
    <e v="#N/A"/>
  </r>
  <r>
    <s v="267"/>
    <n v="57"/>
    <s v="Private"/>
    <n v="169329"/>
    <x v="6"/>
    <n v="9"/>
    <s v="Married-civ-spouse"/>
    <s v="Tech-support"/>
    <s v="Husband"/>
    <s v="Black"/>
    <x v="1"/>
    <n v="0"/>
    <n v="1887"/>
    <n v="40"/>
    <s v="Trinadad&amp;Tobago"/>
    <x v="1"/>
    <e v="#N/A"/>
    <n v="40"/>
  </r>
  <r>
    <s v="268"/>
    <n v="33"/>
    <s v="Private"/>
    <n v="355856"/>
    <x v="1"/>
    <n v="12"/>
    <s v="Married-civ-spouse"/>
    <s v="Sales"/>
    <s v="Husband"/>
    <s v="Asian-Pac-Islander"/>
    <x v="1"/>
    <n v="0"/>
    <n v="0"/>
    <n v="60"/>
    <s v="United-States"/>
    <x v="0"/>
    <e v="#N/A"/>
    <n v="60"/>
  </r>
  <r>
    <s v="269"/>
    <n v="50"/>
    <s v="Private"/>
    <n v="108926"/>
    <x v="2"/>
    <n v="10"/>
    <s v="Divorced"/>
    <s v="Machine-op-inspct"/>
    <s v="Not-in-family"/>
    <s v="Black"/>
    <x v="0"/>
    <n v="0"/>
    <n v="0"/>
    <n v="40"/>
    <s v="United-States"/>
    <x v="0"/>
    <n v="40"/>
    <e v="#N/A"/>
  </r>
  <r>
    <s v="270"/>
    <n v="66"/>
    <s v="Self-emp-inc"/>
    <n v="220543"/>
    <x v="6"/>
    <n v="9"/>
    <s v="Married-civ-spouse"/>
    <s v="Adm-clerical"/>
    <s v="Wife"/>
    <s v="White"/>
    <x v="0"/>
    <n v="0"/>
    <n v="0"/>
    <n v="40"/>
    <s v="United-States"/>
    <x v="1"/>
    <n v="40"/>
    <e v="#N/A"/>
  </r>
  <r>
    <s v="271"/>
    <n v="41"/>
    <s v="Private"/>
    <n v="198425"/>
    <x v="2"/>
    <n v="10"/>
    <s v="Married-civ-spouse"/>
    <s v="Craft-repair"/>
    <s v="Husband"/>
    <s v="White"/>
    <x v="1"/>
    <n v="0"/>
    <n v="0"/>
    <n v="45"/>
    <s v="United-States"/>
    <x v="0"/>
    <e v="#N/A"/>
    <n v="45"/>
  </r>
  <r>
    <s v="272"/>
    <n v="25"/>
    <s v="Private"/>
    <n v="193701"/>
    <x v="5"/>
    <n v="13"/>
    <s v="Never-married"/>
    <s v="Other-service"/>
    <s v="Not-in-family"/>
    <s v="White"/>
    <x v="0"/>
    <n v="0"/>
    <n v="0"/>
    <n v="38"/>
    <s v="United-States"/>
    <x v="0"/>
    <n v="38"/>
    <e v="#N/A"/>
  </r>
  <r>
    <s v="273"/>
    <n v="31"/>
    <s v="State-gov"/>
    <n v="157673"/>
    <x v="6"/>
    <n v="9"/>
    <s v="Married-civ-spouse"/>
    <s v="Farming-fishing"/>
    <s v="Husband"/>
    <s v="White"/>
    <x v="1"/>
    <n v="0"/>
    <n v="0"/>
    <n v="40"/>
    <s v="United-States"/>
    <x v="0"/>
    <e v="#N/A"/>
    <n v="40"/>
  </r>
  <r>
    <s v="274"/>
    <n v="47"/>
    <s v="Private"/>
    <n v="191957"/>
    <x v="5"/>
    <n v="13"/>
    <s v="Married-civ-spouse"/>
    <s v="Sales"/>
    <s v="Husband"/>
    <s v="Black"/>
    <x v="1"/>
    <n v="0"/>
    <n v="0"/>
    <n v="40"/>
    <s v="United-States"/>
    <x v="1"/>
    <e v="#N/A"/>
    <n v="40"/>
  </r>
  <r>
    <s v="275"/>
    <n v="21"/>
    <s v="Private"/>
    <n v="162228"/>
    <x v="2"/>
    <n v="10"/>
    <s v="Never-married"/>
    <s v="Adm-clerical"/>
    <s v="Own-child"/>
    <s v="White"/>
    <x v="1"/>
    <n v="0"/>
    <n v="0"/>
    <n v="40"/>
    <s v="United-States"/>
    <x v="0"/>
    <e v="#N/A"/>
    <n v="40"/>
  </r>
  <r>
    <s v="276"/>
    <n v="64"/>
    <s v="Local-gov"/>
    <n v="182866"/>
    <x v="6"/>
    <n v="9"/>
    <s v="Widowed"/>
    <s v="Other-service"/>
    <s v="Unmarried"/>
    <s v="White"/>
    <x v="0"/>
    <n v="0"/>
    <n v="0"/>
    <n v="40"/>
    <s v="United-States"/>
    <x v="0"/>
    <n v="40"/>
    <e v="#N/A"/>
  </r>
  <r>
    <s v="277"/>
    <n v="39"/>
    <s v="Federal-gov"/>
    <n v="432555"/>
    <x v="6"/>
    <n v="9"/>
    <s v="Married-civ-spouse"/>
    <s v="Adm-clerical"/>
    <s v="Husband"/>
    <s v="Black"/>
    <x v="1"/>
    <n v="0"/>
    <n v="1628"/>
    <n v="40"/>
    <s v="United-States"/>
    <x v="0"/>
    <e v="#N/A"/>
    <n v="40"/>
  </r>
  <r>
    <s v="278"/>
    <n v="26"/>
    <s v="Private"/>
    <n v="56929"/>
    <x v="5"/>
    <n v="13"/>
    <s v="Never-married"/>
    <s v="Exec-managerial"/>
    <s v="Not-in-family"/>
    <s v="Black"/>
    <x v="1"/>
    <n v="0"/>
    <n v="0"/>
    <n v="50"/>
    <s v="?"/>
    <x v="0"/>
    <e v="#N/A"/>
    <n v="50"/>
  </r>
  <r>
    <s v="279"/>
    <n v="22"/>
    <s v="Private"/>
    <n v="190968"/>
    <x v="6"/>
    <n v="9"/>
    <s v="Married-civ-spouse"/>
    <s v="Other-service"/>
    <s v="Husband"/>
    <s v="White"/>
    <x v="1"/>
    <n v="0"/>
    <n v="0"/>
    <n v="40"/>
    <s v="United-States"/>
    <x v="0"/>
    <e v="#N/A"/>
    <n v="40"/>
  </r>
  <r>
    <s v="280"/>
    <n v="30"/>
    <s v="Private"/>
    <n v="206051"/>
    <x v="6"/>
    <n v="9"/>
    <s v="Married-civ-spouse"/>
    <s v="Transport-moving"/>
    <s v="Husband"/>
    <s v="White"/>
    <x v="1"/>
    <n v="0"/>
    <n v="0"/>
    <n v="40"/>
    <s v="United-States"/>
    <x v="0"/>
    <e v="#N/A"/>
    <n v="40"/>
  </r>
  <r>
    <s v="281"/>
    <n v="30"/>
    <s v="Private"/>
    <n v="188398"/>
    <x v="6"/>
    <n v="9"/>
    <s v="Married-spouse-absent"/>
    <s v="Adm-clerical"/>
    <s v="Not-in-family"/>
    <s v="White"/>
    <x v="0"/>
    <n v="0"/>
    <n v="0"/>
    <n v="30"/>
    <s v="United-States"/>
    <x v="0"/>
    <n v="30"/>
    <e v="#N/A"/>
  </r>
  <r>
    <s v="282"/>
    <n v="49"/>
    <s v="Private"/>
    <n v="147002"/>
    <x v="6"/>
    <n v="9"/>
    <s v="Never-married"/>
    <s v="Craft-repair"/>
    <s v="Unmarried"/>
    <s v="White"/>
    <x v="0"/>
    <n v="0"/>
    <n v="0"/>
    <n v="40"/>
    <s v="Puerto-Rico"/>
    <x v="0"/>
    <n v="40"/>
    <e v="#N/A"/>
  </r>
  <r>
    <s v="283"/>
    <n v="22"/>
    <s v="Private"/>
    <n v="72310"/>
    <x v="0"/>
    <n v="7"/>
    <s v="Never-married"/>
    <s v="Transport-moving"/>
    <s v="Not-in-family"/>
    <s v="White"/>
    <x v="1"/>
    <n v="0"/>
    <n v="0"/>
    <n v="65"/>
    <s v="United-States"/>
    <x v="0"/>
    <e v="#N/A"/>
    <n v="65"/>
  </r>
  <r>
    <s v="284"/>
    <n v="46"/>
    <s v="Local-gov"/>
    <n v="226871"/>
    <x v="5"/>
    <n v="13"/>
    <s v="Divorced"/>
    <s v="Protective-serv"/>
    <s v="Not-in-family"/>
    <s v="Black"/>
    <x v="1"/>
    <n v="0"/>
    <n v="0"/>
    <n v="50"/>
    <s v="United-States"/>
    <x v="1"/>
    <e v="#N/A"/>
    <n v="50"/>
  </r>
  <r>
    <s v="285"/>
    <n v="55"/>
    <s v="Private"/>
    <n v="23789"/>
    <x v="6"/>
    <n v="9"/>
    <s v="Divorced"/>
    <s v="Exec-managerial"/>
    <s v="Not-in-family"/>
    <s v="White"/>
    <x v="0"/>
    <n v="0"/>
    <n v="0"/>
    <n v="40"/>
    <s v="United-States"/>
    <x v="0"/>
    <n v="40"/>
    <e v="#N/A"/>
  </r>
  <r>
    <s v="286"/>
    <n v="41"/>
    <s v="Private"/>
    <n v="219591"/>
    <x v="6"/>
    <n v="9"/>
    <s v="Never-married"/>
    <s v="Adm-clerical"/>
    <s v="Own-child"/>
    <s v="White"/>
    <x v="1"/>
    <n v="0"/>
    <n v="0"/>
    <n v="40"/>
    <s v="United-States"/>
    <x v="0"/>
    <e v="#N/A"/>
    <n v="40"/>
  </r>
  <r>
    <s v="287"/>
    <n v="65"/>
    <s v="Private"/>
    <n v="150095"/>
    <x v="5"/>
    <n v="13"/>
    <s v="Married-civ-spouse"/>
    <s v="Exec-managerial"/>
    <s v="Husband"/>
    <s v="White"/>
    <x v="1"/>
    <n v="0"/>
    <n v="0"/>
    <n v="40"/>
    <s v="United-States"/>
    <x v="1"/>
    <e v="#N/A"/>
    <n v="40"/>
  </r>
  <r>
    <s v="288"/>
    <n v="38"/>
    <s v="Private"/>
    <n v="146178"/>
    <x v="6"/>
    <n v="9"/>
    <s v="Never-married"/>
    <s v="Craft-repair"/>
    <s v="Unmarried"/>
    <s v="Black"/>
    <x v="0"/>
    <n v="0"/>
    <n v="0"/>
    <n v="40"/>
    <s v="United-States"/>
    <x v="0"/>
    <n v="40"/>
    <e v="#N/A"/>
  </r>
  <r>
    <s v="289"/>
    <n v="75"/>
    <s v="Self-emp-inc"/>
    <n v="125197"/>
    <x v="6"/>
    <n v="9"/>
    <s v="Married-civ-spouse"/>
    <s v="Adm-clerical"/>
    <s v="Husband"/>
    <s v="White"/>
    <x v="1"/>
    <n v="0"/>
    <n v="0"/>
    <n v="26"/>
    <s v="United-States"/>
    <x v="0"/>
    <e v="#N/A"/>
    <n v="26"/>
  </r>
  <r>
    <s v="290"/>
    <n v="68"/>
    <s v="Private"/>
    <n v="165017"/>
    <x v="6"/>
    <n v="9"/>
    <s v="Married-civ-spouse"/>
    <s v="Prof-specialty"/>
    <s v="Husband"/>
    <s v="White"/>
    <x v="1"/>
    <n v="0"/>
    <n v="0"/>
    <n v="40"/>
    <s v="Italy"/>
    <x v="1"/>
    <e v="#N/A"/>
    <n v="40"/>
  </r>
  <r>
    <s v="291"/>
    <n v="43"/>
    <s v="Private"/>
    <n v="373403"/>
    <x v="9"/>
    <n v="11"/>
    <s v="Married-civ-spouse"/>
    <s v="Craft-repair"/>
    <s v="Husband"/>
    <s v="White"/>
    <x v="1"/>
    <n v="0"/>
    <n v="0"/>
    <n v="40"/>
    <s v="United-States"/>
    <x v="0"/>
    <e v="#N/A"/>
    <n v="40"/>
  </r>
  <r>
    <s v="292"/>
    <n v="20"/>
    <s v="Private"/>
    <n v="38620"/>
    <x v="2"/>
    <n v="10"/>
    <s v="Never-married"/>
    <s v="Other-service"/>
    <s v="Own-child"/>
    <s v="White"/>
    <x v="1"/>
    <n v="0"/>
    <n v="0"/>
    <n v="20"/>
    <s v="United-States"/>
    <x v="0"/>
    <e v="#N/A"/>
    <n v="20"/>
  </r>
  <r>
    <s v="293"/>
    <n v="32"/>
    <s v="Private"/>
    <n v="192039"/>
    <x v="9"/>
    <n v="11"/>
    <s v="Married-civ-spouse"/>
    <s v="Prof-specialty"/>
    <s v="Wife"/>
    <s v="White"/>
    <x v="0"/>
    <n v="0"/>
    <n v="0"/>
    <n v="40"/>
    <s v="United-States"/>
    <x v="1"/>
    <n v="40"/>
    <e v="#N/A"/>
  </r>
  <r>
    <s v="294"/>
    <n v="31"/>
    <s v="Private"/>
    <n v="200117"/>
    <x v="6"/>
    <n v="9"/>
    <s v="Divorced"/>
    <s v="Adm-clerical"/>
    <s v="Not-in-family"/>
    <s v="White"/>
    <x v="1"/>
    <n v="0"/>
    <n v="0"/>
    <n v="40"/>
    <s v="United-States"/>
    <x v="0"/>
    <e v="#N/A"/>
    <n v="40"/>
  </r>
  <r>
    <s v="295"/>
    <n v="45"/>
    <s v="Private"/>
    <n v="200471"/>
    <x v="6"/>
    <n v="9"/>
    <s v="Married-civ-spouse"/>
    <s v="Adm-clerical"/>
    <s v="Husband"/>
    <s v="White"/>
    <x v="1"/>
    <n v="0"/>
    <n v="0"/>
    <n v="35"/>
    <s v="United-States"/>
    <x v="0"/>
    <e v="#N/A"/>
    <n v="35"/>
  </r>
  <r>
    <s v="296"/>
    <n v="23"/>
    <s v="Private"/>
    <n v="112683"/>
    <x v="2"/>
    <n v="10"/>
    <s v="Never-married"/>
    <s v="Sales"/>
    <s v="Own-child"/>
    <s v="White"/>
    <x v="0"/>
    <n v="0"/>
    <n v="0"/>
    <n v="12"/>
    <s v="United-States"/>
    <x v="0"/>
    <n v="12"/>
    <e v="#N/A"/>
  </r>
  <r>
    <s v="297"/>
    <n v="34"/>
    <s v="Private"/>
    <n v="345705"/>
    <x v="6"/>
    <n v="9"/>
    <s v="Divorced"/>
    <s v="Craft-repair"/>
    <s v="Not-in-family"/>
    <s v="White"/>
    <x v="1"/>
    <n v="0"/>
    <n v="1408"/>
    <n v="38"/>
    <s v="United-States"/>
    <x v="0"/>
    <e v="#N/A"/>
    <n v="38"/>
  </r>
  <r>
    <s v="298"/>
    <n v="36"/>
    <s v="Private"/>
    <n v="201769"/>
    <x v="0"/>
    <n v="7"/>
    <s v="Never-married"/>
    <s v="Protective-serv"/>
    <s v="Not-in-family"/>
    <s v="Black"/>
    <x v="1"/>
    <n v="13550"/>
    <n v="0"/>
    <n v="40"/>
    <s v="United-States"/>
    <x v="1"/>
    <e v="#N/A"/>
    <n v="40"/>
  </r>
  <r>
    <s v="299"/>
    <n v="42"/>
    <s v="Private"/>
    <n v="99679"/>
    <x v="6"/>
    <n v="9"/>
    <s v="Married-civ-spouse"/>
    <s v="Transport-moving"/>
    <s v="Husband"/>
    <s v="White"/>
    <x v="1"/>
    <n v="0"/>
    <n v="0"/>
    <n v="60"/>
    <s v="United-States"/>
    <x v="1"/>
    <e v="#N/A"/>
    <n v="60"/>
  </r>
  <r>
    <s v="300"/>
    <n v="63"/>
    <s v="Self-emp-not-inc"/>
    <n v="420629"/>
    <x v="9"/>
    <n v="11"/>
    <s v="Married-civ-spouse"/>
    <s v="Other-service"/>
    <s v="Husband"/>
    <s v="White"/>
    <x v="1"/>
    <n v="0"/>
    <n v="0"/>
    <n v="45"/>
    <s v="United-States"/>
    <x v="0"/>
    <e v="#N/A"/>
    <n v="45"/>
  </r>
  <r>
    <s v="301"/>
    <n v="44"/>
    <s v="Federal-gov"/>
    <n v="102238"/>
    <x v="6"/>
    <n v="9"/>
    <s v="Divorced"/>
    <s v="Craft-repair"/>
    <s v="Unmarried"/>
    <s v="White"/>
    <x v="1"/>
    <n v="0"/>
    <n v="0"/>
    <n v="40"/>
    <s v="United-States"/>
    <x v="0"/>
    <e v="#N/A"/>
    <n v="40"/>
  </r>
  <r>
    <s v="302"/>
    <n v="35"/>
    <s v="Private"/>
    <n v="178322"/>
    <x v="5"/>
    <n v="13"/>
    <s v="Married-civ-spouse"/>
    <s v="Sales"/>
    <s v="Husband"/>
    <s v="White"/>
    <x v="1"/>
    <n v="0"/>
    <n v="0"/>
    <n v="40"/>
    <s v="United-States"/>
    <x v="1"/>
    <e v="#N/A"/>
    <n v="40"/>
  </r>
  <r>
    <s v="303"/>
    <n v="30"/>
    <s v="Private"/>
    <n v="149427"/>
    <x v="14"/>
    <n v="5"/>
    <s v="Never-married"/>
    <s v="Craft-repair"/>
    <s v="Own-child"/>
    <s v="White"/>
    <x v="1"/>
    <n v="0"/>
    <n v="0"/>
    <n v="45"/>
    <s v="United-States"/>
    <x v="0"/>
    <e v="#N/A"/>
    <n v="45"/>
  </r>
  <r>
    <s v="304"/>
    <n v="47"/>
    <s v="?"/>
    <n v="178013"/>
    <x v="8"/>
    <n v="6"/>
    <s v="Married-civ-spouse"/>
    <s v="?"/>
    <s v="Wife"/>
    <s v="White"/>
    <x v="0"/>
    <n v="0"/>
    <n v="0"/>
    <n v="20"/>
    <s v="Cuba"/>
    <x v="0"/>
    <n v="20"/>
    <e v="#N/A"/>
  </r>
  <r>
    <s v="305"/>
    <n v="34"/>
    <s v="Private"/>
    <n v="318886"/>
    <x v="6"/>
    <n v="9"/>
    <s v="Married-civ-spouse"/>
    <s v="Farming-fishing"/>
    <s v="Husband"/>
    <s v="Black"/>
    <x v="1"/>
    <n v="0"/>
    <n v="0"/>
    <n v="40"/>
    <s v="United-States"/>
    <x v="0"/>
    <e v="#N/A"/>
    <n v="40"/>
  </r>
  <r>
    <s v="306"/>
    <n v="38"/>
    <s v="Private"/>
    <n v="110402"/>
    <x v="9"/>
    <n v="11"/>
    <s v="Married-civ-spouse"/>
    <s v="Machine-op-inspct"/>
    <s v="Husband"/>
    <s v="White"/>
    <x v="1"/>
    <n v="0"/>
    <n v="0"/>
    <n v="40"/>
    <s v="United-States"/>
    <x v="0"/>
    <e v="#N/A"/>
    <n v="40"/>
  </r>
  <r>
    <s v="307"/>
    <n v="31"/>
    <s v="Private"/>
    <n v="323069"/>
    <x v="1"/>
    <n v="12"/>
    <s v="Divorced"/>
    <s v="Sales"/>
    <s v="Unmarried"/>
    <s v="White"/>
    <x v="0"/>
    <n v="0"/>
    <n v="880"/>
    <n v="45"/>
    <s v="United-States"/>
    <x v="0"/>
    <n v="45"/>
    <e v="#N/A"/>
  </r>
  <r>
    <s v="308"/>
    <n v="60"/>
    <s v="Private"/>
    <n v="114263"/>
    <x v="5"/>
    <n v="13"/>
    <s v="Divorced"/>
    <s v="Exec-managerial"/>
    <s v="Not-in-family"/>
    <s v="White"/>
    <x v="0"/>
    <n v="0"/>
    <n v="0"/>
    <n v="40"/>
    <s v="Hungary"/>
    <x v="1"/>
    <n v="40"/>
    <e v="#N/A"/>
  </r>
  <r>
    <s v="309"/>
    <n v="22"/>
    <s v="Private"/>
    <n v="103277"/>
    <x v="1"/>
    <n v="12"/>
    <s v="Never-married"/>
    <s v="Adm-clerical"/>
    <s v="Own-child"/>
    <s v="White"/>
    <x v="0"/>
    <n v="0"/>
    <n v="0"/>
    <n v="20"/>
    <s v="United-States"/>
    <x v="0"/>
    <n v="20"/>
    <e v="#N/A"/>
  </r>
  <r>
    <s v="310"/>
    <n v="53"/>
    <s v="Private"/>
    <n v="82646"/>
    <x v="13"/>
    <n v="16"/>
    <s v="Divorced"/>
    <s v="Exec-managerial"/>
    <s v="Not-in-family"/>
    <s v="White"/>
    <x v="0"/>
    <n v="0"/>
    <n v="0"/>
    <n v="55"/>
    <s v="United-States"/>
    <x v="1"/>
    <n v="55"/>
    <e v="#N/A"/>
  </r>
  <r>
    <s v="311"/>
    <n v="90"/>
    <s v="Private"/>
    <n v="90523"/>
    <x v="6"/>
    <n v="9"/>
    <s v="Widowed"/>
    <s v="Transport-moving"/>
    <s v="Unmarried"/>
    <s v="White"/>
    <x v="1"/>
    <n v="0"/>
    <n v="0"/>
    <n v="99"/>
    <s v="United-States"/>
    <x v="0"/>
    <e v="#N/A"/>
    <n v="99"/>
  </r>
  <r>
    <s v="312"/>
    <n v="39"/>
    <s v="Private"/>
    <n v="147548"/>
    <x v="6"/>
    <n v="9"/>
    <s v="Married-civ-spouse"/>
    <s v="Craft-repair"/>
    <s v="Husband"/>
    <s v="White"/>
    <x v="1"/>
    <n v="0"/>
    <n v="0"/>
    <n v="40"/>
    <s v="United-States"/>
    <x v="0"/>
    <e v="#N/A"/>
    <n v="40"/>
  </r>
  <r>
    <s v="313"/>
    <n v="51"/>
    <s v="Private"/>
    <n v="108435"/>
    <x v="7"/>
    <n v="14"/>
    <s v="Married-civ-spouse"/>
    <s v="Prof-specialty"/>
    <s v="Husband"/>
    <s v="White"/>
    <x v="1"/>
    <n v="0"/>
    <n v="0"/>
    <n v="47"/>
    <s v="United-States"/>
    <x v="1"/>
    <e v="#N/A"/>
    <n v="47"/>
  </r>
  <r>
    <s v="314"/>
    <n v="51"/>
    <s v="Self-emp-not-inc"/>
    <n v="136836"/>
    <x v="1"/>
    <n v="12"/>
    <s v="Divorced"/>
    <s v="Transport-moving"/>
    <s v="Unmarried"/>
    <s v="Black"/>
    <x v="0"/>
    <n v="0"/>
    <n v="0"/>
    <n v="30"/>
    <s v="United-States"/>
    <x v="0"/>
    <n v="30"/>
    <e v="#N/A"/>
  </r>
  <r>
    <s v="315"/>
    <n v="42"/>
    <s v="Private"/>
    <n v="350387"/>
    <x v="6"/>
    <n v="9"/>
    <s v="Separated"/>
    <s v="Machine-op-inspct"/>
    <s v="Not-in-family"/>
    <s v="White"/>
    <x v="1"/>
    <n v="0"/>
    <n v="0"/>
    <n v="15"/>
    <s v="United-States"/>
    <x v="0"/>
    <e v="#N/A"/>
    <n v="15"/>
  </r>
  <r>
    <s v="316"/>
    <n v="36"/>
    <s v="Private"/>
    <n v="149833"/>
    <x v="6"/>
    <n v="9"/>
    <s v="Married-civ-spouse"/>
    <s v="Exec-managerial"/>
    <s v="Wife"/>
    <s v="White"/>
    <x v="0"/>
    <n v="0"/>
    <n v="0"/>
    <n v="40"/>
    <s v="United-States"/>
    <x v="0"/>
    <n v="40"/>
    <e v="#N/A"/>
  </r>
  <r>
    <s v="317"/>
    <n v="57"/>
    <s v="Local-gov"/>
    <n v="130532"/>
    <x v="5"/>
    <n v="13"/>
    <s v="Widowed"/>
    <s v="Prof-specialty"/>
    <s v="Not-in-family"/>
    <s v="White"/>
    <x v="0"/>
    <n v="0"/>
    <n v="0"/>
    <n v="35"/>
    <s v="United-States"/>
    <x v="0"/>
    <n v="35"/>
    <e v="#N/A"/>
  </r>
  <r>
    <s v="318"/>
    <n v="71"/>
    <s v="Local-gov"/>
    <n v="229110"/>
    <x v="6"/>
    <n v="9"/>
    <s v="Widowed"/>
    <s v="Exec-managerial"/>
    <s v="Other-relative"/>
    <s v="White"/>
    <x v="0"/>
    <n v="0"/>
    <n v="0"/>
    <n v="33"/>
    <s v="United-States"/>
    <x v="0"/>
    <n v="33"/>
    <e v="#N/A"/>
  </r>
  <r>
    <s v="319"/>
    <n v="53"/>
    <s v="Private"/>
    <n v="260106"/>
    <x v="6"/>
    <n v="9"/>
    <s v="Widowed"/>
    <s v="Sales"/>
    <s v="Not-in-family"/>
    <s v="White"/>
    <x v="0"/>
    <n v="0"/>
    <n v="0"/>
    <n v="30"/>
    <s v="United-States"/>
    <x v="0"/>
    <n v="30"/>
    <e v="#N/A"/>
  </r>
  <r>
    <s v="320"/>
    <n v="23"/>
    <s v="Private"/>
    <n v="51985"/>
    <x v="6"/>
    <n v="9"/>
    <s v="Never-married"/>
    <s v="Transport-moving"/>
    <s v="Not-in-family"/>
    <s v="White"/>
    <x v="1"/>
    <n v="0"/>
    <n v="0"/>
    <n v="38"/>
    <s v="United-States"/>
    <x v="0"/>
    <e v="#N/A"/>
    <n v="38"/>
  </r>
  <r>
    <s v="321"/>
    <n v="45"/>
    <s v="Local-gov"/>
    <n v="166181"/>
    <x v="6"/>
    <n v="9"/>
    <s v="Divorced"/>
    <s v="Other-service"/>
    <s v="Own-child"/>
    <s v="Black"/>
    <x v="0"/>
    <n v="0"/>
    <n v="0"/>
    <n v="40"/>
    <s v="United-States"/>
    <x v="0"/>
    <n v="40"/>
    <e v="#N/A"/>
  </r>
  <r>
    <s v="322"/>
    <n v="19"/>
    <s v="?"/>
    <n v="131982"/>
    <x v="2"/>
    <n v="10"/>
    <s v="Never-married"/>
    <s v="?"/>
    <s v="Own-child"/>
    <s v="White"/>
    <x v="1"/>
    <n v="0"/>
    <n v="0"/>
    <n v="40"/>
    <s v="United-States"/>
    <x v="0"/>
    <e v="#N/A"/>
    <n v="40"/>
  </r>
  <r>
    <s v="323"/>
    <n v="49"/>
    <s v="Federal-gov"/>
    <n v="128990"/>
    <x v="5"/>
    <n v="13"/>
    <s v="Married-civ-spouse"/>
    <s v="Prof-specialty"/>
    <s v="Husband"/>
    <s v="White"/>
    <x v="1"/>
    <n v="0"/>
    <n v="0"/>
    <n v="40"/>
    <s v="United-States"/>
    <x v="1"/>
    <e v="#N/A"/>
    <n v="40"/>
  </r>
  <r>
    <s v="324"/>
    <n v="36"/>
    <s v="Local-gov"/>
    <n v="130620"/>
    <x v="6"/>
    <n v="9"/>
    <s v="Married-civ-spouse"/>
    <s v="Adm-clerical"/>
    <s v="Wife"/>
    <s v="Asian-Pac-Islander"/>
    <x v="0"/>
    <n v="0"/>
    <n v="0"/>
    <n v="40"/>
    <s v="China"/>
    <x v="1"/>
    <n v="40"/>
    <e v="#N/A"/>
  </r>
  <r>
    <s v="325"/>
    <n v="32"/>
    <s v="Private"/>
    <n v="123291"/>
    <x v="4"/>
    <n v="8"/>
    <s v="Married-civ-spouse"/>
    <s v="Machine-op-inspct"/>
    <s v="Husband"/>
    <s v="White"/>
    <x v="1"/>
    <n v="0"/>
    <n v="0"/>
    <n v="40"/>
    <s v="United-States"/>
    <x v="0"/>
    <e v="#N/A"/>
    <n v="40"/>
  </r>
  <r>
    <s v="326"/>
    <n v="43"/>
    <s v="Private"/>
    <n v="427382"/>
    <x v="7"/>
    <n v="14"/>
    <s v="Never-married"/>
    <s v="Prof-specialty"/>
    <s v="Not-in-family"/>
    <s v="White"/>
    <x v="1"/>
    <n v="0"/>
    <n v="0"/>
    <n v="50"/>
    <s v="United-States"/>
    <x v="1"/>
    <e v="#N/A"/>
    <n v="50"/>
  </r>
  <r>
    <s v="327"/>
    <n v="23"/>
    <s v="Private"/>
    <n v="198996"/>
    <x v="6"/>
    <n v="9"/>
    <s v="Never-married"/>
    <s v="Adm-clerical"/>
    <s v="Not-in-family"/>
    <s v="White"/>
    <x v="0"/>
    <n v="0"/>
    <n v="0"/>
    <n v="40"/>
    <s v="United-States"/>
    <x v="0"/>
    <n v="40"/>
    <e v="#N/A"/>
  </r>
  <r>
    <s v="328"/>
    <n v="32"/>
    <s v="Private"/>
    <n v="207668"/>
    <x v="6"/>
    <n v="9"/>
    <s v="Married-civ-spouse"/>
    <s v="Craft-repair"/>
    <s v="Husband"/>
    <s v="White"/>
    <x v="1"/>
    <n v="0"/>
    <n v="0"/>
    <n v="50"/>
    <s v="United-States"/>
    <x v="0"/>
    <e v="#N/A"/>
    <n v="50"/>
  </r>
  <r>
    <s v="329"/>
    <n v="35"/>
    <s v="Private"/>
    <n v="170092"/>
    <x v="6"/>
    <n v="9"/>
    <s v="Married-spouse-absent"/>
    <s v="Other-service"/>
    <s v="Unmarried"/>
    <s v="Black"/>
    <x v="0"/>
    <n v="0"/>
    <n v="0"/>
    <n v="20"/>
    <s v="United-States"/>
    <x v="0"/>
    <n v="20"/>
    <e v="#N/A"/>
  </r>
  <r>
    <s v="330"/>
    <n v="30"/>
    <s v="Private"/>
    <n v="114691"/>
    <x v="6"/>
    <n v="9"/>
    <s v="Never-married"/>
    <s v="Farming-fishing"/>
    <s v="Own-child"/>
    <s v="White"/>
    <x v="1"/>
    <n v="0"/>
    <n v="0"/>
    <n v="40"/>
    <s v="United-States"/>
    <x v="0"/>
    <e v="#N/A"/>
    <n v="40"/>
  </r>
  <r>
    <s v="331"/>
    <n v="59"/>
    <s v="Private"/>
    <n v="307423"/>
    <x v="14"/>
    <n v="5"/>
    <s v="Never-married"/>
    <s v="Other-service"/>
    <s v="Not-in-family"/>
    <s v="Black"/>
    <x v="1"/>
    <n v="0"/>
    <n v="0"/>
    <n v="50"/>
    <s v="United-States"/>
    <x v="0"/>
    <e v="#N/A"/>
    <n v="50"/>
  </r>
  <r>
    <s v="332"/>
    <n v="37"/>
    <s v="Private"/>
    <n v="103323"/>
    <x v="1"/>
    <n v="12"/>
    <s v="Married-civ-spouse"/>
    <s v="Sales"/>
    <s v="Husband"/>
    <s v="White"/>
    <x v="1"/>
    <n v="0"/>
    <n v="0"/>
    <n v="40"/>
    <s v="United-States"/>
    <x v="0"/>
    <e v="#N/A"/>
    <n v="40"/>
  </r>
  <r>
    <s v="333"/>
    <n v="36"/>
    <s v="Private"/>
    <n v="162651"/>
    <x v="6"/>
    <n v="9"/>
    <s v="Separated"/>
    <s v="Adm-clerical"/>
    <s v="Not-in-family"/>
    <s v="White"/>
    <x v="1"/>
    <n v="0"/>
    <n v="0"/>
    <n v="40"/>
    <s v="Columbia"/>
    <x v="0"/>
    <e v="#N/A"/>
    <n v="40"/>
  </r>
  <r>
    <s v="334"/>
    <n v="34"/>
    <s v="?"/>
    <n v="205256"/>
    <x v="6"/>
    <n v="9"/>
    <s v="Married-civ-spouse"/>
    <s v="?"/>
    <s v="Husband"/>
    <s v="White"/>
    <x v="1"/>
    <n v="2885"/>
    <n v="0"/>
    <n v="80"/>
    <s v="United-States"/>
    <x v="0"/>
    <e v="#N/A"/>
    <n v="80"/>
  </r>
  <r>
    <s v="335"/>
    <n v="25"/>
    <s v="Private"/>
    <n v="148300"/>
    <x v="5"/>
    <n v="13"/>
    <s v="Never-married"/>
    <s v="Prof-specialty"/>
    <s v="Own-child"/>
    <s v="White"/>
    <x v="0"/>
    <n v="0"/>
    <n v="0"/>
    <n v="15"/>
    <s v="United-States"/>
    <x v="0"/>
    <n v="15"/>
    <e v="#N/A"/>
  </r>
  <r>
    <s v="336"/>
    <n v="32"/>
    <s v="Private"/>
    <n v="169589"/>
    <x v="9"/>
    <n v="11"/>
    <s v="Married-civ-spouse"/>
    <s v="Handlers-cleaners"/>
    <s v="Husband"/>
    <s v="White"/>
    <x v="1"/>
    <n v="0"/>
    <n v="0"/>
    <n v="40"/>
    <s v="United-States"/>
    <x v="1"/>
    <e v="#N/A"/>
    <n v="40"/>
  </r>
  <r>
    <s v="337"/>
    <n v="43"/>
    <s v="Private"/>
    <n v="145441"/>
    <x v="5"/>
    <n v="13"/>
    <s v="Married-civ-spouse"/>
    <s v="Exec-managerial"/>
    <s v="Husband"/>
    <s v="White"/>
    <x v="1"/>
    <n v="0"/>
    <n v="0"/>
    <n v="38"/>
    <s v="United-States"/>
    <x v="1"/>
    <e v="#N/A"/>
    <n v="38"/>
  </r>
  <r>
    <s v="338"/>
    <n v="58"/>
    <s v="Private"/>
    <n v="238438"/>
    <x v="2"/>
    <n v="10"/>
    <s v="Married-civ-spouse"/>
    <s v="Prof-specialty"/>
    <s v="Husband"/>
    <s v="White"/>
    <x v="1"/>
    <n v="0"/>
    <n v="0"/>
    <n v="42"/>
    <s v="United-States"/>
    <x v="0"/>
    <e v="#N/A"/>
    <n v="42"/>
  </r>
  <r>
    <s v="339"/>
    <n v="23"/>
    <s v="Private"/>
    <n v="170070"/>
    <x v="4"/>
    <n v="8"/>
    <s v="Never-married"/>
    <s v="Other-service"/>
    <s v="Not-in-family"/>
    <s v="White"/>
    <x v="0"/>
    <n v="0"/>
    <n v="0"/>
    <n v="38"/>
    <s v="United-States"/>
    <x v="0"/>
    <n v="38"/>
    <e v="#N/A"/>
  </r>
  <r>
    <s v="340"/>
    <n v="25"/>
    <s v="Private"/>
    <n v="207875"/>
    <x v="12"/>
    <n v="4"/>
    <s v="Married-civ-spouse"/>
    <s v="Handlers-cleaners"/>
    <s v="Husband"/>
    <s v="White"/>
    <x v="1"/>
    <n v="0"/>
    <n v="0"/>
    <n v="40"/>
    <s v="Mexico"/>
    <x v="0"/>
    <e v="#N/A"/>
    <n v="40"/>
  </r>
  <r>
    <s v="341"/>
    <n v="28"/>
    <s v="Private"/>
    <n v="137296"/>
    <x v="1"/>
    <n v="12"/>
    <s v="Never-married"/>
    <s v="Other-service"/>
    <s v="Not-in-family"/>
    <s v="Black"/>
    <x v="0"/>
    <n v="0"/>
    <n v="0"/>
    <n v="40"/>
    <s v="United-States"/>
    <x v="0"/>
    <n v="40"/>
    <e v="#N/A"/>
  </r>
  <r>
    <s v="342"/>
    <n v="34"/>
    <s v="Self-emp-not-inc"/>
    <n v="319165"/>
    <x v="13"/>
    <n v="16"/>
    <s v="Married-civ-spouse"/>
    <s v="Prof-specialty"/>
    <s v="Husband"/>
    <s v="White"/>
    <x v="1"/>
    <n v="0"/>
    <n v="0"/>
    <n v="50"/>
    <s v="United-States"/>
    <x v="1"/>
    <e v="#N/A"/>
    <n v="50"/>
  </r>
  <r>
    <s v="343"/>
    <n v="44"/>
    <s v="Private"/>
    <n v="128485"/>
    <x v="9"/>
    <n v="11"/>
    <s v="Married-civ-spouse"/>
    <s v="Craft-repair"/>
    <s v="Husband"/>
    <s v="Black"/>
    <x v="1"/>
    <n v="0"/>
    <n v="0"/>
    <n v="40"/>
    <s v="United-States"/>
    <x v="0"/>
    <e v="#N/A"/>
    <n v="40"/>
  </r>
  <r>
    <s v="344"/>
    <n v="22"/>
    <s v="Private"/>
    <n v="204935"/>
    <x v="6"/>
    <n v="9"/>
    <s v="Never-married"/>
    <s v="Machine-op-inspct"/>
    <s v="Own-child"/>
    <s v="White"/>
    <x v="1"/>
    <n v="0"/>
    <n v="0"/>
    <n v="40"/>
    <s v="United-States"/>
    <x v="0"/>
    <e v="#N/A"/>
    <n v="40"/>
  </r>
  <r>
    <s v="345"/>
    <n v="25"/>
    <s v="Private"/>
    <n v="441210"/>
    <x v="6"/>
    <n v="9"/>
    <s v="Never-married"/>
    <s v="Prof-specialty"/>
    <s v="Own-child"/>
    <s v="White"/>
    <x v="1"/>
    <n v="0"/>
    <n v="0"/>
    <n v="40"/>
    <s v="United-States"/>
    <x v="0"/>
    <e v="#N/A"/>
    <n v="40"/>
  </r>
  <r>
    <s v="346"/>
    <n v="52"/>
    <s v="Private"/>
    <n v="137428"/>
    <x v="6"/>
    <n v="9"/>
    <s v="Divorced"/>
    <s v="Transport-moving"/>
    <s v="Not-in-family"/>
    <s v="White"/>
    <x v="1"/>
    <n v="0"/>
    <n v="0"/>
    <n v="45"/>
    <s v="United-States"/>
    <x v="0"/>
    <e v="#N/A"/>
    <n v="45"/>
  </r>
  <r>
    <s v="347"/>
    <n v="32"/>
    <s v="Private"/>
    <n v="286689"/>
    <x v="1"/>
    <n v="12"/>
    <s v="Married-civ-spouse"/>
    <s v="Tech-support"/>
    <s v="Husband"/>
    <s v="White"/>
    <x v="1"/>
    <n v="0"/>
    <n v="0"/>
    <n v="42"/>
    <s v="United-States"/>
    <x v="1"/>
    <e v="#N/A"/>
    <n v="42"/>
  </r>
  <r>
    <s v="348"/>
    <n v="41"/>
    <s v="Private"/>
    <n v="244945"/>
    <x v="2"/>
    <n v="10"/>
    <s v="Married-civ-spouse"/>
    <s v="Exec-managerial"/>
    <s v="Husband"/>
    <s v="White"/>
    <x v="1"/>
    <n v="0"/>
    <n v="0"/>
    <n v="40"/>
    <s v="United-States"/>
    <x v="0"/>
    <e v="#N/A"/>
    <n v="40"/>
  </r>
  <r>
    <s v="349"/>
    <n v="18"/>
    <s v="Private"/>
    <n v="92008"/>
    <x v="6"/>
    <n v="9"/>
    <s v="Never-married"/>
    <s v="Handlers-cleaners"/>
    <s v="Other-relative"/>
    <s v="White"/>
    <x v="0"/>
    <n v="0"/>
    <n v="0"/>
    <n v="28"/>
    <s v="United-States"/>
    <x v="0"/>
    <n v="28"/>
    <e v="#N/A"/>
  </r>
  <r>
    <s v="350"/>
    <n v="37"/>
    <s v="Private"/>
    <n v="334291"/>
    <x v="5"/>
    <n v="13"/>
    <s v="Never-married"/>
    <s v="Exec-managerial"/>
    <s v="Not-in-family"/>
    <s v="White"/>
    <x v="1"/>
    <n v="0"/>
    <n v="0"/>
    <n v="50"/>
    <s v="United-States"/>
    <x v="0"/>
    <e v="#N/A"/>
    <n v="50"/>
  </r>
  <r>
    <s v="351"/>
    <n v="41"/>
    <s v="Private"/>
    <n v="279914"/>
    <x v="2"/>
    <n v="10"/>
    <s v="Married-civ-spouse"/>
    <s v="Adm-clerical"/>
    <s v="Husband"/>
    <s v="White"/>
    <x v="1"/>
    <n v="0"/>
    <n v="0"/>
    <n v="45"/>
    <s v="United-States"/>
    <x v="1"/>
    <e v="#N/A"/>
    <n v="45"/>
  </r>
  <r>
    <s v="352"/>
    <n v="28"/>
    <s v="Private"/>
    <n v="201954"/>
    <x v="1"/>
    <n v="12"/>
    <s v="Never-married"/>
    <s v="Exec-managerial"/>
    <s v="Not-in-family"/>
    <s v="White"/>
    <x v="1"/>
    <n v="0"/>
    <n v="0"/>
    <n v="65"/>
    <s v="United-States"/>
    <x v="1"/>
    <e v="#N/A"/>
    <n v="65"/>
  </r>
  <r>
    <s v="353"/>
    <n v="40"/>
    <s v="Private"/>
    <n v="374367"/>
    <x v="9"/>
    <n v="11"/>
    <s v="Separated"/>
    <s v="Sales"/>
    <s v="Not-in-family"/>
    <s v="Black"/>
    <x v="1"/>
    <n v="0"/>
    <n v="0"/>
    <n v="44"/>
    <s v="United-States"/>
    <x v="0"/>
    <e v="#N/A"/>
    <n v="44"/>
  </r>
  <r>
    <s v="354"/>
    <n v="44"/>
    <s v="Private"/>
    <n v="175669"/>
    <x v="0"/>
    <n v="7"/>
    <s v="Married-civ-spouse"/>
    <s v="Prof-specialty"/>
    <s v="Wife"/>
    <s v="White"/>
    <x v="0"/>
    <n v="5178"/>
    <n v="0"/>
    <n v="36"/>
    <s v="United-States"/>
    <x v="1"/>
    <n v="36"/>
    <e v="#N/A"/>
  </r>
  <r>
    <s v="355"/>
    <n v="48"/>
    <s v="?"/>
    <n v="167381"/>
    <x v="6"/>
    <n v="9"/>
    <s v="Widowed"/>
    <s v="?"/>
    <s v="Unmarried"/>
    <s v="White"/>
    <x v="0"/>
    <n v="0"/>
    <n v="0"/>
    <n v="25"/>
    <s v="United-States"/>
    <x v="0"/>
    <n v="25"/>
    <e v="#N/A"/>
  </r>
  <r>
    <s v="356"/>
    <n v="38"/>
    <s v="Private"/>
    <n v="497788"/>
    <x v="6"/>
    <n v="9"/>
    <s v="Married-civ-spouse"/>
    <s v="Craft-repair"/>
    <s v="Husband"/>
    <s v="White"/>
    <x v="1"/>
    <n v="0"/>
    <n v="0"/>
    <n v="50"/>
    <s v="United-States"/>
    <x v="0"/>
    <e v="#N/A"/>
    <n v="50"/>
  </r>
  <r>
    <s v="357"/>
    <n v="35"/>
    <s v="Private"/>
    <n v="82622"/>
    <x v="6"/>
    <n v="9"/>
    <s v="Divorced"/>
    <s v="Exec-managerial"/>
    <s v="Not-in-family"/>
    <s v="White"/>
    <x v="1"/>
    <n v="0"/>
    <n v="0"/>
    <n v="50"/>
    <s v="United-States"/>
    <x v="0"/>
    <e v="#N/A"/>
    <n v="50"/>
  </r>
  <r>
    <s v="358"/>
    <n v="22"/>
    <s v="Private"/>
    <n v="311376"/>
    <x v="5"/>
    <n v="13"/>
    <s v="Never-married"/>
    <s v="Adm-clerical"/>
    <s v="Own-child"/>
    <s v="White"/>
    <x v="0"/>
    <n v="0"/>
    <n v="0"/>
    <n v="40"/>
    <s v="United-States"/>
    <x v="0"/>
    <n v="40"/>
    <e v="#N/A"/>
  </r>
  <r>
    <s v="359"/>
    <n v="35"/>
    <s v="Private"/>
    <n v="224889"/>
    <x v="5"/>
    <n v="13"/>
    <s v="Married-civ-spouse"/>
    <s v="Sales"/>
    <s v="Husband"/>
    <s v="White"/>
    <x v="1"/>
    <n v="0"/>
    <n v="0"/>
    <n v="40"/>
    <s v="United-States"/>
    <x v="0"/>
    <e v="#N/A"/>
    <n v="40"/>
  </r>
  <r>
    <s v="360"/>
    <n v="28"/>
    <s v="Federal-gov"/>
    <n v="281860"/>
    <x v="5"/>
    <n v="13"/>
    <s v="Never-married"/>
    <s v="Prof-specialty"/>
    <s v="Not-in-family"/>
    <s v="White"/>
    <x v="0"/>
    <n v="0"/>
    <n v="0"/>
    <n v="40"/>
    <s v="United-States"/>
    <x v="0"/>
    <n v="40"/>
    <e v="#N/A"/>
  </r>
  <r>
    <s v="361"/>
    <n v="61"/>
    <s v="?"/>
    <n v="139391"/>
    <x v="2"/>
    <n v="10"/>
    <s v="Married-civ-spouse"/>
    <s v="?"/>
    <s v="Husband"/>
    <s v="White"/>
    <x v="1"/>
    <n v="99999"/>
    <n v="0"/>
    <n v="30"/>
    <s v="United-States"/>
    <x v="1"/>
    <e v="#N/A"/>
    <n v="30"/>
  </r>
  <r>
    <s v="362"/>
    <n v="39"/>
    <s v="Private"/>
    <n v="216129"/>
    <x v="1"/>
    <n v="12"/>
    <s v="Divorced"/>
    <s v="Exec-managerial"/>
    <s v="Unmarried"/>
    <s v="Black"/>
    <x v="0"/>
    <n v="0"/>
    <n v="0"/>
    <n v="35"/>
    <s v="Jamaica"/>
    <x v="0"/>
    <n v="35"/>
    <e v="#N/A"/>
  </r>
  <r>
    <s v="363"/>
    <n v="18"/>
    <s v="Private"/>
    <n v="118938"/>
    <x v="0"/>
    <n v="7"/>
    <s v="Never-married"/>
    <s v="Sales"/>
    <s v="Own-child"/>
    <s v="White"/>
    <x v="1"/>
    <n v="0"/>
    <n v="0"/>
    <n v="18"/>
    <s v="United-States"/>
    <x v="0"/>
    <e v="#N/A"/>
    <n v="18"/>
  </r>
  <r>
    <s v="364"/>
    <n v="57"/>
    <s v="Self-emp-inc"/>
    <n v="368797"/>
    <x v="6"/>
    <n v="9"/>
    <s v="Married-civ-spouse"/>
    <s v="Exec-managerial"/>
    <s v="Husband"/>
    <s v="White"/>
    <x v="1"/>
    <n v="0"/>
    <n v="0"/>
    <n v="40"/>
    <s v="United-States"/>
    <x v="0"/>
    <e v="#N/A"/>
    <n v="40"/>
  </r>
  <r>
    <s v="365"/>
    <n v="37"/>
    <s v="Private"/>
    <n v="215476"/>
    <x v="6"/>
    <n v="9"/>
    <s v="Never-married"/>
    <s v="Handlers-cleaners"/>
    <s v="Unmarried"/>
    <s v="Black"/>
    <x v="0"/>
    <n v="0"/>
    <n v="0"/>
    <n v="30"/>
    <s v="United-States"/>
    <x v="0"/>
    <n v="30"/>
    <e v="#N/A"/>
  </r>
  <r>
    <s v="366"/>
    <n v="33"/>
    <s v="Private"/>
    <n v="181091"/>
    <x v="8"/>
    <n v="6"/>
    <s v="Divorced"/>
    <s v="Craft-repair"/>
    <s v="Not-in-family"/>
    <s v="White"/>
    <x v="1"/>
    <n v="0"/>
    <n v="0"/>
    <n v="35"/>
    <s v="England"/>
    <x v="0"/>
    <e v="#N/A"/>
    <n v="35"/>
  </r>
  <r>
    <s v="367"/>
    <n v="17"/>
    <s v="?"/>
    <n v="104025"/>
    <x v="0"/>
    <n v="7"/>
    <s v="Never-married"/>
    <s v="?"/>
    <s v="Own-child"/>
    <s v="White"/>
    <x v="1"/>
    <n v="0"/>
    <n v="0"/>
    <n v="18"/>
    <s v="United-States"/>
    <x v="0"/>
    <e v="#N/A"/>
    <n v="18"/>
  </r>
  <r>
    <s v="368"/>
    <n v="64"/>
    <s v="Private"/>
    <n v="143110"/>
    <x v="5"/>
    <n v="13"/>
    <s v="Widowed"/>
    <s v="Prof-specialty"/>
    <s v="Not-in-family"/>
    <s v="White"/>
    <x v="0"/>
    <n v="0"/>
    <n v="0"/>
    <n v="30"/>
    <s v="United-States"/>
    <x v="0"/>
    <n v="30"/>
    <e v="#N/A"/>
  </r>
  <r>
    <s v="369"/>
    <n v="33"/>
    <s v="Private"/>
    <n v="277455"/>
    <x v="7"/>
    <n v="14"/>
    <s v="Never-married"/>
    <s v="Prof-specialty"/>
    <s v="Not-in-family"/>
    <s v="White"/>
    <x v="1"/>
    <n v="0"/>
    <n v="0"/>
    <n v="40"/>
    <s v="United-States"/>
    <x v="0"/>
    <e v="#N/A"/>
    <n v="40"/>
  </r>
  <r>
    <s v="370"/>
    <n v="20"/>
    <s v="Private"/>
    <n v="219122"/>
    <x v="2"/>
    <n v="10"/>
    <s v="Never-married"/>
    <s v="Other-service"/>
    <s v="Not-in-family"/>
    <s v="White"/>
    <x v="1"/>
    <n v="0"/>
    <n v="0"/>
    <n v="40"/>
    <s v="United-States"/>
    <x v="0"/>
    <e v="#N/A"/>
    <n v="40"/>
  </r>
  <r>
    <s v="371"/>
    <n v="44"/>
    <s v="Private"/>
    <n v="121781"/>
    <x v="2"/>
    <n v="10"/>
    <s v="Divorced"/>
    <s v="Adm-clerical"/>
    <s v="Not-in-family"/>
    <s v="Asian-Pac-Islander"/>
    <x v="0"/>
    <n v="0"/>
    <n v="0"/>
    <n v="37"/>
    <s v="United-States"/>
    <x v="0"/>
    <n v="37"/>
    <e v="#N/A"/>
  </r>
  <r>
    <s v="372"/>
    <n v="42"/>
    <s v="Self-emp-not-inc"/>
    <n v="79036"/>
    <x v="5"/>
    <n v="13"/>
    <s v="Married-civ-spouse"/>
    <s v="Farming-fishing"/>
    <s v="Husband"/>
    <s v="White"/>
    <x v="1"/>
    <n v="0"/>
    <n v="0"/>
    <n v="65"/>
    <s v="United-States"/>
    <x v="0"/>
    <e v="#N/A"/>
    <n v="65"/>
  </r>
  <r>
    <s v="373"/>
    <n v="28"/>
    <s v="Private"/>
    <n v="168901"/>
    <x v="5"/>
    <n v="13"/>
    <s v="Married-civ-spouse"/>
    <s v="Prof-specialty"/>
    <s v="Husband"/>
    <s v="Asian-Pac-Islander"/>
    <x v="1"/>
    <n v="0"/>
    <n v="0"/>
    <n v="40"/>
    <s v="Taiwan"/>
    <x v="0"/>
    <e v="#N/A"/>
    <n v="40"/>
  </r>
  <r>
    <s v="374"/>
    <n v="39"/>
    <s v="State-gov"/>
    <n v="55568"/>
    <x v="6"/>
    <n v="9"/>
    <s v="Married-civ-spouse"/>
    <s v="Adm-clerical"/>
    <s v="Wife"/>
    <s v="White"/>
    <x v="0"/>
    <n v="0"/>
    <n v="0"/>
    <n v="40"/>
    <s v="United-States"/>
    <x v="0"/>
    <n v="40"/>
    <e v="#N/A"/>
  </r>
  <r>
    <s v="375"/>
    <n v="32"/>
    <s v="Private"/>
    <n v="316470"/>
    <x v="3"/>
    <n v="3"/>
    <s v="Married-civ-spouse"/>
    <s v="Craft-repair"/>
    <s v="Husband"/>
    <s v="White"/>
    <x v="1"/>
    <n v="0"/>
    <n v="0"/>
    <n v="60"/>
    <s v="Mexico"/>
    <x v="0"/>
    <e v="#N/A"/>
    <n v="60"/>
  </r>
  <r>
    <s v="376"/>
    <n v="22"/>
    <s v="Federal-gov"/>
    <n v="32950"/>
    <x v="2"/>
    <n v="10"/>
    <s v="Married-civ-spouse"/>
    <s v="Sales"/>
    <s v="Husband"/>
    <s v="White"/>
    <x v="1"/>
    <n v="0"/>
    <n v="1902"/>
    <n v="37"/>
    <s v="United-States"/>
    <x v="0"/>
    <e v="#N/A"/>
    <n v="37"/>
  </r>
  <r>
    <s v="377"/>
    <n v="54"/>
    <s v="Private"/>
    <n v="378747"/>
    <x v="8"/>
    <n v="6"/>
    <s v="Separated"/>
    <s v="Transport-moving"/>
    <s v="Unmarried"/>
    <s v="Black"/>
    <x v="1"/>
    <n v="0"/>
    <n v="0"/>
    <n v="45"/>
    <s v="United-States"/>
    <x v="1"/>
    <e v="#N/A"/>
    <n v="45"/>
  </r>
  <r>
    <s v="378"/>
    <n v="44"/>
    <s v="Private"/>
    <n v="322391"/>
    <x v="0"/>
    <n v="7"/>
    <s v="Separated"/>
    <s v="Other-service"/>
    <s v="Unmarried"/>
    <s v="Black"/>
    <x v="0"/>
    <n v="0"/>
    <n v="0"/>
    <n v="30"/>
    <s v="United-States"/>
    <x v="0"/>
    <n v="30"/>
    <e v="#N/A"/>
  </r>
  <r>
    <s v="379"/>
    <n v="62"/>
    <s v="Private"/>
    <n v="174201"/>
    <x v="14"/>
    <n v="5"/>
    <s v="Widowed"/>
    <s v="Other-service"/>
    <s v="Unmarried"/>
    <s v="Black"/>
    <x v="0"/>
    <n v="0"/>
    <n v="0"/>
    <n v="25"/>
    <s v="United-States"/>
    <x v="0"/>
    <n v="25"/>
    <e v="#N/A"/>
  </r>
  <r>
    <s v="380"/>
    <n v="29"/>
    <s v="Private"/>
    <n v="255949"/>
    <x v="5"/>
    <n v="13"/>
    <s v="Never-married"/>
    <s v="Sales"/>
    <s v="Unmarried"/>
    <s v="Black"/>
    <x v="1"/>
    <n v="0"/>
    <n v="0"/>
    <n v="40"/>
    <s v="United-States"/>
    <x v="0"/>
    <e v="#N/A"/>
    <n v="40"/>
  </r>
  <r>
    <s v="381"/>
    <n v="31"/>
    <s v="Private"/>
    <n v="145935"/>
    <x v="6"/>
    <n v="9"/>
    <s v="Never-married"/>
    <s v="Exec-managerial"/>
    <s v="Own-child"/>
    <s v="Black"/>
    <x v="1"/>
    <n v="0"/>
    <n v="0"/>
    <n v="40"/>
    <s v="United-States"/>
    <x v="0"/>
    <e v="#N/A"/>
    <n v="40"/>
  </r>
  <r>
    <s v="382"/>
    <n v="33"/>
    <s v="Self-emp-not-inc"/>
    <n v="67482"/>
    <x v="9"/>
    <n v="11"/>
    <s v="Divorced"/>
    <s v="Other-service"/>
    <s v="Unmarried"/>
    <s v="White"/>
    <x v="0"/>
    <n v="0"/>
    <n v="0"/>
    <n v="99"/>
    <s v="United-States"/>
    <x v="0"/>
    <n v="99"/>
    <e v="#N/A"/>
  </r>
  <r>
    <s v="383"/>
    <n v="33"/>
    <s v="Private"/>
    <n v="213308"/>
    <x v="9"/>
    <n v="11"/>
    <s v="Separated"/>
    <s v="Adm-clerical"/>
    <s v="Own-child"/>
    <s v="Black"/>
    <x v="0"/>
    <n v="0"/>
    <n v="0"/>
    <n v="50"/>
    <s v="United-States"/>
    <x v="0"/>
    <n v="50"/>
    <e v="#N/A"/>
  </r>
  <r>
    <s v="384"/>
    <n v="21"/>
    <s v="?"/>
    <n v="170070"/>
    <x v="2"/>
    <n v="10"/>
    <s v="Never-married"/>
    <s v="?"/>
    <s v="Not-in-family"/>
    <s v="White"/>
    <x v="0"/>
    <n v="0"/>
    <n v="0"/>
    <n v="10"/>
    <s v="United-States"/>
    <x v="0"/>
    <n v="10"/>
    <e v="#N/A"/>
  </r>
  <r>
    <s v="385"/>
    <n v="44"/>
    <s v="Federal-gov"/>
    <n v="161240"/>
    <x v="6"/>
    <n v="9"/>
    <s v="Divorced"/>
    <s v="Machine-op-inspct"/>
    <s v="Not-in-family"/>
    <s v="White"/>
    <x v="1"/>
    <n v="0"/>
    <n v="0"/>
    <n v="40"/>
    <s v="United-States"/>
    <x v="0"/>
    <e v="#N/A"/>
    <n v="40"/>
  </r>
  <r>
    <s v="386"/>
    <n v="37"/>
    <s v="Private"/>
    <n v="94334"/>
    <x v="12"/>
    <n v="4"/>
    <s v="Never-married"/>
    <s v="Machine-op-inspct"/>
    <s v="Own-child"/>
    <s v="White"/>
    <x v="0"/>
    <n v="0"/>
    <n v="0"/>
    <n v="25"/>
    <s v="United-States"/>
    <x v="0"/>
    <n v="25"/>
    <e v="#N/A"/>
  </r>
  <r>
    <s v="387"/>
    <n v="19"/>
    <s v="Private"/>
    <n v="144911"/>
    <x v="2"/>
    <n v="10"/>
    <s v="Never-married"/>
    <s v="Other-service"/>
    <s v="Own-child"/>
    <s v="White"/>
    <x v="1"/>
    <n v="0"/>
    <n v="0"/>
    <n v="20"/>
    <s v="United-States"/>
    <x v="0"/>
    <e v="#N/A"/>
    <n v="20"/>
  </r>
  <r>
    <s v="388"/>
    <n v="32"/>
    <s v="Local-gov"/>
    <n v="100135"/>
    <x v="6"/>
    <n v="9"/>
    <s v="Divorced"/>
    <s v="Adm-clerical"/>
    <s v="Unmarried"/>
    <s v="White"/>
    <x v="0"/>
    <n v="0"/>
    <n v="0"/>
    <n v="40"/>
    <s v="United-States"/>
    <x v="0"/>
    <n v="40"/>
    <e v="#N/A"/>
  </r>
  <r>
    <s v="389"/>
    <n v="58"/>
    <s v="Local-gov"/>
    <n v="34878"/>
    <x v="5"/>
    <n v="13"/>
    <s v="Divorced"/>
    <s v="Prof-specialty"/>
    <s v="Not-in-family"/>
    <s v="White"/>
    <x v="0"/>
    <n v="0"/>
    <n v="0"/>
    <n v="50"/>
    <s v="United-States"/>
    <x v="0"/>
    <n v="50"/>
    <e v="#N/A"/>
  </r>
  <r>
    <s v="390"/>
    <n v="44"/>
    <s v="Self-emp-inc"/>
    <n v="37997"/>
    <x v="6"/>
    <n v="9"/>
    <s v="Married-civ-spouse"/>
    <s v="Farming-fishing"/>
    <s v="Husband"/>
    <s v="White"/>
    <x v="1"/>
    <n v="0"/>
    <n v="0"/>
    <n v="60"/>
    <s v="United-States"/>
    <x v="0"/>
    <e v="#N/A"/>
    <n v="60"/>
  </r>
  <r>
    <s v="391"/>
    <n v="25"/>
    <s v="Local-gov"/>
    <n v="176616"/>
    <x v="6"/>
    <n v="9"/>
    <s v="Never-married"/>
    <s v="Other-service"/>
    <s v="Own-child"/>
    <s v="White"/>
    <x v="1"/>
    <n v="0"/>
    <n v="0"/>
    <n v="40"/>
    <s v="United-States"/>
    <x v="0"/>
    <e v="#N/A"/>
    <n v="40"/>
  </r>
  <r>
    <s v="392"/>
    <n v="45"/>
    <s v="State-gov"/>
    <n v="103406"/>
    <x v="5"/>
    <n v="13"/>
    <s v="Married-civ-spouse"/>
    <s v="Exec-managerial"/>
    <s v="Husband"/>
    <s v="White"/>
    <x v="1"/>
    <n v="0"/>
    <n v="1977"/>
    <n v="60"/>
    <s v="United-States"/>
    <x v="1"/>
    <e v="#N/A"/>
    <n v="60"/>
  </r>
  <r>
    <s v="393"/>
    <n v="46"/>
    <s v="Self-emp-inc"/>
    <n v="110457"/>
    <x v="7"/>
    <n v="14"/>
    <s v="Married-civ-spouse"/>
    <s v="Exec-managerial"/>
    <s v="Husband"/>
    <s v="White"/>
    <x v="1"/>
    <n v="0"/>
    <n v="0"/>
    <n v="55"/>
    <s v="United-States"/>
    <x v="1"/>
    <e v="#N/A"/>
    <n v="55"/>
  </r>
  <r>
    <s v="394"/>
    <n v="38"/>
    <s v="Private"/>
    <n v="161141"/>
    <x v="2"/>
    <n v="10"/>
    <s v="Married-civ-spouse"/>
    <s v="Tech-support"/>
    <s v="Husband"/>
    <s v="White"/>
    <x v="1"/>
    <n v="0"/>
    <n v="0"/>
    <n v="45"/>
    <s v="United-States"/>
    <x v="0"/>
    <e v="#N/A"/>
    <n v="45"/>
  </r>
  <r>
    <s v="395"/>
    <n v="47"/>
    <s v="Private"/>
    <n v="128796"/>
    <x v="6"/>
    <n v="9"/>
    <s v="Married-civ-spouse"/>
    <s v="Craft-repair"/>
    <s v="Husband"/>
    <s v="White"/>
    <x v="1"/>
    <n v="0"/>
    <n v="0"/>
    <n v="40"/>
    <s v="United-States"/>
    <x v="1"/>
    <e v="#N/A"/>
    <n v="40"/>
  </r>
  <r>
    <s v="396"/>
    <n v="39"/>
    <s v="Private"/>
    <n v="24106"/>
    <x v="2"/>
    <n v="10"/>
    <s v="Married-civ-spouse"/>
    <s v="Sales"/>
    <s v="Husband"/>
    <s v="White"/>
    <x v="1"/>
    <n v="0"/>
    <n v="0"/>
    <n v="40"/>
    <s v="Philippines"/>
    <x v="1"/>
    <e v="#N/A"/>
    <n v="40"/>
  </r>
  <r>
    <s v="397"/>
    <n v="28"/>
    <s v="Private"/>
    <n v="173611"/>
    <x v="6"/>
    <n v="9"/>
    <s v="Never-married"/>
    <s v="Exec-managerial"/>
    <s v="Own-child"/>
    <s v="White"/>
    <x v="0"/>
    <n v="0"/>
    <n v="0"/>
    <n v="40"/>
    <s v="United-States"/>
    <x v="0"/>
    <n v="40"/>
    <e v="#N/A"/>
  </r>
  <r>
    <s v="398"/>
    <n v="41"/>
    <s v="Private"/>
    <n v="121055"/>
    <x v="6"/>
    <n v="9"/>
    <s v="Divorced"/>
    <s v="Transport-moving"/>
    <s v="Not-in-family"/>
    <s v="White"/>
    <x v="1"/>
    <n v="0"/>
    <n v="0"/>
    <n v="40"/>
    <s v="United-States"/>
    <x v="0"/>
    <e v="#N/A"/>
    <n v="40"/>
  </r>
  <r>
    <s v="399"/>
    <n v="23"/>
    <s v="Federal-gov"/>
    <n v="41356"/>
    <x v="1"/>
    <n v="12"/>
    <s v="Never-married"/>
    <s v="Exec-managerial"/>
    <s v="Unmarried"/>
    <s v="White"/>
    <x v="0"/>
    <n v="0"/>
    <n v="0"/>
    <n v="32"/>
    <s v="United-States"/>
    <x v="0"/>
    <n v="32"/>
    <e v="#N/A"/>
  </r>
  <r>
    <s v="400"/>
    <n v="37"/>
    <s v="Private"/>
    <n v="220314"/>
    <x v="6"/>
    <n v="9"/>
    <s v="Divorced"/>
    <s v="Adm-clerical"/>
    <s v="Unmarried"/>
    <s v="White"/>
    <x v="0"/>
    <n v="0"/>
    <n v="0"/>
    <n v="40"/>
    <s v="Mexico"/>
    <x v="0"/>
    <n v="40"/>
    <e v="#N/A"/>
  </r>
  <r>
    <s v="401"/>
    <n v="34"/>
    <s v="Private"/>
    <n v="118551"/>
    <x v="5"/>
    <n v="13"/>
    <s v="Never-married"/>
    <s v="Tech-support"/>
    <s v="Not-in-family"/>
    <s v="White"/>
    <x v="0"/>
    <n v="0"/>
    <n v="0"/>
    <n v="40"/>
    <s v="United-States"/>
    <x v="0"/>
    <n v="40"/>
    <e v="#N/A"/>
  </r>
  <r>
    <s v="402"/>
    <n v="46"/>
    <s v="Private"/>
    <n v="251786"/>
    <x v="15"/>
    <n v="2"/>
    <s v="Separated"/>
    <s v="Other-service"/>
    <s v="Not-in-family"/>
    <s v="White"/>
    <x v="0"/>
    <n v="0"/>
    <n v="0"/>
    <n v="40"/>
    <s v="Mexico"/>
    <x v="0"/>
    <n v="40"/>
    <e v="#N/A"/>
  </r>
  <r>
    <s v="403"/>
    <n v="30"/>
    <s v="Federal-gov"/>
    <n v="321990"/>
    <x v="2"/>
    <n v="10"/>
    <s v="Married-civ-spouse"/>
    <s v="Adm-clerical"/>
    <s v="Husband"/>
    <s v="White"/>
    <x v="1"/>
    <n v="7298"/>
    <n v="0"/>
    <n v="48"/>
    <s v="Cuba"/>
    <x v="1"/>
    <e v="#N/A"/>
    <n v="48"/>
  </r>
  <r>
    <s v="404"/>
    <n v="30"/>
    <s v="Private"/>
    <n v="187279"/>
    <x v="6"/>
    <n v="9"/>
    <s v="Married-civ-spouse"/>
    <s v="Handlers-cleaners"/>
    <s v="Husband"/>
    <s v="White"/>
    <x v="1"/>
    <n v="0"/>
    <n v="0"/>
    <n v="44"/>
    <s v="United-States"/>
    <x v="0"/>
    <e v="#N/A"/>
    <n v="44"/>
  </r>
  <r>
    <s v="405"/>
    <n v="27"/>
    <s v="Private"/>
    <n v="246440"/>
    <x v="0"/>
    <n v="7"/>
    <s v="Divorced"/>
    <s v="Machine-op-inspct"/>
    <s v="Unmarried"/>
    <s v="White"/>
    <x v="0"/>
    <n v="0"/>
    <n v="0"/>
    <n v="40"/>
    <s v="United-States"/>
    <x v="0"/>
    <n v="40"/>
    <e v="#N/A"/>
  </r>
  <r>
    <s v="406"/>
    <n v="29"/>
    <s v="Private"/>
    <n v="197932"/>
    <x v="2"/>
    <n v="10"/>
    <s v="Separated"/>
    <s v="Priv-house-serv"/>
    <s v="Not-in-family"/>
    <s v="White"/>
    <x v="0"/>
    <n v="0"/>
    <n v="0"/>
    <n v="30"/>
    <s v="Guatemala"/>
    <x v="0"/>
    <n v="30"/>
    <e v="#N/A"/>
  </r>
  <r>
    <s v="407"/>
    <n v="25"/>
    <s v="Private"/>
    <n v="206600"/>
    <x v="8"/>
    <n v="6"/>
    <s v="Never-married"/>
    <s v="Other-service"/>
    <s v="Not-in-family"/>
    <s v="White"/>
    <x v="1"/>
    <n v="0"/>
    <n v="0"/>
    <n v="24"/>
    <s v="Nicaragua"/>
    <x v="0"/>
    <e v="#N/A"/>
    <n v="24"/>
  </r>
  <r>
    <s v="408"/>
    <n v="23"/>
    <s v="Self-emp-not-inc"/>
    <n v="174714"/>
    <x v="8"/>
    <n v="6"/>
    <s v="Never-married"/>
    <s v="Craft-repair"/>
    <s v="Not-in-family"/>
    <s v="White"/>
    <x v="1"/>
    <n v="0"/>
    <n v="0"/>
    <n v="60"/>
    <s v="United-States"/>
    <x v="0"/>
    <e v="#N/A"/>
    <n v="60"/>
  </r>
  <r>
    <s v="409"/>
    <n v="27"/>
    <s v="Private"/>
    <n v="180262"/>
    <x v="2"/>
    <n v="10"/>
    <s v="Never-married"/>
    <s v="Exec-managerial"/>
    <s v="Not-in-family"/>
    <s v="White"/>
    <x v="0"/>
    <n v="0"/>
    <n v="0"/>
    <n v="40"/>
    <s v="United-States"/>
    <x v="0"/>
    <n v="40"/>
    <e v="#N/A"/>
  </r>
  <r>
    <s v="410"/>
    <n v="40"/>
    <s v="Federal-gov"/>
    <n v="199303"/>
    <x v="1"/>
    <n v="12"/>
    <s v="Married-civ-spouse"/>
    <s v="Prof-specialty"/>
    <s v="Husband"/>
    <s v="White"/>
    <x v="1"/>
    <n v="0"/>
    <n v="0"/>
    <n v="40"/>
    <s v="United-States"/>
    <x v="1"/>
    <e v="#N/A"/>
    <n v="40"/>
  </r>
  <r>
    <s v="411"/>
    <n v="41"/>
    <s v="Private"/>
    <n v="140886"/>
    <x v="6"/>
    <n v="9"/>
    <s v="Married-civ-spouse"/>
    <s v="Farming-fishing"/>
    <s v="Husband"/>
    <s v="White"/>
    <x v="1"/>
    <n v="0"/>
    <n v="0"/>
    <n v="40"/>
    <s v="United-States"/>
    <x v="0"/>
    <e v="#N/A"/>
    <n v="40"/>
  </r>
  <r>
    <s v="412"/>
    <n v="56"/>
    <s v="Self-emp-not-inc"/>
    <n v="39380"/>
    <x v="2"/>
    <n v="10"/>
    <s v="Married-spouse-absent"/>
    <s v="Farming-fishing"/>
    <s v="Not-in-family"/>
    <s v="White"/>
    <x v="0"/>
    <n v="27828"/>
    <n v="0"/>
    <n v="20"/>
    <s v="United-States"/>
    <x v="1"/>
    <n v="20"/>
    <e v="#N/A"/>
  </r>
  <r>
    <s v="413"/>
    <n v="34"/>
    <s v="Private"/>
    <n v="269723"/>
    <x v="6"/>
    <n v="9"/>
    <s v="Divorced"/>
    <s v="Exec-managerial"/>
    <s v="Unmarried"/>
    <s v="White"/>
    <x v="0"/>
    <n v="2977"/>
    <n v="0"/>
    <n v="50"/>
    <s v="United-States"/>
    <x v="0"/>
    <n v="50"/>
    <e v="#N/A"/>
  </r>
  <r>
    <s v="414"/>
    <n v="23"/>
    <s v="Private"/>
    <n v="133061"/>
    <x v="6"/>
    <n v="9"/>
    <s v="Married-civ-spouse"/>
    <s v="Sales"/>
    <s v="Husband"/>
    <s v="White"/>
    <x v="1"/>
    <n v="0"/>
    <n v="0"/>
    <n v="80"/>
    <s v="United-States"/>
    <x v="0"/>
    <e v="#N/A"/>
    <n v="80"/>
  </r>
  <r>
    <s v="415"/>
    <n v="33"/>
    <s v="Private"/>
    <n v="377283"/>
    <x v="5"/>
    <n v="13"/>
    <s v="Separated"/>
    <s v="Sales"/>
    <s v="Not-in-family"/>
    <s v="White"/>
    <x v="0"/>
    <n v="0"/>
    <n v="0"/>
    <n v="50"/>
    <s v="United-States"/>
    <x v="1"/>
    <n v="50"/>
    <e v="#N/A"/>
  </r>
  <r>
    <s v="416"/>
    <n v="64"/>
    <s v="Self-emp-not-inc"/>
    <n v="149698"/>
    <x v="10"/>
    <n v="15"/>
    <s v="Married-civ-spouse"/>
    <s v="Prof-specialty"/>
    <s v="Husband"/>
    <s v="White"/>
    <x v="1"/>
    <n v="0"/>
    <n v="0"/>
    <n v="40"/>
    <s v="United-States"/>
    <x v="1"/>
    <e v="#N/A"/>
    <n v="40"/>
  </r>
  <r>
    <s v="417"/>
    <n v="21"/>
    <s v="Private"/>
    <n v="206681"/>
    <x v="2"/>
    <n v="10"/>
    <s v="Never-married"/>
    <s v="Sales"/>
    <s v="Own-child"/>
    <s v="White"/>
    <x v="0"/>
    <n v="0"/>
    <n v="0"/>
    <n v="15"/>
    <s v="United-States"/>
    <x v="0"/>
    <n v="15"/>
    <e v="#N/A"/>
  </r>
  <r>
    <s v="418"/>
    <n v="59"/>
    <s v="State-gov"/>
    <n v="132717"/>
    <x v="8"/>
    <n v="6"/>
    <s v="Married-civ-spouse"/>
    <s v="Farming-fishing"/>
    <s v="Husband"/>
    <s v="White"/>
    <x v="1"/>
    <n v="0"/>
    <n v="0"/>
    <n v="40"/>
    <s v="United-States"/>
    <x v="0"/>
    <e v="#N/A"/>
    <n v="40"/>
  </r>
  <r>
    <s v="419"/>
    <n v="27"/>
    <s v="Private"/>
    <n v="178709"/>
    <x v="7"/>
    <n v="14"/>
    <s v="Never-married"/>
    <s v="Machine-op-inspct"/>
    <s v="Not-in-family"/>
    <s v="White"/>
    <x v="0"/>
    <n v="0"/>
    <n v="0"/>
    <n v="40"/>
    <s v="United-States"/>
    <x v="0"/>
    <n v="40"/>
    <e v="#N/A"/>
  </r>
  <r>
    <s v="420"/>
    <n v="40"/>
    <s v="Private"/>
    <n v="198873"/>
    <x v="10"/>
    <n v="15"/>
    <s v="Married-civ-spouse"/>
    <s v="Prof-specialty"/>
    <s v="Wife"/>
    <s v="White"/>
    <x v="0"/>
    <n v="15024"/>
    <n v="0"/>
    <n v="30"/>
    <s v="United-States"/>
    <x v="1"/>
    <n v="30"/>
    <e v="#N/A"/>
  </r>
  <r>
    <s v="421"/>
    <n v="36"/>
    <s v="Local-gov"/>
    <n v="251091"/>
    <x v="2"/>
    <n v="10"/>
    <s v="Married-civ-spouse"/>
    <s v="Protective-serv"/>
    <s v="Husband"/>
    <s v="White"/>
    <x v="1"/>
    <n v="0"/>
    <n v="0"/>
    <n v="40"/>
    <s v="United-States"/>
    <x v="1"/>
    <e v="#N/A"/>
    <n v="40"/>
  </r>
  <r>
    <s v="422"/>
    <n v="49"/>
    <s v="Federal-gov"/>
    <n v="118701"/>
    <x v="6"/>
    <n v="9"/>
    <s v="Divorced"/>
    <s v="Adm-clerical"/>
    <s v="Unmarried"/>
    <s v="Black"/>
    <x v="0"/>
    <n v="0"/>
    <n v="0"/>
    <n v="40"/>
    <s v="United-States"/>
    <x v="0"/>
    <n v="40"/>
    <e v="#N/A"/>
  </r>
  <r>
    <s v="423"/>
    <n v="57"/>
    <s v="Private"/>
    <n v="195876"/>
    <x v="6"/>
    <n v="9"/>
    <s v="Married-civ-spouse"/>
    <s v="Craft-repair"/>
    <s v="Husband"/>
    <s v="White"/>
    <x v="1"/>
    <n v="0"/>
    <n v="0"/>
    <n v="40"/>
    <s v="United-States"/>
    <x v="0"/>
    <e v="#N/A"/>
    <n v="40"/>
  </r>
  <r>
    <s v="424"/>
    <n v="55"/>
    <s v="?"/>
    <n v="316027"/>
    <x v="12"/>
    <n v="4"/>
    <s v="Married-civ-spouse"/>
    <s v="?"/>
    <s v="Husband"/>
    <s v="White"/>
    <x v="1"/>
    <n v="0"/>
    <n v="0"/>
    <n v="40"/>
    <s v="?"/>
    <x v="0"/>
    <e v="#N/A"/>
    <n v="40"/>
  </r>
  <r>
    <s v="425"/>
    <n v="59"/>
    <s v="Private"/>
    <n v="31782"/>
    <x v="8"/>
    <n v="6"/>
    <s v="Married-civ-spouse"/>
    <s v="Transport-moving"/>
    <s v="Husband"/>
    <s v="White"/>
    <x v="1"/>
    <n v="0"/>
    <n v="0"/>
    <n v="45"/>
    <s v="United-States"/>
    <x v="1"/>
    <e v="#N/A"/>
    <n v="45"/>
  </r>
  <r>
    <s v="426"/>
    <n v="35"/>
    <s v="Self-emp-not-inc"/>
    <n v="176101"/>
    <x v="6"/>
    <n v="9"/>
    <s v="Married-civ-spouse"/>
    <s v="Farming-fishing"/>
    <s v="Husband"/>
    <s v="White"/>
    <x v="1"/>
    <n v="0"/>
    <n v="0"/>
    <n v="80"/>
    <s v="United-States"/>
    <x v="1"/>
    <e v="#N/A"/>
    <n v="80"/>
  </r>
  <r>
    <s v="427"/>
    <n v="42"/>
    <s v="Private"/>
    <n v="227397"/>
    <x v="5"/>
    <n v="13"/>
    <s v="Married-civ-spouse"/>
    <s v="Adm-clerical"/>
    <s v="Wife"/>
    <s v="White"/>
    <x v="0"/>
    <n v="0"/>
    <n v="0"/>
    <n v="40"/>
    <s v="United-States"/>
    <x v="1"/>
    <n v="40"/>
    <e v="#N/A"/>
  </r>
  <r>
    <s v="428"/>
    <n v="42"/>
    <s v="?"/>
    <n v="32533"/>
    <x v="2"/>
    <n v="10"/>
    <s v="Never-married"/>
    <s v="?"/>
    <s v="Not-in-family"/>
    <s v="White"/>
    <x v="1"/>
    <n v="0"/>
    <n v="0"/>
    <n v="45"/>
    <s v="United-States"/>
    <x v="0"/>
    <e v="#N/A"/>
    <n v="45"/>
  </r>
  <r>
    <s v="429"/>
    <n v="41"/>
    <s v="Private"/>
    <n v="187802"/>
    <x v="2"/>
    <n v="10"/>
    <s v="Divorced"/>
    <s v="Tech-support"/>
    <s v="Not-in-family"/>
    <s v="White"/>
    <x v="1"/>
    <n v="0"/>
    <n v="0"/>
    <n v="50"/>
    <s v="United-States"/>
    <x v="0"/>
    <e v="#N/A"/>
    <n v="50"/>
  </r>
  <r>
    <s v="430"/>
    <n v="43"/>
    <s v="Private"/>
    <n v="248094"/>
    <x v="6"/>
    <n v="9"/>
    <s v="Divorced"/>
    <s v="Craft-repair"/>
    <s v="Unmarried"/>
    <s v="White"/>
    <x v="1"/>
    <n v="0"/>
    <n v="0"/>
    <n v="40"/>
    <s v="United-States"/>
    <x v="0"/>
    <e v="#N/A"/>
    <n v="40"/>
  </r>
  <r>
    <s v="431"/>
    <n v="26"/>
    <s v="Private"/>
    <n v="35917"/>
    <x v="2"/>
    <n v="10"/>
    <s v="Never-married"/>
    <s v="Transport-moving"/>
    <s v="Not-in-family"/>
    <s v="White"/>
    <x v="1"/>
    <n v="0"/>
    <n v="0"/>
    <n v="50"/>
    <s v="United-States"/>
    <x v="0"/>
    <e v="#N/A"/>
    <n v="50"/>
  </r>
  <r>
    <s v="432"/>
    <n v="27"/>
    <s v="Private"/>
    <n v="213152"/>
    <x v="2"/>
    <n v="10"/>
    <s v="Never-married"/>
    <s v="Sales"/>
    <s v="Not-in-family"/>
    <s v="White"/>
    <x v="1"/>
    <n v="0"/>
    <n v="0"/>
    <n v="40"/>
    <s v="United-States"/>
    <x v="0"/>
    <e v="#N/A"/>
    <n v="40"/>
  </r>
  <r>
    <s v="433"/>
    <n v="51"/>
    <s v="Local-gov"/>
    <n v="349431"/>
    <x v="6"/>
    <n v="9"/>
    <s v="Married-civ-spouse"/>
    <s v="Craft-repair"/>
    <s v="Husband"/>
    <s v="White"/>
    <x v="1"/>
    <n v="4386"/>
    <n v="0"/>
    <n v="40"/>
    <s v="United-States"/>
    <x v="1"/>
    <e v="#N/A"/>
    <n v="40"/>
  </r>
  <r>
    <s v="434"/>
    <n v="19"/>
    <s v="Private"/>
    <n v="183041"/>
    <x v="0"/>
    <n v="7"/>
    <s v="Never-married"/>
    <s v="Handlers-cleaners"/>
    <s v="Own-child"/>
    <s v="White"/>
    <x v="1"/>
    <n v="0"/>
    <n v="0"/>
    <n v="24"/>
    <s v="United-States"/>
    <x v="0"/>
    <e v="#N/A"/>
    <n v="24"/>
  </r>
  <r>
    <s v="435"/>
    <n v="43"/>
    <s v="Private"/>
    <n v="178976"/>
    <x v="6"/>
    <n v="9"/>
    <s v="Never-married"/>
    <s v="Adm-clerical"/>
    <s v="Unmarried"/>
    <s v="White"/>
    <x v="0"/>
    <n v="0"/>
    <n v="0"/>
    <n v="40"/>
    <s v="United-States"/>
    <x v="0"/>
    <n v="40"/>
    <e v="#N/A"/>
  </r>
  <r>
    <s v="436"/>
    <n v="33"/>
    <s v="Private"/>
    <n v="176185"/>
    <x v="4"/>
    <n v="8"/>
    <s v="Divorced"/>
    <s v="Craft-repair"/>
    <s v="Not-in-family"/>
    <s v="White"/>
    <x v="1"/>
    <n v="0"/>
    <n v="2258"/>
    <n v="42"/>
    <s v="United-States"/>
    <x v="0"/>
    <e v="#N/A"/>
    <n v="42"/>
  </r>
  <r>
    <s v="437"/>
    <n v="18"/>
    <s v="Private"/>
    <n v="452452"/>
    <x v="8"/>
    <n v="6"/>
    <s v="Never-married"/>
    <s v="Priv-house-serv"/>
    <s v="Own-child"/>
    <s v="Black"/>
    <x v="0"/>
    <n v="0"/>
    <n v="0"/>
    <n v="20"/>
    <s v="United-States"/>
    <x v="0"/>
    <n v="20"/>
    <e v="#N/A"/>
  </r>
  <r>
    <s v="438"/>
    <n v="45"/>
    <s v="Private"/>
    <n v="207540"/>
    <x v="13"/>
    <n v="16"/>
    <s v="Separated"/>
    <s v="Exec-managerial"/>
    <s v="Unmarried"/>
    <s v="White"/>
    <x v="1"/>
    <n v="0"/>
    <n v="0"/>
    <n v="40"/>
    <s v="United-States"/>
    <x v="1"/>
    <e v="#N/A"/>
    <n v="40"/>
  </r>
  <r>
    <s v="439"/>
    <n v="58"/>
    <s v="Private"/>
    <n v="147707"/>
    <x v="6"/>
    <n v="9"/>
    <s v="Married-civ-spouse"/>
    <s v="Exec-managerial"/>
    <s v="Husband"/>
    <s v="White"/>
    <x v="1"/>
    <n v="15024"/>
    <n v="0"/>
    <n v="60"/>
    <s v="United-States"/>
    <x v="1"/>
    <e v="#N/A"/>
    <n v="60"/>
  </r>
  <r>
    <s v="440"/>
    <n v="47"/>
    <s v="Private"/>
    <n v="270079"/>
    <x v="12"/>
    <n v="4"/>
    <s v="Married-civ-spouse"/>
    <s v="Craft-repair"/>
    <s v="Husband"/>
    <s v="White"/>
    <x v="1"/>
    <n v="0"/>
    <n v="0"/>
    <n v="40"/>
    <s v="United-States"/>
    <x v="0"/>
    <e v="#N/A"/>
    <n v="40"/>
  </r>
  <r>
    <s v="441"/>
    <n v="34"/>
    <s v="Private"/>
    <n v="118605"/>
    <x v="1"/>
    <n v="12"/>
    <s v="Married-civ-spouse"/>
    <s v="Prof-specialty"/>
    <s v="Husband"/>
    <s v="White"/>
    <x v="1"/>
    <n v="0"/>
    <n v="0"/>
    <n v="55"/>
    <s v="United-States"/>
    <x v="0"/>
    <e v="#N/A"/>
    <n v="55"/>
  </r>
  <r>
    <s v="442"/>
    <n v="34"/>
    <s v="?"/>
    <n v="170276"/>
    <x v="5"/>
    <n v="13"/>
    <s v="Married-civ-spouse"/>
    <s v="?"/>
    <s v="Wife"/>
    <s v="White"/>
    <x v="0"/>
    <n v="0"/>
    <n v="0"/>
    <n v="10"/>
    <s v="United-States"/>
    <x v="1"/>
    <n v="10"/>
    <e v="#N/A"/>
  </r>
  <r>
    <s v="443"/>
    <n v="23"/>
    <s v="Federal-gov"/>
    <n v="41031"/>
    <x v="2"/>
    <n v="10"/>
    <s v="Never-married"/>
    <s v="Sales"/>
    <s v="Not-in-family"/>
    <s v="White"/>
    <x v="0"/>
    <n v="0"/>
    <n v="0"/>
    <n v="35"/>
    <s v="United-States"/>
    <x v="0"/>
    <n v="35"/>
    <e v="#N/A"/>
  </r>
  <r>
    <s v="444"/>
    <n v="25"/>
    <s v="Private"/>
    <n v="93223"/>
    <x v="2"/>
    <n v="10"/>
    <s v="Divorced"/>
    <s v="Prof-specialty"/>
    <s v="Unmarried"/>
    <s v="White"/>
    <x v="0"/>
    <n v="0"/>
    <n v="0"/>
    <n v="35"/>
    <s v="United-States"/>
    <x v="0"/>
    <n v="35"/>
    <e v="#N/A"/>
  </r>
  <r>
    <s v="445"/>
    <n v="36"/>
    <s v="Private"/>
    <n v="215503"/>
    <x v="6"/>
    <n v="9"/>
    <s v="Never-married"/>
    <s v="Craft-repair"/>
    <s v="Not-in-family"/>
    <s v="White"/>
    <x v="1"/>
    <n v="0"/>
    <n v="0"/>
    <n v="65"/>
    <s v="United-States"/>
    <x v="0"/>
    <e v="#N/A"/>
    <n v="65"/>
  </r>
  <r>
    <s v="446"/>
    <n v="25"/>
    <s v="Self-emp-not-inc"/>
    <n v="37741"/>
    <x v="5"/>
    <n v="13"/>
    <s v="Married-civ-spouse"/>
    <s v="Exec-managerial"/>
    <s v="Wife"/>
    <s v="White"/>
    <x v="0"/>
    <n v="0"/>
    <n v="0"/>
    <n v="40"/>
    <s v="United-States"/>
    <x v="0"/>
    <n v="40"/>
    <e v="#N/A"/>
  </r>
  <r>
    <s v="447"/>
    <n v="25"/>
    <s v="Private"/>
    <n v="281627"/>
    <x v="7"/>
    <n v="14"/>
    <s v="Never-married"/>
    <s v="Prof-specialty"/>
    <s v="Not-in-family"/>
    <s v="White"/>
    <x v="0"/>
    <n v="0"/>
    <n v="0"/>
    <n v="40"/>
    <s v="United-States"/>
    <x v="0"/>
    <n v="40"/>
    <e v="#N/A"/>
  </r>
  <r>
    <s v="448"/>
    <n v="38"/>
    <s v="Private"/>
    <n v="187870"/>
    <x v="5"/>
    <n v="13"/>
    <s v="Married-civ-spouse"/>
    <s v="Prof-specialty"/>
    <s v="Husband"/>
    <s v="White"/>
    <x v="1"/>
    <n v="7298"/>
    <n v="0"/>
    <n v="50"/>
    <s v="United-States"/>
    <x v="1"/>
    <e v="#N/A"/>
    <n v="50"/>
  </r>
  <r>
    <s v="449"/>
    <n v="37"/>
    <s v="Private"/>
    <n v="99374"/>
    <x v="8"/>
    <n v="6"/>
    <s v="Married-civ-spouse"/>
    <s v="Transport-moving"/>
    <s v="Husband"/>
    <s v="White"/>
    <x v="1"/>
    <n v="0"/>
    <n v="0"/>
    <n v="55"/>
    <s v="United-States"/>
    <x v="0"/>
    <e v="#N/A"/>
    <n v="55"/>
  </r>
  <r>
    <s v="450"/>
    <n v="54"/>
    <s v="Private"/>
    <n v="227832"/>
    <x v="4"/>
    <n v="8"/>
    <s v="Married-civ-spouse"/>
    <s v="Craft-repair"/>
    <s v="Husband"/>
    <s v="White"/>
    <x v="1"/>
    <n v="0"/>
    <n v="0"/>
    <n v="40"/>
    <s v="United-States"/>
    <x v="0"/>
    <e v="#N/A"/>
    <n v="40"/>
  </r>
  <r>
    <s v="451"/>
    <n v="40"/>
    <s v="Private"/>
    <n v="109762"/>
    <x v="2"/>
    <n v="10"/>
    <s v="Divorced"/>
    <s v="Craft-repair"/>
    <s v="Unmarried"/>
    <s v="White"/>
    <x v="1"/>
    <n v="0"/>
    <n v="0"/>
    <n v="40"/>
    <s v="United-States"/>
    <x v="0"/>
    <e v="#N/A"/>
    <n v="40"/>
  </r>
  <r>
    <s v="452"/>
    <n v="21"/>
    <s v="Self-emp-not-inc"/>
    <n v="103277"/>
    <x v="4"/>
    <n v="8"/>
    <s v="Married-civ-spouse"/>
    <s v="Adm-clerical"/>
    <s v="Wife"/>
    <s v="White"/>
    <x v="0"/>
    <n v="4508"/>
    <n v="0"/>
    <n v="30"/>
    <s v="Portugal"/>
    <x v="0"/>
    <n v="30"/>
    <e v="#N/A"/>
  </r>
  <r>
    <s v="453"/>
    <n v="76"/>
    <s v="?"/>
    <n v="42209"/>
    <x v="14"/>
    <n v="5"/>
    <s v="Widowed"/>
    <s v="?"/>
    <s v="Not-in-family"/>
    <s v="White"/>
    <x v="1"/>
    <n v="0"/>
    <n v="0"/>
    <n v="25"/>
    <s v="United-States"/>
    <x v="0"/>
    <e v="#N/A"/>
    <n v="25"/>
  </r>
  <r>
    <s v="454"/>
    <n v="28"/>
    <s v="Private"/>
    <n v="239130"/>
    <x v="2"/>
    <n v="10"/>
    <s v="Never-married"/>
    <s v="Exec-managerial"/>
    <s v="Not-in-family"/>
    <s v="White"/>
    <x v="1"/>
    <n v="0"/>
    <n v="0"/>
    <n v="50"/>
    <s v="United-States"/>
    <x v="0"/>
    <e v="#N/A"/>
    <n v="50"/>
  </r>
  <r>
    <s v="455"/>
    <n v="47"/>
    <s v="Self-emp-not-inc"/>
    <n v="122307"/>
    <x v="5"/>
    <n v="13"/>
    <s v="Married-civ-spouse"/>
    <s v="Sales"/>
    <s v="Husband"/>
    <s v="White"/>
    <x v="1"/>
    <n v="0"/>
    <n v="1887"/>
    <n v="40"/>
    <s v="United-States"/>
    <x v="1"/>
    <e v="#N/A"/>
    <n v="40"/>
  </r>
  <r>
    <s v="456"/>
    <n v="58"/>
    <s v="Self-emp-inc"/>
    <n v="174864"/>
    <x v="6"/>
    <n v="9"/>
    <s v="Married-civ-spouse"/>
    <s v="Sales"/>
    <s v="Husband"/>
    <s v="White"/>
    <x v="1"/>
    <n v="0"/>
    <n v="0"/>
    <n v="55"/>
    <s v="United-States"/>
    <x v="1"/>
    <e v="#N/A"/>
    <n v="55"/>
  </r>
  <r>
    <s v="457"/>
    <n v="19"/>
    <s v="?"/>
    <n v="225775"/>
    <x v="2"/>
    <n v="10"/>
    <s v="Never-married"/>
    <s v="?"/>
    <s v="Own-child"/>
    <s v="White"/>
    <x v="1"/>
    <n v="0"/>
    <n v="0"/>
    <n v="40"/>
    <s v="United-States"/>
    <x v="0"/>
    <e v="#N/A"/>
    <n v="40"/>
  </r>
  <r>
    <s v="458"/>
    <n v="42"/>
    <s v="Private"/>
    <n v="165599"/>
    <x v="6"/>
    <n v="9"/>
    <s v="Married-civ-spouse"/>
    <s v="Handlers-cleaners"/>
    <s v="Husband"/>
    <s v="White"/>
    <x v="1"/>
    <n v="0"/>
    <n v="0"/>
    <n v="40"/>
    <s v="United-States"/>
    <x v="1"/>
    <e v="#N/A"/>
    <n v="40"/>
  </r>
  <r>
    <s v="459"/>
    <n v="48"/>
    <s v="Private"/>
    <n v="344415"/>
    <x v="5"/>
    <n v="13"/>
    <s v="Married-spouse-absent"/>
    <s v="Prof-specialty"/>
    <s v="Not-in-family"/>
    <s v="White"/>
    <x v="1"/>
    <n v="0"/>
    <n v="0"/>
    <n v="37"/>
    <s v="United-States"/>
    <x v="1"/>
    <e v="#N/A"/>
    <n v="37"/>
  </r>
  <r>
    <s v="460"/>
    <n v="33"/>
    <s v="Private"/>
    <n v="100154"/>
    <x v="8"/>
    <n v="6"/>
    <s v="Separated"/>
    <s v="Handlers-cleaners"/>
    <s v="Not-in-family"/>
    <s v="White"/>
    <x v="1"/>
    <n v="0"/>
    <n v="0"/>
    <n v="40"/>
    <s v="United-States"/>
    <x v="0"/>
    <e v="#N/A"/>
    <n v="40"/>
  </r>
  <r>
    <s v="461"/>
    <n v="45"/>
    <s v="Private"/>
    <n v="172960"/>
    <x v="2"/>
    <n v="10"/>
    <s v="Divorced"/>
    <s v="Protective-serv"/>
    <s v="Not-in-family"/>
    <s v="White"/>
    <x v="1"/>
    <n v="0"/>
    <n v="0"/>
    <n v="70"/>
    <s v="United-States"/>
    <x v="0"/>
    <e v="#N/A"/>
    <n v="70"/>
  </r>
  <r>
    <s v="462"/>
    <n v="46"/>
    <s v="Private"/>
    <n v="167915"/>
    <x v="6"/>
    <n v="9"/>
    <s v="Married-civ-spouse"/>
    <s v="Craft-repair"/>
    <s v="Husband"/>
    <s v="White"/>
    <x v="1"/>
    <n v="0"/>
    <n v="0"/>
    <n v="40"/>
    <s v="United-States"/>
    <x v="0"/>
    <e v="#N/A"/>
    <n v="40"/>
  </r>
  <r>
    <s v="463"/>
    <n v="23"/>
    <s v="Private"/>
    <n v="64520"/>
    <x v="6"/>
    <n v="9"/>
    <s v="Never-married"/>
    <s v="Adm-clerical"/>
    <s v="Own-child"/>
    <s v="White"/>
    <x v="1"/>
    <n v="0"/>
    <n v="0"/>
    <n v="30"/>
    <s v="United-States"/>
    <x v="0"/>
    <e v="#N/A"/>
    <n v="30"/>
  </r>
  <r>
    <s v="464"/>
    <n v="59"/>
    <s v="?"/>
    <n v="182836"/>
    <x v="6"/>
    <n v="9"/>
    <s v="Married-civ-spouse"/>
    <s v="?"/>
    <s v="Wife"/>
    <s v="White"/>
    <x v="0"/>
    <n v="0"/>
    <n v="0"/>
    <n v="40"/>
    <s v="United-States"/>
    <x v="1"/>
    <n v="40"/>
    <e v="#N/A"/>
  </r>
  <r>
    <s v="465"/>
    <n v="56"/>
    <s v="Self-emp-not-inc"/>
    <n v="66356"/>
    <x v="2"/>
    <n v="10"/>
    <s v="Married-civ-spouse"/>
    <s v="Farming-fishing"/>
    <s v="Husband"/>
    <s v="White"/>
    <x v="1"/>
    <n v="0"/>
    <n v="0"/>
    <n v="50"/>
    <s v="United-States"/>
    <x v="0"/>
    <e v="#N/A"/>
    <n v="50"/>
  </r>
  <r>
    <s v="466"/>
    <n v="44"/>
    <s v="Private"/>
    <n v="30126"/>
    <x v="2"/>
    <n v="10"/>
    <s v="Divorced"/>
    <s v="Adm-clerical"/>
    <s v="Unmarried"/>
    <s v="White"/>
    <x v="0"/>
    <n v="0"/>
    <n v="0"/>
    <n v="40"/>
    <s v="United-States"/>
    <x v="0"/>
    <n v="40"/>
    <e v="#N/A"/>
  </r>
  <r>
    <s v="467"/>
    <n v="47"/>
    <s v="Private"/>
    <n v="23545"/>
    <x v="2"/>
    <n v="10"/>
    <s v="Married-civ-spouse"/>
    <s v="Handlers-cleaners"/>
    <s v="Husband"/>
    <s v="White"/>
    <x v="1"/>
    <n v="0"/>
    <n v="0"/>
    <n v="40"/>
    <s v="United-States"/>
    <x v="0"/>
    <e v="#N/A"/>
    <n v="40"/>
  </r>
  <r>
    <s v="468"/>
    <n v="55"/>
    <s v="Private"/>
    <n v="86505"/>
    <x v="6"/>
    <n v="9"/>
    <s v="Married-civ-spouse"/>
    <s v="Tech-support"/>
    <s v="Husband"/>
    <s v="White"/>
    <x v="1"/>
    <n v="0"/>
    <n v="0"/>
    <n v="20"/>
    <s v="United-States"/>
    <x v="0"/>
    <e v="#N/A"/>
    <n v="20"/>
  </r>
  <r>
    <s v="469"/>
    <n v="32"/>
    <s v="Private"/>
    <n v="111836"/>
    <x v="2"/>
    <n v="10"/>
    <s v="Married-civ-spouse"/>
    <s v="Other-service"/>
    <s v="Husband"/>
    <s v="Black"/>
    <x v="1"/>
    <n v="0"/>
    <n v="0"/>
    <n v="50"/>
    <s v="United-States"/>
    <x v="0"/>
    <e v="#N/A"/>
    <n v="50"/>
  </r>
  <r>
    <s v="470"/>
    <n v="26"/>
    <s v="Private"/>
    <n v="388812"/>
    <x v="2"/>
    <n v="10"/>
    <s v="Never-married"/>
    <s v="Sales"/>
    <s v="Not-in-family"/>
    <s v="Black"/>
    <x v="1"/>
    <n v="0"/>
    <n v="0"/>
    <n v="35"/>
    <s v="United-States"/>
    <x v="0"/>
    <e v="#N/A"/>
    <n v="35"/>
  </r>
  <r>
    <s v="471"/>
    <n v="25"/>
    <s v="Private"/>
    <n v="404951"/>
    <x v="5"/>
    <n v="13"/>
    <s v="Never-married"/>
    <s v="Exec-managerial"/>
    <s v="Not-in-family"/>
    <s v="Black"/>
    <x v="0"/>
    <n v="0"/>
    <n v="0"/>
    <n v="38"/>
    <s v="United-States"/>
    <x v="0"/>
    <n v="38"/>
    <e v="#N/A"/>
  </r>
  <r>
    <s v="472"/>
    <n v="18"/>
    <s v="Private"/>
    <n v="167979"/>
    <x v="0"/>
    <n v="7"/>
    <s v="Never-married"/>
    <s v="Sales"/>
    <s v="Own-child"/>
    <s v="White"/>
    <x v="1"/>
    <n v="0"/>
    <n v="0"/>
    <n v="15"/>
    <s v="United-States"/>
    <x v="0"/>
    <e v="#N/A"/>
    <n v="15"/>
  </r>
  <r>
    <s v="473"/>
    <n v="60"/>
    <s v="Self-emp-not-inc"/>
    <n v="95490"/>
    <x v="6"/>
    <n v="9"/>
    <s v="Married-civ-spouse"/>
    <s v="Sales"/>
    <s v="Husband"/>
    <s v="White"/>
    <x v="1"/>
    <n v="0"/>
    <n v="0"/>
    <n v="45"/>
    <s v="United-States"/>
    <x v="0"/>
    <e v="#N/A"/>
    <n v="45"/>
  </r>
  <r>
    <s v="474"/>
    <n v="25"/>
    <s v="Private"/>
    <n v="268222"/>
    <x v="6"/>
    <n v="9"/>
    <s v="Separated"/>
    <s v="Handlers-cleaners"/>
    <s v="Unmarried"/>
    <s v="Black"/>
    <x v="0"/>
    <n v="0"/>
    <n v="0"/>
    <n v="40"/>
    <s v="United-States"/>
    <x v="0"/>
    <n v="40"/>
    <e v="#N/A"/>
  </r>
  <r>
    <s v="475"/>
    <n v="54"/>
    <s v="Private"/>
    <n v="202415"/>
    <x v="6"/>
    <n v="9"/>
    <s v="Married-civ-spouse"/>
    <s v="Craft-repair"/>
    <s v="Husband"/>
    <s v="White"/>
    <x v="1"/>
    <n v="0"/>
    <n v="0"/>
    <n v="40"/>
    <s v="United-States"/>
    <x v="1"/>
    <e v="#N/A"/>
    <n v="40"/>
  </r>
  <r>
    <s v="476"/>
    <n v="17"/>
    <s v="?"/>
    <n v="332666"/>
    <x v="8"/>
    <n v="6"/>
    <s v="Never-married"/>
    <s v="?"/>
    <s v="Own-child"/>
    <s v="White"/>
    <x v="0"/>
    <n v="0"/>
    <n v="0"/>
    <n v="4"/>
    <s v="United-States"/>
    <x v="0"/>
    <n v="4"/>
    <e v="#N/A"/>
  </r>
  <r>
    <s v="477"/>
    <n v="40"/>
    <s v="Private"/>
    <n v="83859"/>
    <x v="6"/>
    <n v="9"/>
    <s v="Widowed"/>
    <s v="Machine-op-inspct"/>
    <s v="Own-child"/>
    <s v="White"/>
    <x v="0"/>
    <n v="0"/>
    <n v="0"/>
    <n v="30"/>
    <s v="United-States"/>
    <x v="0"/>
    <n v="30"/>
    <e v="#N/A"/>
  </r>
  <r>
    <s v="478"/>
    <n v="62"/>
    <s v="Private"/>
    <n v="98076"/>
    <x v="5"/>
    <n v="13"/>
    <s v="Married-civ-spouse"/>
    <s v="Exec-managerial"/>
    <s v="Husband"/>
    <s v="White"/>
    <x v="1"/>
    <n v="0"/>
    <n v="0"/>
    <n v="40"/>
    <s v="United-States"/>
    <x v="1"/>
    <e v="#N/A"/>
    <n v="40"/>
  </r>
  <r>
    <s v="479"/>
    <n v="56"/>
    <s v="Private"/>
    <n v="193453"/>
    <x v="5"/>
    <n v="13"/>
    <s v="Married-civ-spouse"/>
    <s v="Prof-specialty"/>
    <s v="Husband"/>
    <s v="White"/>
    <x v="1"/>
    <n v="0"/>
    <n v="1902"/>
    <n v="65"/>
    <s v="United-States"/>
    <x v="1"/>
    <e v="#N/A"/>
    <n v="65"/>
  </r>
  <r>
    <s v="480"/>
    <n v="23"/>
    <s v="Private"/>
    <n v="293565"/>
    <x v="8"/>
    <n v="6"/>
    <s v="Never-married"/>
    <s v="Handlers-cleaners"/>
    <s v="Not-in-family"/>
    <s v="White"/>
    <x v="1"/>
    <n v="0"/>
    <n v="0"/>
    <n v="40"/>
    <s v="United-States"/>
    <x v="0"/>
    <e v="#N/A"/>
    <n v="40"/>
  </r>
  <r>
    <s v="481"/>
    <n v="48"/>
    <s v="Private"/>
    <n v="101684"/>
    <x v="6"/>
    <n v="9"/>
    <s v="Married-civ-spouse"/>
    <s v="Sales"/>
    <s v="Husband"/>
    <s v="White"/>
    <x v="1"/>
    <n v="0"/>
    <n v="0"/>
    <n v="40"/>
    <s v="United-States"/>
    <x v="0"/>
    <e v="#N/A"/>
    <n v="40"/>
  </r>
  <r>
    <s v="482"/>
    <n v="50"/>
    <s v="Private"/>
    <n v="195784"/>
    <x v="4"/>
    <n v="8"/>
    <s v="Divorced"/>
    <s v="Handlers-cleaners"/>
    <s v="Unmarried"/>
    <s v="White"/>
    <x v="1"/>
    <n v="0"/>
    <n v="0"/>
    <n v="40"/>
    <s v="United-States"/>
    <x v="0"/>
    <e v="#N/A"/>
    <n v="40"/>
  </r>
  <r>
    <s v="483"/>
    <n v="18"/>
    <s v="?"/>
    <n v="78181"/>
    <x v="6"/>
    <n v="9"/>
    <s v="Never-married"/>
    <s v="?"/>
    <s v="Own-child"/>
    <s v="White"/>
    <x v="0"/>
    <n v="0"/>
    <n v="0"/>
    <n v="20"/>
    <s v="United-States"/>
    <x v="0"/>
    <n v="20"/>
    <e v="#N/A"/>
  </r>
  <r>
    <s v="484"/>
    <n v="31"/>
    <s v="Private"/>
    <n v="511289"/>
    <x v="6"/>
    <n v="9"/>
    <s v="Never-married"/>
    <s v="Farming-fishing"/>
    <s v="Not-in-family"/>
    <s v="White"/>
    <x v="1"/>
    <n v="2907"/>
    <n v="0"/>
    <n v="99"/>
    <s v="United-States"/>
    <x v="0"/>
    <e v="#N/A"/>
    <n v="99"/>
  </r>
  <r>
    <s v="485"/>
    <n v="24"/>
    <s v="Private"/>
    <n v="62952"/>
    <x v="6"/>
    <n v="9"/>
    <s v="Never-married"/>
    <s v="Craft-repair"/>
    <s v="Own-child"/>
    <s v="White"/>
    <x v="1"/>
    <n v="0"/>
    <n v="0"/>
    <n v="40"/>
    <s v="United-States"/>
    <x v="0"/>
    <e v="#N/A"/>
    <n v="40"/>
  </r>
  <r>
    <s v="486"/>
    <n v="38"/>
    <s v="Private"/>
    <n v="391040"/>
    <x v="9"/>
    <n v="11"/>
    <s v="Separated"/>
    <s v="Tech-support"/>
    <s v="Unmarried"/>
    <s v="White"/>
    <x v="0"/>
    <n v="0"/>
    <n v="0"/>
    <n v="20"/>
    <s v="United-States"/>
    <x v="0"/>
    <n v="20"/>
    <e v="#N/A"/>
  </r>
  <r>
    <s v="487"/>
    <n v="20"/>
    <s v="Private"/>
    <n v="153583"/>
    <x v="2"/>
    <n v="10"/>
    <s v="Never-married"/>
    <s v="Adm-clerical"/>
    <s v="Own-child"/>
    <s v="White"/>
    <x v="0"/>
    <n v="0"/>
    <n v="0"/>
    <n v="40"/>
    <s v="?"/>
    <x v="0"/>
    <n v="40"/>
    <e v="#N/A"/>
  </r>
  <r>
    <s v="488"/>
    <n v="45"/>
    <s v="Private"/>
    <n v="168038"/>
    <x v="5"/>
    <n v="13"/>
    <s v="Divorced"/>
    <s v="Sales"/>
    <s v="Not-in-family"/>
    <s v="White"/>
    <x v="1"/>
    <n v="0"/>
    <n v="0"/>
    <n v="60"/>
    <s v="United-States"/>
    <x v="1"/>
    <e v="#N/A"/>
    <n v="60"/>
  </r>
  <r>
    <s v="489"/>
    <n v="45"/>
    <s v="Private"/>
    <n v="260490"/>
    <x v="7"/>
    <n v="14"/>
    <s v="Married-civ-spouse"/>
    <s v="Exec-managerial"/>
    <s v="Husband"/>
    <s v="White"/>
    <x v="1"/>
    <n v="0"/>
    <n v="0"/>
    <n v="50"/>
    <s v="United-States"/>
    <x v="1"/>
    <e v="#N/A"/>
    <n v="50"/>
  </r>
  <r>
    <s v="490"/>
    <n v="63"/>
    <s v="Self-emp-not-inc"/>
    <n v="28612"/>
    <x v="6"/>
    <n v="9"/>
    <s v="Widowed"/>
    <s v="Sales"/>
    <s v="Not-in-family"/>
    <s v="White"/>
    <x v="1"/>
    <n v="0"/>
    <n v="0"/>
    <n v="70"/>
    <s v="United-States"/>
    <x v="0"/>
    <e v="#N/A"/>
    <n v="70"/>
  </r>
  <r>
    <s v="491"/>
    <n v="40"/>
    <s v="Private"/>
    <n v="346189"/>
    <x v="13"/>
    <n v="16"/>
    <s v="Married-civ-spouse"/>
    <s v="Prof-specialty"/>
    <s v="Husband"/>
    <s v="White"/>
    <x v="1"/>
    <n v="0"/>
    <n v="0"/>
    <n v="40"/>
    <s v="United-States"/>
    <x v="1"/>
    <e v="#N/A"/>
    <n v="40"/>
  </r>
  <r>
    <s v="492"/>
    <n v="32"/>
    <s v="Private"/>
    <n v="212064"/>
    <x v="5"/>
    <n v="13"/>
    <s v="Married-civ-spouse"/>
    <s v="Exec-managerial"/>
    <s v="Wife"/>
    <s v="White"/>
    <x v="0"/>
    <n v="0"/>
    <n v="0"/>
    <n v="40"/>
    <s v="United-States"/>
    <x v="1"/>
    <n v="40"/>
    <e v="#N/A"/>
  </r>
  <r>
    <s v="493"/>
    <n v="37"/>
    <s v="Private"/>
    <n v="135436"/>
    <x v="5"/>
    <n v="13"/>
    <s v="Married-civ-spouse"/>
    <s v="Exec-managerial"/>
    <s v="Husband"/>
    <s v="White"/>
    <x v="1"/>
    <n v="0"/>
    <n v="1977"/>
    <n v="60"/>
    <s v="United-States"/>
    <x v="1"/>
    <e v="#N/A"/>
    <n v="60"/>
  </r>
  <r>
    <s v="494"/>
    <n v="34"/>
    <s v="Private"/>
    <n v="184147"/>
    <x v="6"/>
    <n v="9"/>
    <s v="Separated"/>
    <s v="Sales"/>
    <s v="Unmarried"/>
    <s v="Black"/>
    <x v="0"/>
    <n v="0"/>
    <n v="0"/>
    <n v="20"/>
    <s v="United-States"/>
    <x v="0"/>
    <n v="20"/>
    <e v="#N/A"/>
  </r>
  <r>
    <s v="495"/>
    <n v="35"/>
    <s v="Private"/>
    <n v="241998"/>
    <x v="5"/>
    <n v="13"/>
    <s v="Married-civ-spouse"/>
    <s v="Exec-managerial"/>
    <s v="Husband"/>
    <s v="White"/>
    <x v="1"/>
    <n v="0"/>
    <n v="0"/>
    <n v="45"/>
    <s v="United-States"/>
    <x v="1"/>
    <e v="#N/A"/>
    <n v="45"/>
  </r>
  <r>
    <s v="496"/>
    <n v="35"/>
    <s v="Self-emp-not-inc"/>
    <n v="115618"/>
    <x v="6"/>
    <n v="9"/>
    <s v="Divorced"/>
    <s v="Sales"/>
    <s v="Not-in-family"/>
    <s v="White"/>
    <x v="1"/>
    <n v="0"/>
    <n v="0"/>
    <n v="50"/>
    <s v="United-States"/>
    <x v="1"/>
    <e v="#N/A"/>
    <n v="50"/>
  </r>
  <r>
    <s v="497"/>
    <n v="59"/>
    <s v="Private"/>
    <n v="200700"/>
    <x v="5"/>
    <n v="13"/>
    <s v="Married-civ-spouse"/>
    <s v="Craft-repair"/>
    <s v="Husband"/>
    <s v="Black"/>
    <x v="1"/>
    <n v="0"/>
    <n v="0"/>
    <n v="48"/>
    <s v="United-States"/>
    <x v="1"/>
    <e v="#N/A"/>
    <n v="48"/>
  </r>
  <r>
    <s v="498"/>
    <n v="25"/>
    <s v="Local-gov"/>
    <n v="182380"/>
    <x v="6"/>
    <n v="9"/>
    <s v="Never-married"/>
    <s v="Craft-repair"/>
    <s v="Own-child"/>
    <s v="White"/>
    <x v="1"/>
    <n v="0"/>
    <n v="0"/>
    <n v="40"/>
    <s v="United-States"/>
    <x v="0"/>
    <e v="#N/A"/>
    <n v="40"/>
  </r>
  <r>
    <s v="499"/>
    <n v="27"/>
    <s v="Private"/>
    <n v="95647"/>
    <x v="5"/>
    <n v="13"/>
    <s v="Never-married"/>
    <s v="Prof-specialty"/>
    <s v="Own-child"/>
    <s v="Asian-Pac-Islander"/>
    <x v="1"/>
    <n v="0"/>
    <n v="0"/>
    <n v="40"/>
    <s v="United-States"/>
    <x v="0"/>
    <e v="#N/A"/>
    <n v="40"/>
  </r>
  <r>
    <s v="500"/>
    <n v="22"/>
    <s v="Private"/>
    <n v="385077"/>
    <x v="6"/>
    <n v="9"/>
    <s v="Never-married"/>
    <s v="Craft-repair"/>
    <s v="Own-child"/>
    <s v="White"/>
    <x v="1"/>
    <n v="2907"/>
    <n v="0"/>
    <n v="40"/>
    <s v="United-States"/>
    <x v="0"/>
    <e v="#N/A"/>
    <n v="40"/>
  </r>
  <r>
    <s v="501"/>
    <n v="40"/>
    <s v="Private"/>
    <n v="55191"/>
    <x v="2"/>
    <n v="10"/>
    <s v="Never-married"/>
    <s v="Adm-clerical"/>
    <s v="Not-in-family"/>
    <s v="Black"/>
    <x v="0"/>
    <n v="0"/>
    <n v="0"/>
    <n v="40"/>
    <s v="United-States"/>
    <x v="0"/>
    <n v="40"/>
    <e v="#N/A"/>
  </r>
  <r>
    <s v="502"/>
    <n v="29"/>
    <s v="Private"/>
    <n v="71860"/>
    <x v="6"/>
    <n v="9"/>
    <s v="Married-civ-spouse"/>
    <s v="Farming-fishing"/>
    <s v="Husband"/>
    <s v="White"/>
    <x v="1"/>
    <n v="0"/>
    <n v="0"/>
    <n v="60"/>
    <s v="United-States"/>
    <x v="0"/>
    <e v="#N/A"/>
    <n v="60"/>
  </r>
  <r>
    <s v="503"/>
    <n v="42"/>
    <s v="Self-emp-inc"/>
    <n v="277488"/>
    <x v="10"/>
    <n v="15"/>
    <s v="Married-civ-spouse"/>
    <s v="Prof-specialty"/>
    <s v="Husband"/>
    <s v="White"/>
    <x v="1"/>
    <n v="15024"/>
    <n v="0"/>
    <n v="65"/>
    <s v="United-States"/>
    <x v="1"/>
    <e v="#N/A"/>
    <n v="65"/>
  </r>
  <r>
    <s v="504"/>
    <n v="19"/>
    <s v="Private"/>
    <n v="205830"/>
    <x v="6"/>
    <n v="9"/>
    <s v="Never-married"/>
    <s v="Other-service"/>
    <s v="Own-child"/>
    <s v="White"/>
    <x v="0"/>
    <n v="0"/>
    <n v="0"/>
    <n v="40"/>
    <s v="El-Salvador"/>
    <x v="0"/>
    <n v="40"/>
    <e v="#N/A"/>
  </r>
  <r>
    <s v="505"/>
    <n v="31"/>
    <s v="Private"/>
    <n v="100252"/>
    <x v="5"/>
    <n v="13"/>
    <s v="Divorced"/>
    <s v="Other-service"/>
    <s v="Not-in-family"/>
    <s v="Asian-Pac-Islander"/>
    <x v="1"/>
    <n v="99999"/>
    <n v="0"/>
    <n v="70"/>
    <s v="United-States"/>
    <x v="1"/>
    <e v="#N/A"/>
    <n v="70"/>
  </r>
  <r>
    <s v="506"/>
    <n v="62"/>
    <s v="Private"/>
    <n v="132917"/>
    <x v="2"/>
    <n v="10"/>
    <s v="Married-civ-spouse"/>
    <s v="Transport-moving"/>
    <s v="Husband"/>
    <s v="Black"/>
    <x v="1"/>
    <n v="0"/>
    <n v="0"/>
    <n v="20"/>
    <s v="United-States"/>
    <x v="0"/>
    <e v="#N/A"/>
    <n v="20"/>
  </r>
  <r>
    <s v="507"/>
    <n v="38"/>
    <s v="Private"/>
    <n v="193372"/>
    <x v="2"/>
    <n v="10"/>
    <s v="Never-married"/>
    <s v="Exec-managerial"/>
    <s v="Own-child"/>
    <s v="White"/>
    <x v="0"/>
    <n v="0"/>
    <n v="0"/>
    <n v="40"/>
    <s v="United-States"/>
    <x v="0"/>
    <n v="40"/>
    <e v="#N/A"/>
  </r>
  <r>
    <s v="508"/>
    <n v="47"/>
    <s v="Private"/>
    <n v="267205"/>
    <x v="9"/>
    <n v="11"/>
    <s v="Married-civ-spouse"/>
    <s v="Craft-repair"/>
    <s v="Husband"/>
    <s v="White"/>
    <x v="1"/>
    <n v="0"/>
    <n v="0"/>
    <n v="60"/>
    <s v="?"/>
    <x v="1"/>
    <e v="#N/A"/>
    <n v="60"/>
  </r>
  <r>
    <s v="509"/>
    <n v="37"/>
    <s v="Local-gov"/>
    <n v="108320"/>
    <x v="5"/>
    <n v="13"/>
    <s v="Married-civ-spouse"/>
    <s v="Tech-support"/>
    <s v="Husband"/>
    <s v="White"/>
    <x v="1"/>
    <n v="0"/>
    <n v="0"/>
    <n v="45"/>
    <s v="United-States"/>
    <x v="1"/>
    <e v="#N/A"/>
    <n v="45"/>
  </r>
  <r>
    <s v="510"/>
    <n v="36"/>
    <s v="Self-emp-not-inc"/>
    <n v="167691"/>
    <x v="2"/>
    <n v="10"/>
    <s v="Never-married"/>
    <s v="Other-service"/>
    <s v="Unmarried"/>
    <s v="White"/>
    <x v="0"/>
    <n v="0"/>
    <n v="0"/>
    <n v="50"/>
    <s v="United-States"/>
    <x v="0"/>
    <n v="50"/>
    <e v="#N/A"/>
  </r>
  <r>
    <s v="511"/>
    <n v="18"/>
    <s v="Private"/>
    <n v="111256"/>
    <x v="6"/>
    <n v="9"/>
    <s v="Never-married"/>
    <s v="Adm-clerical"/>
    <s v="Own-child"/>
    <s v="White"/>
    <x v="0"/>
    <n v="0"/>
    <n v="0"/>
    <n v="20"/>
    <s v="United-States"/>
    <x v="0"/>
    <n v="20"/>
    <e v="#N/A"/>
  </r>
  <r>
    <s v="512"/>
    <n v="20"/>
    <s v="Local-gov"/>
    <n v="163965"/>
    <x v="6"/>
    <n v="9"/>
    <s v="Never-married"/>
    <s v="Other-service"/>
    <s v="Unmarried"/>
    <s v="Black"/>
    <x v="0"/>
    <n v="0"/>
    <n v="0"/>
    <n v="40"/>
    <s v="United-States"/>
    <x v="0"/>
    <n v="40"/>
    <e v="#N/A"/>
  </r>
  <r>
    <s v="513"/>
    <n v="45"/>
    <s v="Self-emp-not-inc"/>
    <n v="275445"/>
    <x v="5"/>
    <n v="13"/>
    <s v="Divorced"/>
    <s v="Exec-managerial"/>
    <s v="Unmarried"/>
    <s v="White"/>
    <x v="1"/>
    <n v="0"/>
    <n v="0"/>
    <n v="50"/>
    <s v="United-States"/>
    <x v="0"/>
    <e v="#N/A"/>
    <n v="50"/>
  </r>
  <r>
    <s v="514"/>
    <n v="63"/>
    <s v="Private"/>
    <n v="207385"/>
    <x v="2"/>
    <n v="10"/>
    <s v="Married-civ-spouse"/>
    <s v="Sales"/>
    <s v="Husband"/>
    <s v="White"/>
    <x v="1"/>
    <n v="0"/>
    <n v="0"/>
    <n v="30"/>
    <s v="United-States"/>
    <x v="0"/>
    <e v="#N/A"/>
    <n v="30"/>
  </r>
  <r>
    <s v="515"/>
    <n v="55"/>
    <s v="Private"/>
    <n v="239404"/>
    <x v="8"/>
    <n v="6"/>
    <s v="Married-civ-spouse"/>
    <s v="Transport-moving"/>
    <s v="Husband"/>
    <s v="Black"/>
    <x v="1"/>
    <n v="0"/>
    <n v="0"/>
    <n v="45"/>
    <s v="United-States"/>
    <x v="0"/>
    <e v="#N/A"/>
    <n v="45"/>
  </r>
  <r>
    <s v="516"/>
    <n v="40"/>
    <s v="Local-gov"/>
    <n v="150755"/>
    <x v="5"/>
    <n v="13"/>
    <s v="Married-civ-spouse"/>
    <s v="Prof-specialty"/>
    <s v="Husband"/>
    <s v="White"/>
    <x v="1"/>
    <n v="99999"/>
    <n v="0"/>
    <n v="75"/>
    <s v="United-States"/>
    <x v="1"/>
    <e v="#N/A"/>
    <n v="75"/>
  </r>
  <r>
    <s v="517"/>
    <n v="33"/>
    <s v="Private"/>
    <n v="119033"/>
    <x v="14"/>
    <n v="5"/>
    <s v="Married-civ-spouse"/>
    <s v="Handlers-cleaners"/>
    <s v="Husband"/>
    <s v="White"/>
    <x v="1"/>
    <n v="0"/>
    <n v="0"/>
    <n v="40"/>
    <s v="United-States"/>
    <x v="0"/>
    <e v="#N/A"/>
    <n v="40"/>
  </r>
  <r>
    <s v="518"/>
    <n v="27"/>
    <s v="Private"/>
    <n v="303954"/>
    <x v="5"/>
    <n v="13"/>
    <s v="Married-civ-spouse"/>
    <s v="Sales"/>
    <s v="Husband"/>
    <s v="White"/>
    <x v="1"/>
    <n v="0"/>
    <n v="0"/>
    <n v="45"/>
    <s v="United-States"/>
    <x v="0"/>
    <e v="#N/A"/>
    <n v="45"/>
  </r>
  <r>
    <s v="519"/>
    <n v="47"/>
    <s v="State-gov"/>
    <n v="108890"/>
    <x v="6"/>
    <n v="9"/>
    <s v="Divorced"/>
    <s v="Adm-clerical"/>
    <s v="Unmarried"/>
    <s v="White"/>
    <x v="0"/>
    <n v="1831"/>
    <n v="0"/>
    <n v="38"/>
    <s v="United-States"/>
    <x v="0"/>
    <n v="38"/>
    <e v="#N/A"/>
  </r>
  <r>
    <s v="520"/>
    <n v="40"/>
    <s v="Private"/>
    <n v="205706"/>
    <x v="6"/>
    <n v="9"/>
    <s v="Married-civ-spouse"/>
    <s v="Exec-managerial"/>
    <s v="Wife"/>
    <s v="White"/>
    <x v="0"/>
    <n v="0"/>
    <n v="0"/>
    <n v="40"/>
    <s v="United-States"/>
    <x v="0"/>
    <n v="40"/>
    <e v="#N/A"/>
  </r>
  <r>
    <s v="521"/>
    <n v="54"/>
    <s v="Private"/>
    <n v="215990"/>
    <x v="7"/>
    <n v="14"/>
    <s v="Married-civ-spouse"/>
    <s v="Exec-managerial"/>
    <s v="Husband"/>
    <s v="White"/>
    <x v="1"/>
    <n v="0"/>
    <n v="1887"/>
    <n v="44"/>
    <s v="United-States"/>
    <x v="1"/>
    <e v="#N/A"/>
    <n v="44"/>
  </r>
  <r>
    <s v="522"/>
    <n v="19"/>
    <s v="Self-emp-not-inc"/>
    <n v="137578"/>
    <x v="6"/>
    <n v="9"/>
    <s v="Never-married"/>
    <s v="Other-service"/>
    <s v="Own-child"/>
    <s v="White"/>
    <x v="1"/>
    <n v="0"/>
    <n v="0"/>
    <n v="53"/>
    <s v="United-States"/>
    <x v="0"/>
    <e v="#N/A"/>
    <n v="53"/>
  </r>
  <r>
    <s v="523"/>
    <n v="29"/>
    <s v="Self-emp-inc"/>
    <n v="156815"/>
    <x v="6"/>
    <n v="9"/>
    <s v="Married-civ-spouse"/>
    <s v="Other-service"/>
    <s v="Husband"/>
    <s v="White"/>
    <x v="1"/>
    <n v="0"/>
    <n v="0"/>
    <n v="40"/>
    <s v="United-States"/>
    <x v="0"/>
    <e v="#N/A"/>
    <n v="40"/>
  </r>
  <r>
    <s v="524"/>
    <n v="61"/>
    <s v="Self-emp-not-inc"/>
    <n v="117387"/>
    <x v="0"/>
    <n v="7"/>
    <s v="Married-civ-spouse"/>
    <s v="Exec-managerial"/>
    <s v="Husband"/>
    <s v="White"/>
    <x v="1"/>
    <n v="0"/>
    <n v="0"/>
    <n v="20"/>
    <s v="United-States"/>
    <x v="0"/>
    <e v="#N/A"/>
    <n v="20"/>
  </r>
  <r>
    <s v="525"/>
    <n v="22"/>
    <s v="Private"/>
    <n v="119592"/>
    <x v="1"/>
    <n v="12"/>
    <s v="Never-married"/>
    <s v="Handlers-cleaners"/>
    <s v="Not-in-family"/>
    <s v="Black"/>
    <x v="1"/>
    <n v="0"/>
    <n v="2824"/>
    <n v="40"/>
    <s v="?"/>
    <x v="1"/>
    <e v="#N/A"/>
    <n v="40"/>
  </r>
  <r>
    <s v="526"/>
    <n v="19"/>
    <s v="?"/>
    <n v="185619"/>
    <x v="2"/>
    <n v="10"/>
    <s v="Never-married"/>
    <s v="?"/>
    <s v="Own-child"/>
    <s v="White"/>
    <x v="0"/>
    <n v="0"/>
    <n v="0"/>
    <n v="20"/>
    <s v="United-States"/>
    <x v="0"/>
    <n v="20"/>
    <e v="#N/A"/>
  </r>
  <r>
    <s v="527"/>
    <n v="40"/>
    <s v="Local-gov"/>
    <n v="105862"/>
    <x v="5"/>
    <n v="13"/>
    <s v="Divorced"/>
    <s v="Prof-specialty"/>
    <s v="Unmarried"/>
    <s v="White"/>
    <x v="0"/>
    <n v="5455"/>
    <n v="0"/>
    <n v="40"/>
    <s v="United-States"/>
    <x v="0"/>
    <n v="40"/>
    <e v="#N/A"/>
  </r>
  <r>
    <s v="528"/>
    <n v="62"/>
    <s v="Local-gov"/>
    <n v="180162"/>
    <x v="14"/>
    <n v="5"/>
    <s v="Divorced"/>
    <s v="Protective-serv"/>
    <s v="Not-in-family"/>
    <s v="Black"/>
    <x v="1"/>
    <n v="0"/>
    <n v="0"/>
    <n v="24"/>
    <s v="United-States"/>
    <x v="0"/>
    <e v="#N/A"/>
    <n v="24"/>
  </r>
  <r>
    <s v="529"/>
    <n v="42"/>
    <s v="Private"/>
    <n v="54611"/>
    <x v="2"/>
    <n v="10"/>
    <s v="Divorced"/>
    <s v="Farming-fishing"/>
    <s v="Not-in-family"/>
    <s v="White"/>
    <x v="1"/>
    <n v="0"/>
    <n v="0"/>
    <n v="40"/>
    <s v="United-States"/>
    <x v="0"/>
    <e v="#N/A"/>
    <n v="40"/>
  </r>
  <r>
    <s v="530"/>
    <n v="30"/>
    <s v="Private"/>
    <n v="46712"/>
    <x v="6"/>
    <n v="9"/>
    <s v="Divorced"/>
    <s v="Other-service"/>
    <s v="Not-in-family"/>
    <s v="White"/>
    <x v="0"/>
    <n v="0"/>
    <n v="0"/>
    <n v="40"/>
    <s v="United-States"/>
    <x v="0"/>
    <n v="40"/>
    <e v="#N/A"/>
  </r>
  <r>
    <s v="531"/>
    <n v="65"/>
    <s v="Private"/>
    <n v="344152"/>
    <x v="7"/>
    <n v="14"/>
    <s v="Married-civ-spouse"/>
    <s v="Prof-specialty"/>
    <s v="Husband"/>
    <s v="White"/>
    <x v="1"/>
    <n v="5556"/>
    <n v="0"/>
    <n v="50"/>
    <s v="United-States"/>
    <x v="1"/>
    <e v="#N/A"/>
    <n v="50"/>
  </r>
  <r>
    <s v="532"/>
    <n v="41"/>
    <s v="State-gov"/>
    <n v="58930"/>
    <x v="5"/>
    <n v="13"/>
    <s v="Never-married"/>
    <s v="Prof-specialty"/>
    <s v="Not-in-family"/>
    <s v="White"/>
    <x v="0"/>
    <n v="0"/>
    <n v="0"/>
    <n v="40"/>
    <s v="United-States"/>
    <x v="0"/>
    <n v="40"/>
    <e v="#N/A"/>
  </r>
  <r>
    <s v="533"/>
    <n v="28"/>
    <s v="Private"/>
    <n v="392100"/>
    <x v="6"/>
    <n v="9"/>
    <s v="Married-civ-spouse"/>
    <s v="Craft-repair"/>
    <s v="Own-child"/>
    <s v="White"/>
    <x v="1"/>
    <n v="0"/>
    <n v="0"/>
    <n v="40"/>
    <s v="United-States"/>
    <x v="0"/>
    <e v="#N/A"/>
    <n v="40"/>
  </r>
  <r>
    <s v="534"/>
    <n v="26"/>
    <s v="Private"/>
    <n v="173593"/>
    <x v="7"/>
    <n v="14"/>
    <s v="Married-civ-spouse"/>
    <s v="Machine-op-inspct"/>
    <s v="Husband"/>
    <s v="White"/>
    <x v="1"/>
    <n v="0"/>
    <n v="0"/>
    <n v="20"/>
    <s v="Canada"/>
    <x v="0"/>
    <e v="#N/A"/>
    <n v="20"/>
  </r>
  <r>
    <s v="535"/>
    <n v="23"/>
    <s v="Private"/>
    <n v="32950"/>
    <x v="2"/>
    <n v="10"/>
    <s v="Never-married"/>
    <s v="Sales"/>
    <s v="Not-in-family"/>
    <s v="White"/>
    <x v="1"/>
    <n v="0"/>
    <n v="0"/>
    <n v="40"/>
    <s v="United-States"/>
    <x v="0"/>
    <e v="#N/A"/>
    <n v="40"/>
  </r>
  <r>
    <s v="536"/>
    <n v="45"/>
    <s v="Private"/>
    <n v="20534"/>
    <x v="2"/>
    <n v="10"/>
    <s v="Married-civ-spouse"/>
    <s v="Machine-op-inspct"/>
    <s v="Husband"/>
    <s v="White"/>
    <x v="1"/>
    <n v="0"/>
    <n v="0"/>
    <n v="84"/>
    <s v="United-States"/>
    <x v="1"/>
    <e v="#N/A"/>
    <n v="84"/>
  </r>
  <r>
    <s v="537"/>
    <n v="61"/>
    <s v="Federal-gov"/>
    <n v="229062"/>
    <x v="2"/>
    <n v="10"/>
    <s v="Married-civ-spouse"/>
    <s v="Adm-clerical"/>
    <s v="Husband"/>
    <s v="White"/>
    <x v="1"/>
    <n v="0"/>
    <n v="1887"/>
    <n v="40"/>
    <s v="United-States"/>
    <x v="1"/>
    <e v="#N/A"/>
    <n v="40"/>
  </r>
  <r>
    <s v="538"/>
    <n v="76"/>
    <s v="Private"/>
    <n v="208843"/>
    <x v="12"/>
    <n v="4"/>
    <s v="Widowed"/>
    <s v="Protective-serv"/>
    <s v="Not-in-family"/>
    <s v="White"/>
    <x v="1"/>
    <n v="0"/>
    <n v="0"/>
    <n v="30"/>
    <s v="United-States"/>
    <x v="0"/>
    <e v="#N/A"/>
    <n v="30"/>
  </r>
  <r>
    <s v="539"/>
    <n v="60"/>
    <s v="Private"/>
    <n v="139391"/>
    <x v="2"/>
    <n v="10"/>
    <s v="Married-spouse-absent"/>
    <s v="Machine-op-inspct"/>
    <s v="Not-in-family"/>
    <s v="White"/>
    <x v="1"/>
    <n v="0"/>
    <n v="0"/>
    <n v="50"/>
    <s v="United-States"/>
    <x v="1"/>
    <e v="#N/A"/>
    <n v="50"/>
  </r>
  <r>
    <s v="540"/>
    <n v="33"/>
    <s v="State-gov"/>
    <n v="111994"/>
    <x v="2"/>
    <n v="10"/>
    <s v="Divorced"/>
    <s v="Adm-clerical"/>
    <s v="Unmarried"/>
    <s v="White"/>
    <x v="0"/>
    <n v="0"/>
    <n v="0"/>
    <n v="45"/>
    <s v="United-States"/>
    <x v="0"/>
    <n v="45"/>
    <e v="#N/A"/>
  </r>
  <r>
    <s v="541"/>
    <n v="35"/>
    <s v="Self-emp-not-inc"/>
    <n v="348771"/>
    <x v="0"/>
    <n v="7"/>
    <s v="Married-civ-spouse"/>
    <s v="Craft-repair"/>
    <s v="Husband"/>
    <s v="White"/>
    <x v="1"/>
    <n v="0"/>
    <n v="0"/>
    <n v="36"/>
    <s v="United-States"/>
    <x v="0"/>
    <e v="#N/A"/>
    <n v="36"/>
  </r>
  <r>
    <s v="542"/>
    <n v="23"/>
    <s v="Private"/>
    <n v="348420"/>
    <x v="5"/>
    <n v="13"/>
    <s v="Never-married"/>
    <s v="Tech-support"/>
    <s v="Not-in-family"/>
    <s v="White"/>
    <x v="1"/>
    <n v="0"/>
    <n v="0"/>
    <n v="40"/>
    <s v="United-States"/>
    <x v="0"/>
    <e v="#N/A"/>
    <n v="40"/>
  </r>
  <r>
    <s v="543"/>
    <n v="36"/>
    <s v="Private"/>
    <n v="115700"/>
    <x v="6"/>
    <n v="9"/>
    <s v="Married-civ-spouse"/>
    <s v="Sales"/>
    <s v="Husband"/>
    <s v="White"/>
    <x v="1"/>
    <n v="0"/>
    <n v="0"/>
    <n v="50"/>
    <s v="United-States"/>
    <x v="0"/>
    <e v="#N/A"/>
    <n v="50"/>
  </r>
  <r>
    <s v="544"/>
    <n v="33"/>
    <s v="Local-gov"/>
    <n v="133876"/>
    <x v="6"/>
    <n v="9"/>
    <s v="Divorced"/>
    <s v="Craft-repair"/>
    <s v="Unmarried"/>
    <s v="White"/>
    <x v="1"/>
    <n v="0"/>
    <n v="0"/>
    <n v="40"/>
    <s v="United-States"/>
    <x v="0"/>
    <e v="#N/A"/>
    <n v="40"/>
  </r>
  <r>
    <s v="545"/>
    <n v="36"/>
    <s v="State-gov"/>
    <n v="196348"/>
    <x v="6"/>
    <n v="9"/>
    <s v="Married-civ-spouse"/>
    <s v="Exec-managerial"/>
    <s v="Husband"/>
    <s v="White"/>
    <x v="1"/>
    <n v="0"/>
    <n v="0"/>
    <n v="60"/>
    <s v="United-States"/>
    <x v="1"/>
    <e v="#N/A"/>
    <n v="60"/>
  </r>
  <r>
    <s v="546"/>
    <n v="51"/>
    <s v="Private"/>
    <n v="123429"/>
    <x v="1"/>
    <n v="12"/>
    <s v="Divorced"/>
    <s v="Tech-support"/>
    <s v="Not-in-family"/>
    <s v="White"/>
    <x v="1"/>
    <n v="0"/>
    <n v="0"/>
    <n v="30"/>
    <s v="United-States"/>
    <x v="0"/>
    <e v="#N/A"/>
    <n v="30"/>
  </r>
  <r>
    <s v="547"/>
    <n v="27"/>
    <s v="State-gov"/>
    <n v="271328"/>
    <x v="5"/>
    <n v="13"/>
    <s v="Never-married"/>
    <s v="Prof-specialty"/>
    <s v="Not-in-family"/>
    <s v="White"/>
    <x v="1"/>
    <n v="0"/>
    <n v="0"/>
    <n v="60"/>
    <s v="United-States"/>
    <x v="0"/>
    <e v="#N/A"/>
    <n v="60"/>
  </r>
  <r>
    <s v="548"/>
    <n v="47"/>
    <s v="Local-gov"/>
    <n v="93618"/>
    <x v="2"/>
    <n v="10"/>
    <s v="Divorced"/>
    <s v="Adm-clerical"/>
    <s v="Not-in-family"/>
    <s v="White"/>
    <x v="0"/>
    <n v="0"/>
    <n v="0"/>
    <n v="33"/>
    <s v="United-States"/>
    <x v="0"/>
    <n v="33"/>
    <e v="#N/A"/>
  </r>
  <r>
    <s v="549"/>
    <n v="26"/>
    <s v="Private"/>
    <n v="39212"/>
    <x v="6"/>
    <n v="9"/>
    <s v="Married-civ-spouse"/>
    <s v="Machine-op-inspct"/>
    <s v="Husband"/>
    <s v="White"/>
    <x v="1"/>
    <n v="0"/>
    <n v="0"/>
    <n v="45"/>
    <s v="United-States"/>
    <x v="0"/>
    <e v="#N/A"/>
    <n v="45"/>
  </r>
  <r>
    <s v="550"/>
    <n v="49"/>
    <s v="Private"/>
    <n v="168211"/>
    <x v="6"/>
    <n v="9"/>
    <s v="Married-civ-spouse"/>
    <s v="Protective-serv"/>
    <s v="Husband"/>
    <s v="White"/>
    <x v="1"/>
    <n v="0"/>
    <n v="0"/>
    <n v="40"/>
    <s v="United-States"/>
    <x v="1"/>
    <e v="#N/A"/>
    <n v="40"/>
  </r>
  <r>
    <s v="551"/>
    <n v="25"/>
    <s v="Private"/>
    <n v="104193"/>
    <x v="6"/>
    <n v="9"/>
    <s v="Never-married"/>
    <s v="Other-service"/>
    <s v="Own-child"/>
    <s v="White"/>
    <x v="0"/>
    <n v="114"/>
    <n v="0"/>
    <n v="40"/>
    <s v="United-States"/>
    <x v="0"/>
    <n v="40"/>
    <e v="#N/A"/>
  </r>
  <r>
    <s v="552"/>
    <n v="62"/>
    <s v="State-gov"/>
    <n v="202056"/>
    <x v="5"/>
    <n v="13"/>
    <s v="Divorced"/>
    <s v="Prof-specialty"/>
    <s v="Not-in-family"/>
    <s v="White"/>
    <x v="1"/>
    <n v="14084"/>
    <n v="0"/>
    <n v="40"/>
    <s v="United-States"/>
    <x v="1"/>
    <e v="#N/A"/>
    <n v="40"/>
  </r>
  <r>
    <s v="553"/>
    <n v="59"/>
    <s v="Private"/>
    <n v="189664"/>
    <x v="2"/>
    <n v="10"/>
    <s v="Married-civ-spouse"/>
    <s v="Sales"/>
    <s v="Husband"/>
    <s v="White"/>
    <x v="1"/>
    <n v="0"/>
    <n v="0"/>
    <n v="40"/>
    <s v="United-States"/>
    <x v="0"/>
    <e v="#N/A"/>
    <n v="40"/>
  </r>
  <r>
    <s v="554"/>
    <n v="45"/>
    <s v="Private"/>
    <n v="262802"/>
    <x v="5"/>
    <n v="13"/>
    <s v="Divorced"/>
    <s v="Exec-managerial"/>
    <s v="Unmarried"/>
    <s v="White"/>
    <x v="0"/>
    <n v="0"/>
    <n v="0"/>
    <n v="40"/>
    <s v="United-States"/>
    <x v="0"/>
    <n v="40"/>
    <e v="#N/A"/>
  </r>
  <r>
    <s v="555"/>
    <n v="43"/>
    <s v="Private"/>
    <n v="219424"/>
    <x v="5"/>
    <n v="13"/>
    <s v="Never-married"/>
    <s v="Exec-managerial"/>
    <s v="Not-in-family"/>
    <s v="Black"/>
    <x v="0"/>
    <n v="0"/>
    <n v="0"/>
    <n v="50"/>
    <s v="United-States"/>
    <x v="1"/>
    <n v="50"/>
    <e v="#N/A"/>
  </r>
  <r>
    <s v="556"/>
    <n v="36"/>
    <s v="Self-emp-inc"/>
    <n v="184456"/>
    <x v="5"/>
    <n v="13"/>
    <s v="Never-married"/>
    <s v="Tech-support"/>
    <s v="Not-in-family"/>
    <s v="White"/>
    <x v="1"/>
    <n v="27828"/>
    <n v="0"/>
    <n v="55"/>
    <s v="United-States"/>
    <x v="1"/>
    <e v="#N/A"/>
    <n v="55"/>
  </r>
  <r>
    <s v="557"/>
    <n v="49"/>
    <s v="Private"/>
    <n v="207677"/>
    <x v="12"/>
    <n v="4"/>
    <s v="Divorced"/>
    <s v="Craft-repair"/>
    <s v="Not-in-family"/>
    <s v="White"/>
    <x v="1"/>
    <n v="0"/>
    <n v="0"/>
    <n v="70"/>
    <s v="United-States"/>
    <x v="0"/>
    <e v="#N/A"/>
    <n v="70"/>
  </r>
  <r>
    <s v="558"/>
    <n v="61"/>
    <s v="?"/>
    <n v="60641"/>
    <x v="5"/>
    <n v="13"/>
    <s v="Never-married"/>
    <s v="?"/>
    <s v="Not-in-family"/>
    <s v="White"/>
    <x v="0"/>
    <n v="0"/>
    <n v="0"/>
    <n v="45"/>
    <s v="United-States"/>
    <x v="0"/>
    <n v="45"/>
    <e v="#N/A"/>
  </r>
  <r>
    <s v="559"/>
    <n v="32"/>
    <s v="Local-gov"/>
    <n v="19302"/>
    <x v="1"/>
    <n v="12"/>
    <s v="Married-civ-spouse"/>
    <s v="Protective-serv"/>
    <s v="Husband"/>
    <s v="White"/>
    <x v="1"/>
    <n v="0"/>
    <n v="0"/>
    <n v="56"/>
    <s v="England"/>
    <x v="1"/>
    <e v="#N/A"/>
    <n v="56"/>
  </r>
  <r>
    <s v="560"/>
    <n v="30"/>
    <s v="Private"/>
    <n v="208668"/>
    <x v="1"/>
    <n v="12"/>
    <s v="Never-married"/>
    <s v="Prof-specialty"/>
    <s v="Not-in-family"/>
    <s v="Black"/>
    <x v="0"/>
    <n v="0"/>
    <n v="0"/>
    <n v="25"/>
    <s v="United-States"/>
    <x v="0"/>
    <n v="25"/>
    <e v="#N/A"/>
  </r>
  <r>
    <s v="561"/>
    <n v="22"/>
    <s v="Private"/>
    <n v="500720"/>
    <x v="6"/>
    <n v="9"/>
    <s v="Never-married"/>
    <s v="Adm-clerical"/>
    <s v="Own-child"/>
    <s v="White"/>
    <x v="0"/>
    <n v="0"/>
    <n v="0"/>
    <n v="40"/>
    <s v="Mexico"/>
    <x v="0"/>
    <n v="40"/>
    <e v="#N/A"/>
  </r>
  <r>
    <s v="562"/>
    <n v="41"/>
    <s v="Private"/>
    <n v="222504"/>
    <x v="10"/>
    <n v="15"/>
    <s v="Divorced"/>
    <s v="Prof-specialty"/>
    <s v="Unmarried"/>
    <s v="White"/>
    <x v="0"/>
    <n v="0"/>
    <n v="0"/>
    <n v="38"/>
    <s v="United-States"/>
    <x v="0"/>
    <n v="38"/>
    <e v="#N/A"/>
  </r>
  <r>
    <s v="563"/>
    <n v="60"/>
    <s v="Private"/>
    <n v="320376"/>
    <x v="12"/>
    <n v="4"/>
    <s v="Married-civ-spouse"/>
    <s v="Machine-op-inspct"/>
    <s v="Wife"/>
    <s v="White"/>
    <x v="0"/>
    <n v="0"/>
    <n v="0"/>
    <n v="40"/>
    <s v="United-States"/>
    <x v="0"/>
    <n v="40"/>
    <e v="#N/A"/>
  </r>
  <r>
    <s v="564"/>
    <n v="28"/>
    <s v="Private"/>
    <n v="148429"/>
    <x v="6"/>
    <n v="9"/>
    <s v="Married-civ-spouse"/>
    <s v="Machine-op-inspct"/>
    <s v="Husband"/>
    <s v="White"/>
    <x v="1"/>
    <n v="0"/>
    <n v="0"/>
    <n v="40"/>
    <s v="United-States"/>
    <x v="0"/>
    <e v="#N/A"/>
    <n v="40"/>
  </r>
  <r>
    <s v="565"/>
    <n v="66"/>
    <s v="?"/>
    <n v="175891"/>
    <x v="14"/>
    <n v="5"/>
    <s v="Married-civ-spouse"/>
    <s v="?"/>
    <s v="Husband"/>
    <s v="White"/>
    <x v="1"/>
    <n v="0"/>
    <n v="0"/>
    <n v="40"/>
    <s v="United-States"/>
    <x v="0"/>
    <e v="#N/A"/>
    <n v="40"/>
  </r>
  <r>
    <s v="566"/>
    <n v="51"/>
    <s v="Private"/>
    <n v="128272"/>
    <x v="2"/>
    <n v="10"/>
    <s v="Married-civ-spouse"/>
    <s v="Exec-managerial"/>
    <s v="Husband"/>
    <s v="White"/>
    <x v="1"/>
    <n v="0"/>
    <n v="0"/>
    <n v="40"/>
    <s v="United-States"/>
    <x v="0"/>
    <e v="#N/A"/>
    <n v="40"/>
  </r>
  <r>
    <s v="567"/>
    <n v="46"/>
    <s v="Private"/>
    <n v="216414"/>
    <x v="9"/>
    <n v="11"/>
    <s v="Married-spouse-absent"/>
    <s v="Craft-repair"/>
    <s v="Unmarried"/>
    <s v="White"/>
    <x v="1"/>
    <n v="0"/>
    <n v="0"/>
    <n v="40"/>
    <s v="United-States"/>
    <x v="0"/>
    <e v="#N/A"/>
    <n v="40"/>
  </r>
  <r>
    <s v="568"/>
    <n v="29"/>
    <s v="Private"/>
    <n v="144784"/>
    <x v="6"/>
    <n v="9"/>
    <s v="Never-married"/>
    <s v="Other-service"/>
    <s v="Not-in-family"/>
    <s v="Black"/>
    <x v="0"/>
    <n v="0"/>
    <n v="0"/>
    <n v="40"/>
    <s v="United-States"/>
    <x v="0"/>
    <n v="40"/>
    <e v="#N/A"/>
  </r>
  <r>
    <s v="569"/>
    <n v="32"/>
    <s v="Private"/>
    <n v="116055"/>
    <x v="6"/>
    <n v="9"/>
    <s v="Never-married"/>
    <s v="Adm-clerical"/>
    <s v="Unmarried"/>
    <s v="Black"/>
    <x v="0"/>
    <n v="2977"/>
    <n v="0"/>
    <n v="35"/>
    <s v="United-States"/>
    <x v="0"/>
    <n v="35"/>
    <e v="#N/A"/>
  </r>
  <r>
    <s v="570"/>
    <n v="25"/>
    <s v="Private"/>
    <n v="193787"/>
    <x v="2"/>
    <n v="10"/>
    <s v="Never-married"/>
    <s v="Machine-op-inspct"/>
    <s v="Own-child"/>
    <s v="White"/>
    <x v="0"/>
    <n v="0"/>
    <n v="0"/>
    <n v="50"/>
    <s v="United-States"/>
    <x v="0"/>
    <n v="50"/>
    <e v="#N/A"/>
  </r>
  <r>
    <s v="571"/>
    <n v="27"/>
    <s v="Private"/>
    <n v="113635"/>
    <x v="5"/>
    <n v="13"/>
    <s v="Never-married"/>
    <s v="Other-service"/>
    <s v="Not-in-family"/>
    <s v="White"/>
    <x v="1"/>
    <n v="0"/>
    <n v="0"/>
    <n v="35"/>
    <s v="United-States"/>
    <x v="0"/>
    <e v="#N/A"/>
    <n v="35"/>
  </r>
  <r>
    <s v="572"/>
    <n v="24"/>
    <s v="Private"/>
    <n v="417668"/>
    <x v="5"/>
    <n v="13"/>
    <s v="Never-married"/>
    <s v="Prof-specialty"/>
    <s v="Own-child"/>
    <s v="White"/>
    <x v="1"/>
    <n v="0"/>
    <n v="0"/>
    <n v="30"/>
    <s v="United-States"/>
    <x v="0"/>
    <e v="#N/A"/>
    <n v="30"/>
  </r>
  <r>
    <s v="573"/>
    <n v="51"/>
    <s v="Private"/>
    <n v="103529"/>
    <x v="0"/>
    <n v="7"/>
    <s v="Divorced"/>
    <s v="Other-service"/>
    <s v="Unmarried"/>
    <s v="Black"/>
    <x v="0"/>
    <n v="0"/>
    <n v="0"/>
    <n v="30"/>
    <s v="United-States"/>
    <x v="0"/>
    <n v="30"/>
    <e v="#N/A"/>
  </r>
  <r>
    <s v="574"/>
    <n v="22"/>
    <s v="Private"/>
    <n v="163911"/>
    <x v="2"/>
    <n v="10"/>
    <s v="Never-married"/>
    <s v="Adm-clerical"/>
    <s v="Own-child"/>
    <s v="White"/>
    <x v="0"/>
    <n v="0"/>
    <n v="0"/>
    <n v="20"/>
    <s v="United-States"/>
    <x v="0"/>
    <n v="20"/>
    <e v="#N/A"/>
  </r>
  <r>
    <s v="575"/>
    <n v="60"/>
    <s v="Local-gov"/>
    <n v="101110"/>
    <x v="9"/>
    <n v="11"/>
    <s v="Divorced"/>
    <s v="Prof-specialty"/>
    <s v="Unmarried"/>
    <s v="White"/>
    <x v="1"/>
    <n v="0"/>
    <n v="0"/>
    <n v="40"/>
    <s v="United-States"/>
    <x v="1"/>
    <e v="#N/A"/>
    <n v="40"/>
  </r>
  <r>
    <s v="576"/>
    <n v="38"/>
    <s v="Local-gov"/>
    <n v="73715"/>
    <x v="2"/>
    <n v="10"/>
    <s v="Married-civ-spouse"/>
    <s v="Protective-serv"/>
    <s v="Husband"/>
    <s v="White"/>
    <x v="1"/>
    <n v="0"/>
    <n v="0"/>
    <n v="60"/>
    <s v="United-States"/>
    <x v="1"/>
    <e v="#N/A"/>
    <n v="60"/>
  </r>
  <r>
    <s v="577"/>
    <n v="49"/>
    <s v="Private"/>
    <n v="250733"/>
    <x v="6"/>
    <n v="9"/>
    <s v="Married-civ-spouse"/>
    <s v="Craft-repair"/>
    <s v="Husband"/>
    <s v="White"/>
    <x v="1"/>
    <n v="0"/>
    <n v="0"/>
    <n v="46"/>
    <s v="United-States"/>
    <x v="0"/>
    <e v="#N/A"/>
    <n v="46"/>
  </r>
  <r>
    <s v="578"/>
    <n v="50"/>
    <s v="Self-emp-not-inc"/>
    <n v="42402"/>
    <x v="10"/>
    <n v="15"/>
    <s v="Married-civ-spouse"/>
    <s v="Prof-specialty"/>
    <s v="Husband"/>
    <s v="White"/>
    <x v="1"/>
    <n v="0"/>
    <n v="2415"/>
    <n v="30"/>
    <s v="United-States"/>
    <x v="1"/>
    <e v="#N/A"/>
    <n v="30"/>
  </r>
  <r>
    <s v="579"/>
    <n v="47"/>
    <s v="Private"/>
    <n v="144351"/>
    <x v="6"/>
    <n v="9"/>
    <s v="Divorced"/>
    <s v="Craft-repair"/>
    <s v="Unmarried"/>
    <s v="White"/>
    <x v="1"/>
    <n v="0"/>
    <n v="625"/>
    <n v="40"/>
    <s v="United-States"/>
    <x v="0"/>
    <e v="#N/A"/>
    <n v="40"/>
  </r>
  <r>
    <s v="580"/>
    <n v="80"/>
    <s v="Self-emp-not-inc"/>
    <n v="225892"/>
    <x v="6"/>
    <n v="9"/>
    <s v="Married-civ-spouse"/>
    <s v="Other-service"/>
    <s v="Husband"/>
    <s v="White"/>
    <x v="1"/>
    <n v="1409"/>
    <n v="0"/>
    <n v="40"/>
    <s v="United-States"/>
    <x v="0"/>
    <e v="#N/A"/>
    <n v="40"/>
  </r>
  <r>
    <s v="581"/>
    <n v="45"/>
    <s v="Private"/>
    <n v="184277"/>
    <x v="9"/>
    <n v="11"/>
    <s v="Divorced"/>
    <s v="Adm-clerical"/>
    <s v="Unmarried"/>
    <s v="White"/>
    <x v="0"/>
    <n v="0"/>
    <n v="0"/>
    <n v="55"/>
    <s v="United-States"/>
    <x v="1"/>
    <n v="55"/>
    <e v="#N/A"/>
  </r>
  <r>
    <s v="582"/>
    <n v="29"/>
    <s v="Private"/>
    <n v="48895"/>
    <x v="6"/>
    <n v="9"/>
    <s v="Never-married"/>
    <s v="Craft-repair"/>
    <s v="Not-in-family"/>
    <s v="White"/>
    <x v="1"/>
    <n v="0"/>
    <n v="0"/>
    <n v="50"/>
    <s v="United-States"/>
    <x v="0"/>
    <e v="#N/A"/>
    <n v="50"/>
  </r>
  <r>
    <s v="583"/>
    <n v="20"/>
    <s v="Private"/>
    <n v="375698"/>
    <x v="2"/>
    <n v="10"/>
    <s v="Never-married"/>
    <s v="Adm-clerical"/>
    <s v="Own-child"/>
    <s v="White"/>
    <x v="0"/>
    <n v="0"/>
    <n v="0"/>
    <n v="15"/>
    <s v="United-States"/>
    <x v="0"/>
    <n v="15"/>
    <e v="#N/A"/>
  </r>
  <r>
    <s v="584"/>
    <n v="39"/>
    <s v="Federal-gov"/>
    <n v="184964"/>
    <x v="2"/>
    <n v="10"/>
    <s v="Divorced"/>
    <s v="Adm-clerical"/>
    <s v="Not-in-family"/>
    <s v="White"/>
    <x v="1"/>
    <n v="0"/>
    <n v="0"/>
    <n v="40"/>
    <s v="United-States"/>
    <x v="1"/>
    <e v="#N/A"/>
    <n v="40"/>
  </r>
  <r>
    <s v="585"/>
    <n v="28"/>
    <s v="Private"/>
    <n v="215211"/>
    <x v="6"/>
    <n v="9"/>
    <s v="Married-civ-spouse"/>
    <s v="Sales"/>
    <s v="Husband"/>
    <s v="White"/>
    <x v="1"/>
    <n v="0"/>
    <n v="0"/>
    <n v="50"/>
    <s v="United-States"/>
    <x v="0"/>
    <e v="#N/A"/>
    <n v="50"/>
  </r>
  <r>
    <s v="586"/>
    <n v="32"/>
    <s v="Private"/>
    <n v="101352"/>
    <x v="2"/>
    <n v="10"/>
    <s v="Married-civ-spouse"/>
    <s v="Tech-support"/>
    <s v="Wife"/>
    <s v="White"/>
    <x v="0"/>
    <n v="0"/>
    <n v="0"/>
    <n v="32"/>
    <s v="United-States"/>
    <x v="1"/>
    <n v="32"/>
    <e v="#N/A"/>
  </r>
  <r>
    <s v="587"/>
    <n v="41"/>
    <s v="Private"/>
    <n v="100451"/>
    <x v="6"/>
    <n v="9"/>
    <s v="Married-civ-spouse"/>
    <s v="Craft-repair"/>
    <s v="Husband"/>
    <s v="White"/>
    <x v="1"/>
    <n v="7688"/>
    <n v="0"/>
    <n v="38"/>
    <s v="United-States"/>
    <x v="1"/>
    <e v="#N/A"/>
    <n v="38"/>
  </r>
  <r>
    <s v="588"/>
    <n v="22"/>
    <s v="Private"/>
    <n v="113703"/>
    <x v="2"/>
    <n v="10"/>
    <s v="Never-married"/>
    <s v="Sales"/>
    <s v="Other-relative"/>
    <s v="White"/>
    <x v="1"/>
    <n v="0"/>
    <n v="0"/>
    <n v="20"/>
    <s v="United-States"/>
    <x v="0"/>
    <e v="#N/A"/>
    <n v="20"/>
  </r>
  <r>
    <s v="589"/>
    <n v="36"/>
    <s v="Self-emp-not-inc"/>
    <n v="150371"/>
    <x v="6"/>
    <n v="9"/>
    <s v="Never-married"/>
    <s v="Craft-repair"/>
    <s v="Not-in-family"/>
    <s v="White"/>
    <x v="1"/>
    <n v="0"/>
    <n v="0"/>
    <n v="40"/>
    <s v="United-States"/>
    <x v="0"/>
    <e v="#N/A"/>
    <n v="40"/>
  </r>
  <r>
    <s v="590"/>
    <n v="19"/>
    <s v="Private"/>
    <n v="69151"/>
    <x v="14"/>
    <n v="5"/>
    <s v="Never-married"/>
    <s v="Handlers-cleaners"/>
    <s v="Own-child"/>
    <s v="White"/>
    <x v="1"/>
    <n v="0"/>
    <n v="0"/>
    <n v="25"/>
    <s v="United-States"/>
    <x v="0"/>
    <e v="#N/A"/>
    <n v="25"/>
  </r>
  <r>
    <s v="591"/>
    <n v="31"/>
    <s v="Self-emp-not-inc"/>
    <n v="234537"/>
    <x v="2"/>
    <n v="10"/>
    <s v="Married-civ-spouse"/>
    <s v="Craft-repair"/>
    <s v="Husband"/>
    <s v="White"/>
    <x v="1"/>
    <n v="0"/>
    <n v="0"/>
    <n v="60"/>
    <s v="United-States"/>
    <x v="0"/>
    <e v="#N/A"/>
    <n v="60"/>
  </r>
  <r>
    <s v="592"/>
    <n v="33"/>
    <s v="Private"/>
    <n v="323811"/>
    <x v="2"/>
    <n v="10"/>
    <s v="Married-civ-spouse"/>
    <s v="Machine-op-inspct"/>
    <s v="Husband"/>
    <s v="White"/>
    <x v="1"/>
    <n v="0"/>
    <n v="0"/>
    <n v="55"/>
    <s v="United-States"/>
    <x v="0"/>
    <e v="#N/A"/>
    <n v="55"/>
  </r>
  <r>
    <s v="593"/>
    <n v="32"/>
    <s v="Self-emp-not-inc"/>
    <n v="35595"/>
    <x v="6"/>
    <n v="9"/>
    <s v="Married-civ-spouse"/>
    <s v="Craft-repair"/>
    <s v="Husband"/>
    <s v="White"/>
    <x v="1"/>
    <n v="0"/>
    <n v="0"/>
    <n v="50"/>
    <s v="United-States"/>
    <x v="0"/>
    <e v="#N/A"/>
    <n v="50"/>
  </r>
  <r>
    <s v="594"/>
    <n v="25"/>
    <s v="Private"/>
    <n v="410240"/>
    <x v="6"/>
    <n v="9"/>
    <s v="Never-married"/>
    <s v="Craft-repair"/>
    <s v="Own-child"/>
    <s v="White"/>
    <x v="1"/>
    <n v="0"/>
    <n v="0"/>
    <n v="40"/>
    <s v="United-States"/>
    <x v="0"/>
    <e v="#N/A"/>
    <n v="40"/>
  </r>
  <r>
    <s v="595"/>
    <n v="60"/>
    <s v="Private"/>
    <n v="188650"/>
    <x v="3"/>
    <n v="3"/>
    <s v="Married-civ-spouse"/>
    <s v="Sales"/>
    <s v="Husband"/>
    <s v="White"/>
    <x v="1"/>
    <n v="0"/>
    <n v="0"/>
    <n v="40"/>
    <s v="?"/>
    <x v="1"/>
    <e v="#N/A"/>
    <n v="40"/>
  </r>
  <r>
    <s v="596"/>
    <n v="45"/>
    <s v="Private"/>
    <n v="30457"/>
    <x v="5"/>
    <n v="13"/>
    <s v="Married-civ-spouse"/>
    <s v="Exec-managerial"/>
    <s v="Husband"/>
    <s v="White"/>
    <x v="1"/>
    <n v="15024"/>
    <n v="0"/>
    <n v="40"/>
    <s v="United-States"/>
    <x v="1"/>
    <e v="#N/A"/>
    <n v="40"/>
  </r>
  <r>
    <s v="597"/>
    <n v="34"/>
    <s v="Private"/>
    <n v="293703"/>
    <x v="2"/>
    <n v="10"/>
    <s v="Married-civ-spouse"/>
    <s v="Craft-repair"/>
    <s v="Husband"/>
    <s v="Asian-Pac-Islander"/>
    <x v="1"/>
    <n v="0"/>
    <n v="0"/>
    <n v="40"/>
    <s v="Philippines"/>
    <x v="0"/>
    <e v="#N/A"/>
    <n v="40"/>
  </r>
  <r>
    <s v="598"/>
    <n v="81"/>
    <s v="?"/>
    <n v="89391"/>
    <x v="10"/>
    <n v="15"/>
    <s v="Married-civ-spouse"/>
    <s v="?"/>
    <s v="Husband"/>
    <s v="White"/>
    <x v="1"/>
    <n v="0"/>
    <n v="0"/>
    <n v="24"/>
    <s v="United-States"/>
    <x v="1"/>
    <e v="#N/A"/>
    <n v="24"/>
  </r>
  <r>
    <s v="599"/>
    <n v="29"/>
    <s v="Private"/>
    <n v="181280"/>
    <x v="6"/>
    <n v="9"/>
    <s v="Married-civ-spouse"/>
    <s v="Machine-op-inspct"/>
    <s v="Husband"/>
    <s v="White"/>
    <x v="1"/>
    <n v="0"/>
    <n v="0"/>
    <n v="40"/>
    <s v="United-States"/>
    <x v="0"/>
    <e v="#N/A"/>
    <n v="40"/>
  </r>
  <r>
    <s v="600"/>
    <n v="38"/>
    <s v="Private"/>
    <n v="240467"/>
    <x v="7"/>
    <n v="14"/>
    <s v="Never-married"/>
    <s v="Exec-managerial"/>
    <s v="Unmarried"/>
    <s v="Black"/>
    <x v="0"/>
    <n v="0"/>
    <n v="0"/>
    <n v="35"/>
    <s v="United-States"/>
    <x v="0"/>
    <n v="35"/>
    <e v="#N/A"/>
  </r>
  <r>
    <s v="601"/>
    <n v="32"/>
    <s v="?"/>
    <n v="119522"/>
    <x v="5"/>
    <n v="13"/>
    <s v="Divorced"/>
    <s v="?"/>
    <s v="Not-in-family"/>
    <s v="White"/>
    <x v="1"/>
    <n v="0"/>
    <n v="0"/>
    <n v="50"/>
    <s v="United-States"/>
    <x v="0"/>
    <e v="#N/A"/>
    <n v="50"/>
  </r>
  <r>
    <s v="602"/>
    <n v="33"/>
    <s v="Private"/>
    <n v="231413"/>
    <x v="5"/>
    <n v="13"/>
    <s v="Married-civ-spouse"/>
    <s v="Prof-specialty"/>
    <s v="Husband"/>
    <s v="White"/>
    <x v="1"/>
    <n v="0"/>
    <n v="0"/>
    <n v="40"/>
    <s v="United-States"/>
    <x v="0"/>
    <e v="#N/A"/>
    <n v="40"/>
  </r>
  <r>
    <s v="603"/>
    <n v="33"/>
    <s v="Private"/>
    <n v="347623"/>
    <x v="7"/>
    <n v="14"/>
    <s v="Never-married"/>
    <s v="Exec-managerial"/>
    <s v="Unmarried"/>
    <s v="White"/>
    <x v="1"/>
    <n v="0"/>
    <n v="0"/>
    <n v="40"/>
    <s v="United-States"/>
    <x v="0"/>
    <e v="#N/A"/>
    <n v="40"/>
  </r>
  <r>
    <s v="604"/>
    <n v="34"/>
    <s v="State-gov"/>
    <n v="103371"/>
    <x v="9"/>
    <n v="11"/>
    <s v="Never-married"/>
    <s v="Adm-clerical"/>
    <s v="Unmarried"/>
    <s v="White"/>
    <x v="0"/>
    <n v="0"/>
    <n v="0"/>
    <n v="40"/>
    <s v="United-States"/>
    <x v="0"/>
    <n v="40"/>
    <e v="#N/A"/>
  </r>
  <r>
    <s v="605"/>
    <n v="26"/>
    <s v="Private"/>
    <n v="276548"/>
    <x v="6"/>
    <n v="9"/>
    <s v="Married-civ-spouse"/>
    <s v="Sales"/>
    <s v="Wife"/>
    <s v="White"/>
    <x v="0"/>
    <n v="0"/>
    <n v="0"/>
    <n v="20"/>
    <s v="United-States"/>
    <x v="0"/>
    <n v="20"/>
    <e v="#N/A"/>
  </r>
  <r>
    <s v="606"/>
    <n v="30"/>
    <s v="Self-emp-not-inc"/>
    <n v="85708"/>
    <x v="6"/>
    <n v="9"/>
    <s v="Married-civ-spouse"/>
    <s v="Craft-repair"/>
    <s v="Husband"/>
    <s v="White"/>
    <x v="1"/>
    <n v="0"/>
    <n v="0"/>
    <n v="40"/>
    <s v="United-States"/>
    <x v="0"/>
    <e v="#N/A"/>
    <n v="40"/>
  </r>
  <r>
    <s v="607"/>
    <n v="33"/>
    <s v="Private"/>
    <n v="183612"/>
    <x v="6"/>
    <n v="9"/>
    <s v="Married-civ-spouse"/>
    <s v="Transport-moving"/>
    <s v="Husband"/>
    <s v="White"/>
    <x v="1"/>
    <n v="0"/>
    <n v="0"/>
    <n v="20"/>
    <s v="United-States"/>
    <x v="0"/>
    <e v="#N/A"/>
    <n v="20"/>
  </r>
  <r>
    <s v="608"/>
    <n v="37"/>
    <s v="Private"/>
    <n v="356824"/>
    <x v="6"/>
    <n v="9"/>
    <s v="Separated"/>
    <s v="Tech-support"/>
    <s v="Unmarried"/>
    <s v="White"/>
    <x v="0"/>
    <n v="0"/>
    <n v="0"/>
    <n v="40"/>
    <s v="United-States"/>
    <x v="0"/>
    <n v="40"/>
    <e v="#N/A"/>
  </r>
  <r>
    <s v="609"/>
    <n v="37"/>
    <s v="Federal-gov"/>
    <n v="45937"/>
    <x v="1"/>
    <n v="12"/>
    <s v="Married-civ-spouse"/>
    <s v="Exec-managerial"/>
    <s v="Wife"/>
    <s v="White"/>
    <x v="0"/>
    <n v="0"/>
    <n v="0"/>
    <n v="40"/>
    <s v="United-States"/>
    <x v="1"/>
    <n v="40"/>
    <e v="#N/A"/>
  </r>
  <r>
    <s v="610"/>
    <n v="38"/>
    <s v="State-gov"/>
    <n v="255191"/>
    <x v="6"/>
    <n v="9"/>
    <s v="Never-married"/>
    <s v="Other-service"/>
    <s v="Not-in-family"/>
    <s v="White"/>
    <x v="1"/>
    <n v="0"/>
    <n v="0"/>
    <n v="40"/>
    <s v="United-States"/>
    <x v="0"/>
    <e v="#N/A"/>
    <n v="40"/>
  </r>
  <r>
    <s v="611"/>
    <n v="21"/>
    <s v="Private"/>
    <n v="195199"/>
    <x v="6"/>
    <n v="9"/>
    <s v="Never-married"/>
    <s v="Prof-specialty"/>
    <s v="Own-child"/>
    <s v="White"/>
    <x v="0"/>
    <n v="0"/>
    <n v="0"/>
    <n v="30"/>
    <s v="United-States"/>
    <x v="0"/>
    <n v="30"/>
    <e v="#N/A"/>
  </r>
  <r>
    <s v="612"/>
    <n v="62"/>
    <s v="Self-emp-not-inc"/>
    <n v="197353"/>
    <x v="6"/>
    <n v="9"/>
    <s v="Married-civ-spouse"/>
    <s v="Craft-repair"/>
    <s v="Husband"/>
    <s v="White"/>
    <x v="1"/>
    <n v="0"/>
    <n v="1740"/>
    <n v="40"/>
    <s v="United-States"/>
    <x v="0"/>
    <e v="#N/A"/>
    <n v="40"/>
  </r>
  <r>
    <s v="613"/>
    <n v="46"/>
    <s v="Private"/>
    <n v="415051"/>
    <x v="2"/>
    <n v="10"/>
    <s v="Married-civ-spouse"/>
    <s v="Sales"/>
    <s v="Husband"/>
    <s v="Black"/>
    <x v="1"/>
    <n v="0"/>
    <n v="0"/>
    <n v="60"/>
    <s v="United-States"/>
    <x v="1"/>
    <e v="#N/A"/>
    <n v="60"/>
  </r>
  <r>
    <s v="614"/>
    <n v="38"/>
    <s v="?"/>
    <n v="365465"/>
    <x v="9"/>
    <n v="11"/>
    <s v="Never-married"/>
    <s v="?"/>
    <s v="Own-child"/>
    <s v="White"/>
    <x v="1"/>
    <n v="0"/>
    <n v="0"/>
    <n v="15"/>
    <s v="United-States"/>
    <x v="0"/>
    <e v="#N/A"/>
    <n v="15"/>
  </r>
  <r>
    <s v="615"/>
    <n v="21"/>
    <s v="Private"/>
    <n v="157893"/>
    <x v="6"/>
    <n v="9"/>
    <s v="Never-married"/>
    <s v="Transport-moving"/>
    <s v="Own-child"/>
    <s v="White"/>
    <x v="0"/>
    <n v="0"/>
    <n v="0"/>
    <n v="40"/>
    <s v="United-States"/>
    <x v="0"/>
    <n v="40"/>
    <e v="#N/A"/>
  </r>
  <r>
    <s v="616"/>
    <n v="23"/>
    <s v="Private"/>
    <n v="39615"/>
    <x v="2"/>
    <n v="10"/>
    <s v="Never-married"/>
    <s v="Handlers-cleaners"/>
    <s v="Own-child"/>
    <s v="White"/>
    <x v="1"/>
    <n v="0"/>
    <n v="0"/>
    <n v="10"/>
    <s v="United-States"/>
    <x v="0"/>
    <e v="#N/A"/>
    <n v="10"/>
  </r>
  <r>
    <s v="617"/>
    <n v="41"/>
    <s v="Self-emp-inc"/>
    <n v="177905"/>
    <x v="5"/>
    <n v="13"/>
    <s v="Married-civ-spouse"/>
    <s v="Exec-managerial"/>
    <s v="Husband"/>
    <s v="White"/>
    <x v="1"/>
    <n v="7688"/>
    <n v="0"/>
    <n v="70"/>
    <s v="United-States"/>
    <x v="1"/>
    <e v="#N/A"/>
    <n v="70"/>
  </r>
  <r>
    <s v="618"/>
    <n v="28"/>
    <s v="Private"/>
    <n v="264498"/>
    <x v="5"/>
    <n v="13"/>
    <s v="Never-married"/>
    <s v="Prof-specialty"/>
    <s v="Not-in-family"/>
    <s v="White"/>
    <x v="0"/>
    <n v="0"/>
    <n v="0"/>
    <n v="40"/>
    <s v="United-States"/>
    <x v="0"/>
    <n v="40"/>
    <e v="#N/A"/>
  </r>
  <r>
    <s v="619"/>
    <n v="39"/>
    <s v="Private"/>
    <n v="110426"/>
    <x v="1"/>
    <n v="12"/>
    <s v="Married-civ-spouse"/>
    <s v="Exec-managerial"/>
    <s v="Wife"/>
    <s v="White"/>
    <x v="0"/>
    <n v="15024"/>
    <n v="0"/>
    <n v="45"/>
    <s v="United-States"/>
    <x v="1"/>
    <n v="45"/>
    <e v="#N/A"/>
  </r>
  <r>
    <s v="620"/>
    <n v="43"/>
    <s v="Local-gov"/>
    <n v="188280"/>
    <x v="7"/>
    <n v="14"/>
    <s v="Divorced"/>
    <s v="Prof-specialty"/>
    <s v="Unmarried"/>
    <s v="White"/>
    <x v="0"/>
    <n v="914"/>
    <n v="0"/>
    <n v="40"/>
    <s v="United-States"/>
    <x v="0"/>
    <n v="40"/>
    <e v="#N/A"/>
  </r>
  <r>
    <s v="621"/>
    <n v="37"/>
    <s v="Private"/>
    <n v="199753"/>
    <x v="2"/>
    <n v="10"/>
    <s v="Married-civ-spouse"/>
    <s v="Craft-repair"/>
    <s v="Husband"/>
    <s v="White"/>
    <x v="1"/>
    <n v="0"/>
    <n v="0"/>
    <n v="35"/>
    <s v="United-States"/>
    <x v="1"/>
    <e v="#N/A"/>
    <n v="35"/>
  </r>
  <r>
    <s v="622"/>
    <n v="25"/>
    <s v="Private"/>
    <n v="222539"/>
    <x v="8"/>
    <n v="6"/>
    <s v="Never-married"/>
    <s v="Transport-moving"/>
    <s v="Not-in-family"/>
    <s v="White"/>
    <x v="1"/>
    <n v="2597"/>
    <n v="0"/>
    <n v="50"/>
    <s v="United-States"/>
    <x v="0"/>
    <e v="#N/A"/>
    <n v="50"/>
  </r>
  <r>
    <s v="623"/>
    <n v="41"/>
    <s v="?"/>
    <n v="252127"/>
    <x v="2"/>
    <n v="10"/>
    <s v="Widowed"/>
    <s v="?"/>
    <s v="Unmarried"/>
    <s v="Black"/>
    <x v="0"/>
    <n v="0"/>
    <n v="0"/>
    <n v="20"/>
    <s v="United-States"/>
    <x v="0"/>
    <n v="20"/>
    <e v="#N/A"/>
  </r>
  <r>
    <s v="624"/>
    <n v="48"/>
    <s v="Self-emp-not-inc"/>
    <n v="28791"/>
    <x v="6"/>
    <n v="9"/>
    <s v="Married-civ-spouse"/>
    <s v="Sales"/>
    <s v="Wife"/>
    <s v="White"/>
    <x v="0"/>
    <n v="0"/>
    <n v="0"/>
    <n v="50"/>
    <s v="United-States"/>
    <x v="0"/>
    <n v="50"/>
    <e v="#N/A"/>
  </r>
  <r>
    <s v="625"/>
    <n v="28"/>
    <s v="Local-gov"/>
    <n v="401886"/>
    <x v="6"/>
    <n v="9"/>
    <s v="Never-married"/>
    <s v="Adm-clerical"/>
    <s v="Other-relative"/>
    <s v="White"/>
    <x v="1"/>
    <n v="0"/>
    <n v="0"/>
    <n v="20"/>
    <s v="United-States"/>
    <x v="0"/>
    <e v="#N/A"/>
    <n v="20"/>
  </r>
  <r>
    <s v="626"/>
    <n v="42"/>
    <s v="?"/>
    <n v="175935"/>
    <x v="6"/>
    <n v="9"/>
    <s v="Separated"/>
    <s v="?"/>
    <s v="Unmarried"/>
    <s v="White"/>
    <x v="1"/>
    <n v="0"/>
    <n v="0"/>
    <n v="40"/>
    <s v="United-States"/>
    <x v="0"/>
    <e v="#N/A"/>
    <n v="40"/>
  </r>
  <r>
    <s v="627"/>
    <n v="42"/>
    <s v="Local-gov"/>
    <n v="194417"/>
    <x v="2"/>
    <n v="10"/>
    <s v="Married-civ-spouse"/>
    <s v="Protective-serv"/>
    <s v="Husband"/>
    <s v="White"/>
    <x v="1"/>
    <n v="0"/>
    <n v="0"/>
    <n v="40"/>
    <s v="United-States"/>
    <x v="1"/>
    <e v="#N/A"/>
    <n v="40"/>
  </r>
  <r>
    <s v="628"/>
    <n v="57"/>
    <s v="Self-emp-not-inc"/>
    <n v="413373"/>
    <x v="13"/>
    <n v="16"/>
    <s v="Married-civ-spouse"/>
    <s v="Sales"/>
    <s v="Husband"/>
    <s v="White"/>
    <x v="1"/>
    <n v="0"/>
    <n v="1902"/>
    <n v="40"/>
    <s v="United-States"/>
    <x v="1"/>
    <e v="#N/A"/>
    <n v="40"/>
  </r>
  <r>
    <s v="629"/>
    <n v="36"/>
    <s v="Private"/>
    <n v="418702"/>
    <x v="9"/>
    <n v="11"/>
    <s v="Divorced"/>
    <s v="Adm-clerical"/>
    <s v="Unmarried"/>
    <s v="White"/>
    <x v="0"/>
    <n v="0"/>
    <n v="0"/>
    <n v="40"/>
    <s v="United-States"/>
    <x v="0"/>
    <n v="40"/>
    <e v="#N/A"/>
  </r>
  <r>
    <s v="630"/>
    <n v="34"/>
    <s v="Local-gov"/>
    <n v="136331"/>
    <x v="5"/>
    <n v="13"/>
    <s v="Married-civ-spouse"/>
    <s v="Prof-specialty"/>
    <s v="Husband"/>
    <s v="White"/>
    <x v="1"/>
    <n v="0"/>
    <n v="0"/>
    <n v="60"/>
    <s v="United-States"/>
    <x v="0"/>
    <e v="#N/A"/>
    <n v="60"/>
  </r>
  <r>
    <s v="631"/>
    <n v="18"/>
    <s v="Self-emp-inc"/>
    <n v="174202"/>
    <x v="6"/>
    <n v="9"/>
    <s v="Never-married"/>
    <s v="Transport-moving"/>
    <s v="Own-child"/>
    <s v="White"/>
    <x v="1"/>
    <n v="0"/>
    <n v="0"/>
    <n v="60"/>
    <s v="United-States"/>
    <x v="0"/>
    <e v="#N/A"/>
    <n v="60"/>
  </r>
  <r>
    <s v="632"/>
    <n v="17"/>
    <s v="Private"/>
    <n v="309504"/>
    <x v="8"/>
    <n v="6"/>
    <s v="Never-married"/>
    <s v="Sales"/>
    <s v="Unmarried"/>
    <s v="White"/>
    <x v="0"/>
    <n v="0"/>
    <n v="0"/>
    <n v="24"/>
    <s v="United-States"/>
    <x v="0"/>
    <n v="24"/>
    <e v="#N/A"/>
  </r>
  <r>
    <s v="633"/>
    <n v="34"/>
    <s v="Self-emp-inc"/>
    <n v="154120"/>
    <x v="6"/>
    <n v="9"/>
    <s v="Never-married"/>
    <s v="Farming-fishing"/>
    <s v="Own-child"/>
    <s v="White"/>
    <x v="1"/>
    <n v="0"/>
    <n v="0"/>
    <n v="55"/>
    <s v="United-States"/>
    <x v="0"/>
    <e v="#N/A"/>
    <n v="55"/>
  </r>
  <r>
    <s v="634"/>
    <n v="40"/>
    <s v="Private"/>
    <n v="259307"/>
    <x v="2"/>
    <n v="10"/>
    <s v="Never-married"/>
    <s v="Exec-managerial"/>
    <s v="Not-in-family"/>
    <s v="White"/>
    <x v="1"/>
    <n v="0"/>
    <n v="0"/>
    <n v="50"/>
    <s v="United-States"/>
    <x v="0"/>
    <e v="#N/A"/>
    <n v="50"/>
  </r>
  <r>
    <s v="635"/>
    <n v="26"/>
    <s v="Private"/>
    <n v="107827"/>
    <x v="6"/>
    <n v="9"/>
    <s v="Never-married"/>
    <s v="Other-service"/>
    <s v="Unmarried"/>
    <s v="White"/>
    <x v="1"/>
    <n v="0"/>
    <n v="0"/>
    <n v="25"/>
    <s v="United-States"/>
    <x v="0"/>
    <e v="#N/A"/>
    <n v="25"/>
  </r>
  <r>
    <s v="636"/>
    <n v="66"/>
    <s v="Private"/>
    <n v="115498"/>
    <x v="5"/>
    <n v="13"/>
    <s v="Married-civ-spouse"/>
    <s v="Exec-managerial"/>
    <s v="Husband"/>
    <s v="White"/>
    <x v="1"/>
    <n v="99999"/>
    <n v="0"/>
    <n v="55"/>
    <s v="?"/>
    <x v="1"/>
    <e v="#N/A"/>
    <n v="55"/>
  </r>
  <r>
    <s v="637"/>
    <n v="37"/>
    <s v="Private"/>
    <n v="272950"/>
    <x v="6"/>
    <n v="9"/>
    <s v="Divorced"/>
    <s v="Craft-repair"/>
    <s v="Not-in-family"/>
    <s v="White"/>
    <x v="1"/>
    <n v="0"/>
    <n v="0"/>
    <n v="40"/>
    <s v="United-States"/>
    <x v="0"/>
    <e v="#N/A"/>
    <n v="40"/>
  </r>
  <r>
    <s v="638"/>
    <n v="41"/>
    <s v="Private"/>
    <n v="318046"/>
    <x v="2"/>
    <n v="10"/>
    <s v="Married-civ-spouse"/>
    <s v="Transport-moving"/>
    <s v="Husband"/>
    <s v="White"/>
    <x v="1"/>
    <n v="0"/>
    <n v="0"/>
    <n v="48"/>
    <s v="United-States"/>
    <x v="1"/>
    <e v="#N/A"/>
    <n v="48"/>
  </r>
  <r>
    <s v="639"/>
    <n v="65"/>
    <s v="Local-gov"/>
    <n v="103153"/>
    <x v="12"/>
    <n v="4"/>
    <s v="Married-civ-spouse"/>
    <s v="Exec-managerial"/>
    <s v="Husband"/>
    <s v="White"/>
    <x v="1"/>
    <n v="0"/>
    <n v="1411"/>
    <n v="40"/>
    <s v="United-States"/>
    <x v="0"/>
    <e v="#N/A"/>
    <n v="40"/>
  </r>
  <r>
    <s v="640"/>
    <n v="54"/>
    <s v="Private"/>
    <n v="161691"/>
    <x v="7"/>
    <n v="14"/>
    <s v="Divorced"/>
    <s v="Prof-specialty"/>
    <s v="Not-in-family"/>
    <s v="White"/>
    <x v="0"/>
    <n v="0"/>
    <n v="2559"/>
    <n v="40"/>
    <s v="United-States"/>
    <x v="1"/>
    <n v="40"/>
    <e v="#N/A"/>
  </r>
  <r>
    <s v="641"/>
    <n v="42"/>
    <s v="Private"/>
    <n v="248356"/>
    <x v="6"/>
    <n v="9"/>
    <s v="Never-married"/>
    <s v="Sales"/>
    <s v="Unmarried"/>
    <s v="White"/>
    <x v="0"/>
    <n v="0"/>
    <n v="0"/>
    <n v="40"/>
    <s v="United-States"/>
    <x v="0"/>
    <n v="40"/>
    <e v="#N/A"/>
  </r>
  <r>
    <s v="642"/>
    <n v="30"/>
    <s v="Self-emp-not-inc"/>
    <n v="176185"/>
    <x v="2"/>
    <n v="10"/>
    <s v="Married-spouse-absent"/>
    <s v="Craft-repair"/>
    <s v="Own-child"/>
    <s v="White"/>
    <x v="1"/>
    <n v="0"/>
    <n v="0"/>
    <n v="60"/>
    <s v="United-States"/>
    <x v="1"/>
    <e v="#N/A"/>
    <n v="60"/>
  </r>
  <r>
    <s v="643"/>
    <n v="30"/>
    <s v="?"/>
    <n v="33811"/>
    <x v="5"/>
    <n v="13"/>
    <s v="Never-married"/>
    <s v="?"/>
    <s v="Not-in-family"/>
    <s v="Asian-Pac-Islander"/>
    <x v="0"/>
    <n v="0"/>
    <n v="0"/>
    <n v="99"/>
    <s v="United-States"/>
    <x v="0"/>
    <n v="99"/>
    <e v="#N/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D223D3-7934-4289-9CA9-5C001DC113EC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3:D20" firstHeaderRow="1" firstDataRow="2" firstDataCol="1"/>
  <pivotFields count="15">
    <pivotField axis="axisRow" dataFiel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3">
        <item x="0"/>
        <item x="1"/>
        <item t="default"/>
      </items>
    </pivotField>
  </pivotFields>
  <rowFields count="1">
    <field x="0"/>
  </rowFields>
  <rowItems count="16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Fields count="1">
    <field x="14"/>
  </colFields>
  <colItems count="3">
    <i>
      <x/>
    </i>
    <i>
      <x v="1"/>
    </i>
    <i t="grand">
      <x/>
    </i>
  </colItems>
  <dataFields count="1">
    <dataField name="Count of Age" fld="0" subtotal="count" baseField="0" baseItem="0"/>
  </dataFields>
  <chartFormats count="2">
    <chartFormat chart="8" format="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8" format="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8C9841-8D3B-4CA7-8AF2-52D5A56655EC}" name="Tabela przestawna1" cacheId="1" applyNumberFormats="0" applyBorderFormats="0" applyFontFormats="0" applyPatternFormats="0" applyAlignmentFormats="0" applyWidthHeightFormats="1" dataCaption="Wartości" updatedVersion="8" minRefreshableVersion="3" useAutoFormatting="1" itemPrintTitles="1" createdVersion="8" indent="0" outline="1" outlineData="1" multipleFieldFilters="0">
  <location ref="A3:D21" firstHeaderRow="1" firstDataRow="2" firstDataCol="1" rowPageCount="1" colPageCount="1"/>
  <pivotFields count="18">
    <pivotField showAll="0"/>
    <pivotField showAll="0"/>
    <pivotField showAll="0"/>
    <pivotField showAll="0"/>
    <pivotField axis="axisRow" showAll="0">
      <items count="17">
        <item x="8"/>
        <item x="0"/>
        <item x="4"/>
        <item x="15"/>
        <item x="3"/>
        <item x="12"/>
        <item x="14"/>
        <item x="1"/>
        <item x="9"/>
        <item x="5"/>
        <item x="13"/>
        <item x="6"/>
        <item x="7"/>
        <item x="11"/>
        <item x="10"/>
        <item x="2"/>
        <item t="default"/>
      </items>
    </pivotField>
    <pivotField showAll="0"/>
    <pivotField showAll="0"/>
    <pivotField showAll="0"/>
    <pivotField showAll="0"/>
    <pivotField showAll="0"/>
    <pivotField axis="axisCol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axis="axisPage" dataField="1" showAll="0">
      <items count="3">
        <item x="0"/>
        <item x="1"/>
        <item t="default"/>
      </items>
    </pivotField>
    <pivotField showAll="0"/>
    <pivotField showAll="0"/>
  </pivotFields>
  <rowFields count="1">
    <field x="4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Fields count="1">
    <field x="10"/>
  </colFields>
  <colItems count="3">
    <i>
      <x/>
    </i>
    <i>
      <x v="1"/>
    </i>
    <i t="grand">
      <x/>
    </i>
  </colItems>
  <pageFields count="1">
    <pageField fld="15" hier="-1"/>
  </pageFields>
  <dataFields count="1">
    <dataField name="Liczba z Income" fld="15" subtotal="count" baseField="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A57B843-FDF8-41AD-9E2B-20941BFA0704}" name="Tabela3" displayName="Tabela3" ref="A1:F7" totalsRowShown="0">
  <autoFilter ref="A1:F7" xr:uid="{3A57B843-FDF8-41AD-9E2B-20941BFA0704}"/>
  <tableColumns count="6">
    <tableColumn id="1" xr3:uid="{CC4BEEFF-0E96-4790-8127-671FCE35CCDF}" name="Zmienna"/>
    <tableColumn id="2" xr3:uid="{68F5585B-86B9-4891-B520-913455AFE985}" name="Srednia"/>
    <tableColumn id="3" xr3:uid="{D9E62625-DC1B-4C50-AEE0-24EC1F114D0E}" name="Odchylenie standardowe" dataDxfId="27">
      <calculatedColumnFormula>_xlfn.STDEV.S(Tabela2[Age])</calculatedColumnFormula>
    </tableColumn>
    <tableColumn id="4" xr3:uid="{77FD773E-0BA5-44C8-B1D8-FEBD66B96D12}" name="Dolna Granica" dataDxfId="26">
      <calculatedColumnFormula>Tabela3[[#This Row],[Srednia]]-(3*Tabela3[[#This Row],[Odchylenie standardowe]])</calculatedColumnFormula>
    </tableColumn>
    <tableColumn id="5" xr3:uid="{AD06170E-F014-4D3E-9687-EA550937D5D2}" name="Gorna granica" dataDxfId="25">
      <calculatedColumnFormula>Tabela3[[#This Row],[Srednia]]+(3*Tabela3[[#This Row],[Odchylenie standardowe]])</calculatedColumnFormula>
    </tableColumn>
    <tableColumn id="6" xr3:uid="{408B958E-41DD-4007-832E-274EFF4AE3F8}" name="Kolumna1" dataDxfId="24">
      <calculatedColumnFormula>COUNTIF(Tabela2[Age],"&lt;"&amp;Tabela3[[#This Row],[Dolna Granica]])+COUNTIF(Tabela2[Age],"&gt;"&amp;Tabela3[[#This Row],[Gorna granica]])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249AC6-D4A6-4243-9F8E-111442E9A84C}" name="Tabela6" displayName="Tabela6" ref="A1:F2" totalsRowShown="0">
  <autoFilter ref="A1:F2" xr:uid="{C6249AC6-D4A6-4243-9F8E-111442E9A84C}"/>
  <tableColumns count="6">
    <tableColumn id="1" xr3:uid="{44F5B365-501E-4014-A14D-D3E29E6E1C77}" name="Kolumna1"/>
    <tableColumn id="2" xr3:uid="{D246026B-97D0-4592-AABD-B003316C7F85}" name="education-num">
      <calculatedColumnFormula>CORREL(Tabela2[hours-per-week],Tabela2[education-num])</calculatedColumnFormula>
    </tableColumn>
    <tableColumn id="3" xr3:uid="{A3DDE957-EFA2-42E9-BFA2-9A5EA5FCCE3C}" name="Age">
      <calculatedColumnFormula>CORREL(Tabela2[hours-per-week],Tabela2[Age])</calculatedColumnFormula>
    </tableColumn>
    <tableColumn id="4" xr3:uid="{CDEE290A-90C4-427E-BE87-34C36B6CAA7C}" name="capital-gain">
      <calculatedColumnFormula>CORREL(Tabela2[hours-per-week],Tabela2[capital-gain])</calculatedColumnFormula>
    </tableColumn>
    <tableColumn id="5" xr3:uid="{C914D793-9D70-41C3-93DF-65FB98FEB027}" name="fnlwgt">
      <calculatedColumnFormula>CORREL(Tabela2[hours-per-week],Tabela2[fnlwgt])</calculatedColumnFormula>
    </tableColumn>
    <tableColumn id="6" xr3:uid="{A444A378-9C75-4D9B-B104-868992324EDA}" name="capital-loss">
      <calculatedColumnFormula>CORREL(Tabela2[hours-per-week],Tabela2[capital-loss])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427E8A8-593A-4750-8B79-7F1A71F77464}" name="Tabela2" displayName="Tabela2" ref="A1:R644" totalsRowShown="0" headerRowDxfId="23" dataDxfId="22" headerRowCellStyle="Normalny_Arkusz2" dataCellStyle="Normalny_Arkusz2">
  <autoFilter ref="A1:R644" xr:uid="{E427E8A8-593A-4750-8B79-7F1A71F77464}"/>
  <tableColumns count="18">
    <tableColumn id="1" xr3:uid="{43951D65-6A14-44F1-BB50-300BA6855B03}" name="Indeks" dataDxfId="21" dataCellStyle="Normalny_Arkusz2"/>
    <tableColumn id="2" xr3:uid="{87E8B412-6B1C-4A34-B054-CA1989236CA5}" name="Age" dataDxfId="20" dataCellStyle="Normalny_Arkusz2"/>
    <tableColumn id="3" xr3:uid="{E36C572B-A0D5-4801-A552-9B2428477399}" name="Work_class" dataDxfId="19" dataCellStyle="Normalny_Arkusz2"/>
    <tableColumn id="4" xr3:uid="{54F3C778-1FB2-4161-8883-2CBF108C2D05}" name="fnlwgt" dataDxfId="18" dataCellStyle="Normalny_Arkusz2"/>
    <tableColumn id="5" xr3:uid="{1AA971DE-766C-40A1-9CDF-EFBE2EF52CF3}" name="education" dataDxfId="17" dataCellStyle="Normalny_Arkusz2"/>
    <tableColumn id="6" xr3:uid="{6C68C49E-B3C3-417C-B9F2-06CC272BDECA}" name="education-num" dataDxfId="16" dataCellStyle="Normalny_Arkusz2"/>
    <tableColumn id="7" xr3:uid="{5E786962-7169-44AA-900A-2CB7B16ABEB9}" name="marital-status" dataDxfId="15" dataCellStyle="Normalny_Arkusz2"/>
    <tableColumn id="8" xr3:uid="{5A38C33D-7795-4E3A-A026-E7844C4E3F54}" name="occupation" dataDxfId="14" dataCellStyle="Normalny_Arkusz2"/>
    <tableColumn id="9" xr3:uid="{8C5978C6-C1D1-4BFF-9739-1E1190D3A163}" name="relationship" dataDxfId="13" dataCellStyle="Normalny_Arkusz2"/>
    <tableColumn id="10" xr3:uid="{1D506040-AA24-4BAF-87A7-7F2D5C8457E7}" name="race" dataDxfId="12" dataCellStyle="Normalny_Arkusz2"/>
    <tableColumn id="11" xr3:uid="{D29192CD-2448-400F-91D7-6A4494718792}" name="sex" dataDxfId="11" dataCellStyle="Normalny_Arkusz2"/>
    <tableColumn id="12" xr3:uid="{1C96922C-5012-4011-A8F8-77FA0DE12503}" name="capital-gain" dataDxfId="10" dataCellStyle="Normalny_Arkusz2"/>
    <tableColumn id="13" xr3:uid="{5B537826-D17C-49D0-A98E-42172778629F}" name="capital-loss" dataDxfId="9" dataCellStyle="Normalny_Arkusz2"/>
    <tableColumn id="14" xr3:uid="{98A2960C-1697-4ACD-8044-0A12F20048E1}" name="hours-per-week" dataDxfId="8" dataCellStyle="Normalny_Arkusz2"/>
    <tableColumn id="15" xr3:uid="{9A72BBF5-728C-411C-820D-738B83044A62}" name="native-country" dataDxfId="7" dataCellStyle="Normalny_Arkusz2"/>
    <tableColumn id="16" xr3:uid="{8E620F29-97F5-4422-B9BC-12789A699356}" name="Income" dataDxfId="6" dataCellStyle="Normalny_Arkusz2"/>
    <tableColumn id="17" xr3:uid="{931445F2-F412-4FE6-BC26-A989CCA53EDD}" name="Female" dataDxfId="5" dataCellStyle="Normalny_Arkusz2">
      <calculatedColumnFormula>IF(Tabela2[[#This Row],[sex]]="Female",Tabela2[[#This Row],[hours-per-week]],NA())</calculatedColumnFormula>
    </tableColumn>
    <tableColumn id="18" xr3:uid="{5EF592F7-4F68-4371-B5BE-8C0B6D9C7C6E}" name="Male" dataDxfId="4" dataCellStyle="Normalny_Arkusz2">
      <calculatedColumnFormula>IF(Tabela2[[#This Row],[sex]]="Male",Tabela2[[#This Row],[hours-per-week]],NA())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0A86B7-7F6F-49A4-A120-239D7632FA72}" name="Tabela4" displayName="Tabela4" ref="A1:M644" totalsRowShown="0">
  <autoFilter ref="A1:M644" xr:uid="{B00A86B7-7F6F-49A4-A120-239D7632FA72}"/>
  <tableColumns count="13">
    <tableColumn id="1" xr3:uid="{AD2BFF7E-4822-4D2D-8D9E-D7B0098590CE}" name="1Age"/>
    <tableColumn id="2" xr3:uid="{E54BF82F-C604-4A1C-AFE6-ECF48BC0DBBE}" name="1hours-per-week"/>
    <tableColumn id="3" xr3:uid="{8FC078FB-9F24-4791-A95F-73E2BC617B12}" name="2education-num"/>
    <tableColumn id="4" xr3:uid="{B9ED6E31-9179-4A79-BEA8-DB3904E82934}" name="2hours-per-week"/>
    <tableColumn id="5" xr3:uid="{2DF11376-7040-4B9F-9F50-9465604FBEA0}" name="3Age"/>
    <tableColumn id="6" xr3:uid="{4CFBE5E5-90EA-49A4-9AA9-1ED4E943FD22}" name="3education-num"/>
    <tableColumn id="7" xr3:uid="{F947BA6C-7C2B-411E-90E4-6F9D701340FC}" name="4Age"/>
    <tableColumn id="8" xr3:uid="{625ABFD5-1D03-4AA8-9F45-4F26B7E54749}" name="4hours-per-week"/>
    <tableColumn id="9" xr3:uid="{8C19D623-98D0-4646-8492-43CAA5A30634}" name="4Income"/>
    <tableColumn id="10" xr3:uid="{39518108-964F-41E7-A756-ADB8E89A4465}" name="Age_&lt;=50K" dataDxfId="3">
      <calculatedColumnFormula>IF(Tabela4[[#This Row],[4Income]]="&lt;=50K",Tabela4[[#This Row],[4Age]],NA())</calculatedColumnFormula>
    </tableColumn>
    <tableColumn id="11" xr3:uid="{18E4BE3B-C32D-4A0F-9D53-30C33ADA93D4}" name="Hours_&lt;=50K" dataDxfId="2">
      <calculatedColumnFormula>IF(Tabela4[[#This Row],[4Income]]="&lt;=50K",Tabela4[[#This Row],[4hours-per-week]],NA())</calculatedColumnFormula>
    </tableColumn>
    <tableColumn id="12" xr3:uid="{C13AA01D-3FCB-41B6-B8F5-855D1395470F}" name="Age_&gt;50K" dataDxfId="1">
      <calculatedColumnFormula>IF(Tabela4[[#This Row],[4Income]]="&gt;50K",Tabela4[[#This Row],[4Age]],NA())</calculatedColumnFormula>
    </tableColumn>
    <tableColumn id="13" xr3:uid="{EC8B3F6E-99AB-47C7-9015-28F61F7E5CB2}" name="Hours_&gt;50K" dataDxfId="0">
      <calculatedColumnFormula>IF(Tabela4[[#This Row],[4Income]]="&gt;50K",Tabela4[[#This Row],[4hours-per-week]],NA())</calculatedColumnFormula>
    </tableColumn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991FC57-98E4-4262-AA44-47478E5A700D}" name="Tabela1" displayName="Tabela1" ref="A1:B102" totalsRowShown="0">
  <autoFilter ref="A1:B102" xr:uid="{D991FC57-98E4-4262-AA44-47478E5A700D}"/>
  <tableColumns count="2">
    <tableColumn id="1" xr3:uid="{88BBD34D-6CB4-4F98-9901-1F084864448F}" name="Gestosc"/>
    <tableColumn id="2" xr3:uid="{2EF597B0-7A48-4DA9-A42D-D53BC4D9BC90}" name="Wiek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34365-25C5-4DFE-A35A-086AB107D057}">
  <dimension ref="A3:D20"/>
  <sheetViews>
    <sheetView workbookViewId="0">
      <selection activeCell="G24" sqref="G24"/>
    </sheetView>
  </sheetViews>
  <sheetFormatPr defaultRowHeight="14.25"/>
  <cols>
    <col min="1" max="1" width="13.125" bestFit="1" customWidth="1"/>
    <col min="2" max="2" width="16.125" bestFit="1" customWidth="1"/>
    <col min="3" max="3" width="5.375" bestFit="1" customWidth="1"/>
    <col min="4" max="4" width="11.375" bestFit="1" customWidth="1"/>
    <col min="5" max="5" width="11.875" bestFit="1" customWidth="1"/>
    <col min="6" max="6" width="16" bestFit="1" customWidth="1"/>
    <col min="7" max="7" width="17.125" bestFit="1" customWidth="1"/>
  </cols>
  <sheetData>
    <row r="3" spans="1:4">
      <c r="A3" s="5" t="s">
        <v>739</v>
      </c>
      <c r="B3" s="5" t="s">
        <v>738</v>
      </c>
    </row>
    <row r="4" spans="1:4">
      <c r="A4" s="5" t="s">
        <v>736</v>
      </c>
      <c r="B4" t="s">
        <v>8</v>
      </c>
      <c r="C4" t="s">
        <v>19</v>
      </c>
      <c r="D4" t="s">
        <v>737</v>
      </c>
    </row>
    <row r="5" spans="1:4">
      <c r="A5" s="6" t="s">
        <v>740</v>
      </c>
      <c r="B5">
        <v>34</v>
      </c>
      <c r="D5">
        <v>34</v>
      </c>
    </row>
    <row r="6" spans="1:4">
      <c r="A6" s="6" t="s">
        <v>741</v>
      </c>
      <c r="B6">
        <v>67</v>
      </c>
      <c r="C6">
        <v>1</v>
      </c>
      <c r="D6">
        <v>68</v>
      </c>
    </row>
    <row r="7" spans="1:4">
      <c r="A7" s="6" t="s">
        <v>742</v>
      </c>
      <c r="B7">
        <v>87</v>
      </c>
      <c r="C7">
        <v>6</v>
      </c>
      <c r="D7">
        <v>93</v>
      </c>
    </row>
    <row r="8" spans="1:4">
      <c r="A8" s="6" t="s">
        <v>743</v>
      </c>
      <c r="B8">
        <v>70</v>
      </c>
      <c r="C8">
        <v>19</v>
      </c>
      <c r="D8">
        <v>89</v>
      </c>
    </row>
    <row r="9" spans="1:4">
      <c r="A9" s="6" t="s">
        <v>744</v>
      </c>
      <c r="B9">
        <v>56</v>
      </c>
      <c r="C9">
        <v>26</v>
      </c>
      <c r="D9">
        <v>82</v>
      </c>
    </row>
    <row r="10" spans="1:4">
      <c r="A10" s="6" t="s">
        <v>745</v>
      </c>
      <c r="B10">
        <v>56</v>
      </c>
      <c r="C10">
        <v>25</v>
      </c>
      <c r="D10">
        <v>81</v>
      </c>
    </row>
    <row r="11" spans="1:4">
      <c r="A11" s="6" t="s">
        <v>746</v>
      </c>
      <c r="B11">
        <v>36</v>
      </c>
      <c r="C11">
        <v>23</v>
      </c>
      <c r="D11">
        <v>59</v>
      </c>
    </row>
    <row r="12" spans="1:4">
      <c r="A12" s="6" t="s">
        <v>747</v>
      </c>
      <c r="B12">
        <v>19</v>
      </c>
      <c r="C12">
        <v>19</v>
      </c>
      <c r="D12">
        <v>38</v>
      </c>
    </row>
    <row r="13" spans="1:4">
      <c r="A13" s="6" t="s">
        <v>748</v>
      </c>
      <c r="B13">
        <v>27</v>
      </c>
      <c r="C13">
        <v>14</v>
      </c>
      <c r="D13">
        <v>41</v>
      </c>
    </row>
    <row r="14" spans="1:4">
      <c r="A14" s="6" t="s">
        <v>749</v>
      </c>
      <c r="B14">
        <v>22</v>
      </c>
      <c r="C14">
        <v>12</v>
      </c>
      <c r="D14">
        <v>34</v>
      </c>
    </row>
    <row r="15" spans="1:4">
      <c r="A15" s="6" t="s">
        <v>750</v>
      </c>
      <c r="B15">
        <v>5</v>
      </c>
      <c r="C15">
        <v>5</v>
      </c>
      <c r="D15">
        <v>10</v>
      </c>
    </row>
    <row r="16" spans="1:4">
      <c r="A16" s="6" t="s">
        <v>751</v>
      </c>
      <c r="B16">
        <v>6</v>
      </c>
      <c r="D16">
        <v>6</v>
      </c>
    </row>
    <row r="17" spans="1:4">
      <c r="A17" s="6" t="s">
        <v>752</v>
      </c>
      <c r="B17">
        <v>3</v>
      </c>
      <c r="D17">
        <v>3</v>
      </c>
    </row>
    <row r="18" spans="1:4">
      <c r="A18" s="6" t="s">
        <v>753</v>
      </c>
      <c r="B18">
        <v>1</v>
      </c>
      <c r="C18">
        <v>1</v>
      </c>
      <c r="D18">
        <v>2</v>
      </c>
    </row>
    <row r="19" spans="1:4">
      <c r="A19" s="6" t="s">
        <v>754</v>
      </c>
      <c r="B19">
        <v>3</v>
      </c>
      <c r="D19">
        <v>3</v>
      </c>
    </row>
    <row r="20" spans="1:4">
      <c r="A20" s="6" t="s">
        <v>737</v>
      </c>
      <c r="B20">
        <v>492</v>
      </c>
      <c r="C20">
        <v>151</v>
      </c>
      <c r="D20">
        <v>643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9FE04-2D5C-4EF3-85F5-6E82F33DC6CD}">
  <dimension ref="A1:F7"/>
  <sheetViews>
    <sheetView workbookViewId="0">
      <selection activeCell="F19" sqref="F19"/>
    </sheetView>
  </sheetViews>
  <sheetFormatPr defaultRowHeight="14.25"/>
  <cols>
    <col min="1" max="1" width="13.75" bestFit="1" customWidth="1"/>
    <col min="2" max="2" width="9.625" customWidth="1"/>
    <col min="3" max="3" width="24.625" customWidth="1"/>
    <col min="4" max="5" width="15.25" customWidth="1"/>
  </cols>
  <sheetData>
    <row r="1" spans="1:6">
      <c r="A1" t="s">
        <v>767</v>
      </c>
      <c r="B1" t="s">
        <v>762</v>
      </c>
      <c r="C1" t="s">
        <v>763</v>
      </c>
      <c r="D1" t="s">
        <v>764</v>
      </c>
      <c r="E1" t="s">
        <v>765</v>
      </c>
      <c r="F1" t="s">
        <v>766</v>
      </c>
    </row>
    <row r="2" spans="1:6">
      <c r="A2" t="s">
        <v>78</v>
      </c>
      <c r="B2">
        <f>AVERAGE(Tabela2[Age])</f>
        <v>38.586314152410573</v>
      </c>
      <c r="C2">
        <f>_xlfn.STDEV.S(Tabela2[Age])</f>
        <v>13.949506158396732</v>
      </c>
      <c r="D2">
        <f>Tabela3[[#This Row],[Srednia]]-(3*Tabela3[[#This Row],[Odchylenie standardowe]])</f>
        <v>-3.262204322779624</v>
      </c>
      <c r="E2">
        <f>Tabela3[[#This Row],[Srednia]]+(3*Tabela3[[#This Row],[Odchylenie standardowe]])</f>
        <v>80.43483262760077</v>
      </c>
      <c r="F2">
        <f>COUNTIF(Tabela2[Age],"&lt;"&amp;Tabela3[[#This Row],[Dolna Granica]])+COUNTIF(Tabela2[Age],"&gt;"&amp;Tabela3[[#This Row],[Gorna granica]])</f>
        <v>4</v>
      </c>
    </row>
    <row r="3" spans="1:6">
      <c r="A3" t="s">
        <v>80</v>
      </c>
      <c r="B3">
        <f>AVERAGE(Tabela2[fnlwgt])</f>
        <v>180743.18506998444</v>
      </c>
      <c r="C3">
        <f>_xlfn.STDEV.S(Tabela2[fnlwgt])</f>
        <v>96839.835586364177</v>
      </c>
      <c r="D3">
        <f>Tabela3[[#This Row],[Srednia]]-(3*Tabela3[[#This Row],[Odchylenie standardowe]])</f>
        <v>-109776.32168910812</v>
      </c>
      <c r="E3">
        <f>Tabela3[[#This Row],[Srednia]]+(3*Tabela3[[#This Row],[Odchylenie standardowe]])</f>
        <v>471262.69182907697</v>
      </c>
      <c r="F3">
        <f>COUNTIF(Tabela2[fnlwgt],"&lt;"&amp;Tabela3[[#This Row],[Dolna Granica]])+COUNTIF(Tabela2[fnlwgt],"&gt;"&amp;Tabela3[[#This Row],[Gorna granica]])</f>
        <v>5</v>
      </c>
    </row>
    <row r="4" spans="1:6">
      <c r="A4" t="s">
        <v>82</v>
      </c>
      <c r="B4">
        <f>AVERAGE(Tabela2[education-num])</f>
        <v>10.031104199066874</v>
      </c>
      <c r="C4">
        <f>_xlfn.STDEV.S(Tabela2[education-num])</f>
        <v>2.4871563902751244</v>
      </c>
      <c r="D4">
        <f>Tabela3[[#This Row],[Srednia]]-(3*Tabela3[[#This Row],[Odchylenie standardowe]])</f>
        <v>2.5696350282415015</v>
      </c>
      <c r="E4">
        <f>Tabela3[[#This Row],[Srednia]]+(3*Tabela3[[#This Row],[Odchylenie standardowe]])</f>
        <v>17.492573369892249</v>
      </c>
      <c r="F4">
        <f>COUNTIF(Tabela2[education-num],"&lt;"&amp;Tabela3[[#This Row],[Dolna Granica]])+COUNTIF(Tabela2[education-num],"&gt;"&amp;Tabela3[[#This Row],[Gorna granica]])</f>
        <v>3</v>
      </c>
    </row>
    <row r="5" spans="1:6">
      <c r="A5" t="s">
        <v>88</v>
      </c>
      <c r="B5">
        <f>AVERAGE(Tabela2[capital-gain])</f>
        <v>1478.3841368584758</v>
      </c>
      <c r="C5">
        <f>_xlfn.STDEV.S(Tabela2[capital-gain])</f>
        <v>9896.3475711701485</v>
      </c>
      <c r="D5">
        <f>Tabela3[[#This Row],[Srednia]]-(3*Tabela3[[#This Row],[Odchylenie standardowe]])</f>
        <v>-28210.658576651971</v>
      </c>
      <c r="E5">
        <f>Tabela3[[#This Row],[Srednia]]+(3*Tabela3[[#This Row],[Odchylenie standardowe]])</f>
        <v>31167.426850368924</v>
      </c>
      <c r="F5">
        <f>COUNTIF(Tabela2[capital-gain],"&lt;"&amp;Tabela3[[#This Row],[Dolna Granica]])+COUNTIF(Tabela2[capital-gain],"&gt;"&amp;Tabela3[[#This Row],[Gorna granica]])</f>
        <v>6</v>
      </c>
    </row>
    <row r="6" spans="1:6">
      <c r="A6" t="s">
        <v>89</v>
      </c>
      <c r="B6">
        <f>AVERAGE(Tabela2[capital-loss])</f>
        <v>110.52099533437014</v>
      </c>
      <c r="C6">
        <f>_xlfn.STDEV.S(Tabela2[capital-loss])</f>
        <v>453.07239913459165</v>
      </c>
      <c r="D6">
        <f>Tabela3[[#This Row],[Srednia]]-(3*Tabela3[[#This Row],[Odchylenie standardowe]])</f>
        <v>-1248.6962020694048</v>
      </c>
      <c r="E6">
        <f>Tabela3[[#This Row],[Srednia]]+(3*Tabela3[[#This Row],[Odchylenie standardowe]])</f>
        <v>1469.738192738145</v>
      </c>
      <c r="F6">
        <f>COUNTIF(Tabela2[capital-loss],"&lt;"&amp;Tabela3[[#This Row],[Dolna Granica]])+COUNTIF(Tabela2[capital-loss],"&gt;"&amp;Tabela3[[#This Row],[Gorna granica]])</f>
        <v>33</v>
      </c>
    </row>
    <row r="7" spans="1:6">
      <c r="A7" t="s">
        <v>90</v>
      </c>
      <c r="B7">
        <f>AVERAGE(Tabela2[hours-per-week])</f>
        <v>40.846034214618975</v>
      </c>
      <c r="C7">
        <f>_xlfn.STDEV.S(Tabela2[hours-per-week])</f>
        <v>12.94727851142509</v>
      </c>
      <c r="D7">
        <f>Tabela3[[#This Row],[Srednia]]-(3*Tabela3[[#This Row],[Odchylenie standardowe]])</f>
        <v>2.0041986803437055</v>
      </c>
      <c r="E7">
        <f>Tabela3[[#This Row],[Srednia]]+(3*Tabela3[[#This Row],[Odchylenie standardowe]])</f>
        <v>79.687869748894244</v>
      </c>
      <c r="F7">
        <f>COUNTIF(Tabela2[hours-per-week],"&lt;"&amp;Tabela3[[#This Row],[Dolna Granica]])+COUNTIF(Tabela2[hours-per-week],"&gt;"&amp;Tabela3[[#This Row],[Gorna granica]])</f>
        <v>10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E9F52-229E-47F2-A764-FA8C07A34C12}">
  <dimension ref="A1:D21"/>
  <sheetViews>
    <sheetView topLeftCell="A3" workbookViewId="0">
      <selection activeCell="H32" sqref="H32"/>
    </sheetView>
  </sheetViews>
  <sheetFormatPr defaultRowHeight="14.25"/>
  <cols>
    <col min="1" max="1" width="17" bestFit="1" customWidth="1"/>
    <col min="2" max="2" width="16.75" bestFit="1" customWidth="1"/>
    <col min="3" max="3" width="5.125" bestFit="1" customWidth="1"/>
    <col min="4" max="4" width="14.125" bestFit="1" customWidth="1"/>
  </cols>
  <sheetData>
    <row r="1" spans="1:4">
      <c r="A1" s="5" t="s">
        <v>92</v>
      </c>
      <c r="B1" t="s">
        <v>785</v>
      </c>
    </row>
    <row r="3" spans="1:4">
      <c r="A3" s="5" t="s">
        <v>786</v>
      </c>
      <c r="B3" s="5" t="s">
        <v>784</v>
      </c>
    </row>
    <row r="4" spans="1:4">
      <c r="A4" s="5" t="s">
        <v>782</v>
      </c>
      <c r="B4" t="s">
        <v>6</v>
      </c>
      <c r="C4" t="s">
        <v>18</v>
      </c>
      <c r="D4" t="s">
        <v>783</v>
      </c>
    </row>
    <row r="5" spans="1:4">
      <c r="A5" s="6" t="s">
        <v>43</v>
      </c>
      <c r="B5">
        <v>9</v>
      </c>
      <c r="C5">
        <v>16</v>
      </c>
      <c r="D5">
        <v>25</v>
      </c>
    </row>
    <row r="6" spans="1:4">
      <c r="A6" s="6" t="s">
        <v>1</v>
      </c>
      <c r="B6">
        <v>9</v>
      </c>
      <c r="C6">
        <v>14</v>
      </c>
      <c r="D6">
        <v>23</v>
      </c>
    </row>
    <row r="7" spans="1:4">
      <c r="A7" s="6" t="s">
        <v>17</v>
      </c>
      <c r="B7">
        <v>2</v>
      </c>
      <c r="C7">
        <v>5</v>
      </c>
      <c r="D7">
        <v>7</v>
      </c>
    </row>
    <row r="8" spans="1:4">
      <c r="A8" s="6" t="s">
        <v>65</v>
      </c>
      <c r="B8">
        <v>1</v>
      </c>
      <c r="C8">
        <v>1</v>
      </c>
      <c r="D8">
        <v>2</v>
      </c>
    </row>
    <row r="9" spans="1:4">
      <c r="A9" s="6" t="s">
        <v>14</v>
      </c>
      <c r="B9">
        <v>1</v>
      </c>
      <c r="C9">
        <v>4</v>
      </c>
      <c r="D9">
        <v>5</v>
      </c>
    </row>
    <row r="10" spans="1:4">
      <c r="A10" s="6" t="s">
        <v>57</v>
      </c>
      <c r="B10">
        <v>3</v>
      </c>
      <c r="C10">
        <v>8</v>
      </c>
      <c r="D10">
        <v>11</v>
      </c>
    </row>
    <row r="11" spans="1:4">
      <c r="A11" s="6" t="s">
        <v>64</v>
      </c>
      <c r="B11">
        <v>1</v>
      </c>
      <c r="C11">
        <v>9</v>
      </c>
      <c r="D11">
        <v>10</v>
      </c>
    </row>
    <row r="12" spans="1:4">
      <c r="A12" s="6" t="s">
        <v>9</v>
      </c>
      <c r="B12">
        <v>10</v>
      </c>
      <c r="C12">
        <v>16</v>
      </c>
      <c r="D12">
        <v>26</v>
      </c>
    </row>
    <row r="13" spans="1:4">
      <c r="A13" s="6" t="s">
        <v>44</v>
      </c>
      <c r="B13">
        <v>14</v>
      </c>
      <c r="C13">
        <v>18</v>
      </c>
      <c r="D13">
        <v>32</v>
      </c>
    </row>
    <row r="14" spans="1:4">
      <c r="A14" s="6" t="s">
        <v>26</v>
      </c>
      <c r="B14">
        <v>38</v>
      </c>
      <c r="C14">
        <v>74</v>
      </c>
      <c r="D14">
        <v>112</v>
      </c>
    </row>
    <row r="15" spans="1:4">
      <c r="A15" s="6" t="s">
        <v>63</v>
      </c>
      <c r="B15">
        <v>1</v>
      </c>
      <c r="C15">
        <v>5</v>
      </c>
      <c r="D15">
        <v>6</v>
      </c>
    </row>
    <row r="16" spans="1:4">
      <c r="A16" s="6" t="s">
        <v>28</v>
      </c>
      <c r="B16">
        <v>76</v>
      </c>
      <c r="C16">
        <v>149</v>
      </c>
      <c r="D16">
        <v>225</v>
      </c>
    </row>
    <row r="17" spans="1:4">
      <c r="A17" s="6" t="s">
        <v>39</v>
      </c>
      <c r="B17">
        <v>6</v>
      </c>
      <c r="C17">
        <v>16</v>
      </c>
      <c r="D17">
        <v>22</v>
      </c>
    </row>
    <row r="18" spans="1:4">
      <c r="A18" s="6" t="s">
        <v>52</v>
      </c>
      <c r="B18">
        <v>1</v>
      </c>
      <c r="D18">
        <v>1</v>
      </c>
    </row>
    <row r="19" spans="1:4">
      <c r="A19" s="6" t="s">
        <v>50</v>
      </c>
      <c r="B19">
        <v>2</v>
      </c>
      <c r="C19">
        <v>10</v>
      </c>
      <c r="D19">
        <v>12</v>
      </c>
    </row>
    <row r="20" spans="1:4">
      <c r="A20" s="6" t="s">
        <v>12</v>
      </c>
      <c r="B20">
        <v>45</v>
      </c>
      <c r="C20">
        <v>79</v>
      </c>
      <c r="D20">
        <v>124</v>
      </c>
    </row>
    <row r="21" spans="1:4">
      <c r="A21" s="6" t="s">
        <v>783</v>
      </c>
      <c r="B21">
        <v>219</v>
      </c>
      <c r="C21">
        <v>424</v>
      </c>
      <c r="D21">
        <v>643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57D82-8B4F-4062-A26C-D7FB58399F58}">
  <dimension ref="A1:G4"/>
  <sheetViews>
    <sheetView workbookViewId="0">
      <selection activeCell="G9" sqref="G9"/>
    </sheetView>
  </sheetViews>
  <sheetFormatPr defaultRowHeight="14.25"/>
  <cols>
    <col min="1" max="1" width="13.75" bestFit="1" customWidth="1"/>
    <col min="2" max="2" width="16.125" bestFit="1" customWidth="1"/>
    <col min="3" max="3" width="11.875" bestFit="1" customWidth="1"/>
    <col min="4" max="4" width="13" bestFit="1" customWidth="1"/>
    <col min="5" max="5" width="10.875" bestFit="1" customWidth="1"/>
    <col min="6" max="6" width="12.875" bestFit="1" customWidth="1"/>
    <col min="7" max="7" width="90.5" customWidth="1"/>
  </cols>
  <sheetData>
    <row r="1" spans="1:7">
      <c r="A1" t="s">
        <v>766</v>
      </c>
      <c r="B1" t="s">
        <v>82</v>
      </c>
      <c r="C1" t="s">
        <v>78</v>
      </c>
      <c r="D1" t="s">
        <v>88</v>
      </c>
      <c r="E1" t="s">
        <v>80</v>
      </c>
      <c r="F1" t="s">
        <v>89</v>
      </c>
    </row>
    <row r="2" spans="1:7">
      <c r="A2" t="s">
        <v>90</v>
      </c>
      <c r="B2">
        <f>CORREL(Tabela2[hours-per-week],Tabela2[education-num])</f>
        <v>0.14163357719825723</v>
      </c>
      <c r="C2">
        <f>CORREL(Tabela2[hours-per-week],Tabela2[Age])</f>
        <v>0.11177229326515785</v>
      </c>
      <c r="D2">
        <f>CORREL(Tabela2[hours-per-week],Tabela2[capital-gain])</f>
        <v>0.11054516412901134</v>
      </c>
      <c r="E2">
        <f>CORREL(Tabela2[hours-per-week],Tabela2[fnlwgt])</f>
        <v>7.1777901582397319E-3</v>
      </c>
      <c r="F2">
        <f>CORREL(Tabela2[hours-per-week],Tabela2[capital-loss])</f>
        <v>-2.0245958437683436E-2</v>
      </c>
    </row>
    <row r="4" spans="1:7" ht="36" customHeight="1">
      <c r="G4" s="7" t="s">
        <v>787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1E8DE2-7A9F-450E-A6BE-DFFA2AB5F844}">
  <dimension ref="A1:K20"/>
  <sheetViews>
    <sheetView tabSelected="1" topLeftCell="A6" workbookViewId="0">
      <selection activeCell="F19" sqref="F19"/>
    </sheetView>
  </sheetViews>
  <sheetFormatPr defaultRowHeight="14.25"/>
  <cols>
    <col min="1" max="1" width="26.5" bestFit="1" customWidth="1"/>
    <col min="2" max="2" width="13.375" bestFit="1" customWidth="1"/>
    <col min="3" max="3" width="15.875" bestFit="1" customWidth="1"/>
    <col min="4" max="4" width="11.875" bestFit="1" customWidth="1"/>
    <col min="5" max="5" width="12.25" bestFit="1" customWidth="1"/>
    <col min="6" max="8" width="11.875" bestFit="1" customWidth="1"/>
    <col min="9" max="9" width="12.125" bestFit="1" customWidth="1"/>
    <col min="11" max="11" width="67.375" customWidth="1"/>
  </cols>
  <sheetData>
    <row r="1" spans="1:9">
      <c r="A1" t="s">
        <v>788</v>
      </c>
    </row>
    <row r="2" spans="1:9" ht="15" thickBot="1"/>
    <row r="3" spans="1:9">
      <c r="A3" s="10" t="s">
        <v>789</v>
      </c>
      <c r="B3" s="10"/>
    </row>
    <row r="4" spans="1:9">
      <c r="A4" t="s">
        <v>790</v>
      </c>
      <c r="B4">
        <v>0.14163357719825695</v>
      </c>
    </row>
    <row r="5" spans="1:9">
      <c r="A5" t="s">
        <v>791</v>
      </c>
      <c r="B5">
        <v>2.0060070189974608E-2</v>
      </c>
    </row>
    <row r="6" spans="1:9">
      <c r="A6" t="s">
        <v>792</v>
      </c>
      <c r="B6">
        <v>1.8531302748773321E-2</v>
      </c>
    </row>
    <row r="7" spans="1:9">
      <c r="A7" t="s">
        <v>793</v>
      </c>
      <c r="B7">
        <v>12.826752555639553</v>
      </c>
    </row>
    <row r="8" spans="1:9" ht="15" thickBot="1">
      <c r="A8" s="8" t="s">
        <v>794</v>
      </c>
      <c r="B8" s="8">
        <v>643</v>
      </c>
    </row>
    <row r="10" spans="1:9" ht="15" thickBot="1">
      <c r="A10" t="s">
        <v>795</v>
      </c>
    </row>
    <row r="11" spans="1:9">
      <c r="A11" s="9"/>
      <c r="B11" s="9" t="s">
        <v>800</v>
      </c>
      <c r="C11" s="9" t="s">
        <v>801</v>
      </c>
      <c r="D11" s="9" t="s">
        <v>802</v>
      </c>
      <c r="E11" s="9" t="s">
        <v>803</v>
      </c>
      <c r="F11" s="9" t="s">
        <v>804</v>
      </c>
    </row>
    <row r="12" spans="1:9">
      <c r="A12" t="s">
        <v>796</v>
      </c>
      <c r="B12">
        <v>1</v>
      </c>
      <c r="C12">
        <v>2158.8598870162241</v>
      </c>
      <c r="D12">
        <v>2158.8598870162241</v>
      </c>
      <c r="E12">
        <v>13.121727771891608</v>
      </c>
      <c r="F12">
        <v>3.1498457119490434E-4</v>
      </c>
    </row>
    <row r="13" spans="1:9">
      <c r="A13" t="s">
        <v>797</v>
      </c>
      <c r="B13">
        <v>641</v>
      </c>
      <c r="C13">
        <v>105460.89750023132</v>
      </c>
      <c r="D13">
        <v>164.5255811236058</v>
      </c>
    </row>
    <row r="14" spans="1:9" ht="15" thickBot="1">
      <c r="A14" s="8" t="s">
        <v>798</v>
      </c>
      <c r="B14" s="8">
        <v>642</v>
      </c>
      <c r="C14" s="8">
        <v>107619.75738724755</v>
      </c>
      <c r="D14" s="8"/>
      <c r="E14" s="8"/>
      <c r="F14" s="8"/>
    </row>
    <row r="15" spans="1:9" ht="15" thickBot="1"/>
    <row r="16" spans="1:9">
      <c r="A16" s="9"/>
      <c r="B16" s="9" t="s">
        <v>805</v>
      </c>
      <c r="C16" s="9" t="s">
        <v>793</v>
      </c>
      <c r="D16" s="9" t="s">
        <v>806</v>
      </c>
      <c r="E16" s="9" t="s">
        <v>807</v>
      </c>
      <c r="F16" s="9" t="s">
        <v>808</v>
      </c>
      <c r="G16" s="9" t="s">
        <v>809</v>
      </c>
      <c r="H16" s="9" t="s">
        <v>810</v>
      </c>
      <c r="I16" s="9" t="s">
        <v>811</v>
      </c>
    </row>
    <row r="17" spans="1:11">
      <c r="A17" t="s">
        <v>799</v>
      </c>
      <c r="B17">
        <v>33.450145598598979</v>
      </c>
      <c r="C17">
        <v>2.1034416544926393</v>
      </c>
      <c r="D17">
        <v>15.902578294555701</v>
      </c>
      <c r="E17">
        <v>3.0336222164230714E-48</v>
      </c>
      <c r="F17">
        <v>29.319676633821388</v>
      </c>
      <c r="G17">
        <v>37.580614563376571</v>
      </c>
      <c r="H17">
        <v>29.319676633821388</v>
      </c>
      <c r="I17">
        <v>37.580614563376571</v>
      </c>
    </row>
    <row r="18" spans="1:11" ht="15" thickBot="1">
      <c r="A18" s="8" t="s">
        <v>82</v>
      </c>
      <c r="B18" s="8">
        <v>0.73729556280633468</v>
      </c>
      <c r="C18" s="8">
        <v>0.20353828389223064</v>
      </c>
      <c r="D18" s="8">
        <v>3.6223925480118404</v>
      </c>
      <c r="E18" s="8">
        <v>3.1498457119488022E-4</v>
      </c>
      <c r="F18" s="8">
        <v>0.33761318370857318</v>
      </c>
      <c r="G18" s="8">
        <v>1.1369779419040962</v>
      </c>
      <c r="H18" s="8">
        <v>0.33761318370857318</v>
      </c>
      <c r="I18" s="8">
        <v>1.1369779419040962</v>
      </c>
    </row>
    <row r="20" spans="1:11" ht="69.75" customHeight="1">
      <c r="K20" s="7" t="s">
        <v>812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644"/>
  <sheetViews>
    <sheetView topLeftCell="A599" zoomScale="83" workbookViewId="0">
      <selection activeCell="R10" sqref="R10"/>
    </sheetView>
  </sheetViews>
  <sheetFormatPr defaultRowHeight="14.25"/>
  <cols>
    <col min="1" max="1" width="11.625" bestFit="1" customWidth="1"/>
    <col min="2" max="2" width="9.125" bestFit="1" customWidth="1"/>
    <col min="3" max="3" width="15.5" bestFit="1" customWidth="1"/>
    <col min="4" max="4" width="11.125" bestFit="1" customWidth="1"/>
    <col min="5" max="5" width="14" bestFit="1" customWidth="1"/>
    <col min="6" max="7" width="18.375" bestFit="1" customWidth="1"/>
    <col min="8" max="8" width="14.875" bestFit="1" customWidth="1"/>
    <col min="9" max="9" width="15.75" bestFit="1" customWidth="1"/>
    <col min="10" max="10" width="15.625" bestFit="1" customWidth="1"/>
    <col min="11" max="11" width="8.875" bestFit="1" customWidth="1"/>
    <col min="12" max="12" width="15.125" bestFit="1" customWidth="1"/>
    <col min="13" max="13" width="15.375" bestFit="1" customWidth="1"/>
    <col min="14" max="14" width="19.75" bestFit="1" customWidth="1"/>
    <col min="15" max="15" width="17.75" bestFit="1" customWidth="1"/>
    <col min="16" max="16" width="12" bestFit="1" customWidth="1"/>
    <col min="17" max="17" width="11.875" bestFit="1" customWidth="1"/>
    <col min="18" max="18" width="9.75" bestFit="1" customWidth="1"/>
    <col min="20" max="20" width="27.375" bestFit="1" customWidth="1"/>
    <col min="21" max="21" width="12.625" bestFit="1" customWidth="1"/>
    <col min="23" max="23" width="66.25" bestFit="1" customWidth="1"/>
  </cols>
  <sheetData>
    <row r="1" spans="1:18">
      <c r="A1" s="1" t="s">
        <v>781</v>
      </c>
      <c r="B1" s="2" t="s">
        <v>78</v>
      </c>
      <c r="C1" s="2" t="s">
        <v>79</v>
      </c>
      <c r="D1" s="2" t="s">
        <v>80</v>
      </c>
      <c r="E1" s="2" t="s">
        <v>81</v>
      </c>
      <c r="F1" s="2" t="s">
        <v>82</v>
      </c>
      <c r="G1" s="2" t="s">
        <v>83</v>
      </c>
      <c r="H1" s="2" t="s">
        <v>84</v>
      </c>
      <c r="I1" s="2" t="s">
        <v>85</v>
      </c>
      <c r="J1" s="2" t="s">
        <v>86</v>
      </c>
      <c r="K1" s="2" t="s">
        <v>87</v>
      </c>
      <c r="L1" s="2" t="s">
        <v>88</v>
      </c>
      <c r="M1" s="2" t="s">
        <v>89</v>
      </c>
      <c r="N1" s="2" t="s">
        <v>90</v>
      </c>
      <c r="O1" s="2" t="s">
        <v>91</v>
      </c>
      <c r="P1" s="2" t="s">
        <v>92</v>
      </c>
      <c r="Q1" s="2" t="s">
        <v>6</v>
      </c>
      <c r="R1" s="2" t="s">
        <v>18</v>
      </c>
    </row>
    <row r="2" spans="1:18">
      <c r="A2" s="3" t="s">
        <v>93</v>
      </c>
      <c r="B2" s="4">
        <v>18</v>
      </c>
      <c r="C2" s="4" t="s">
        <v>0</v>
      </c>
      <c r="D2" s="4">
        <v>309634</v>
      </c>
      <c r="E2" s="4" t="s">
        <v>1</v>
      </c>
      <c r="F2" s="4">
        <v>7</v>
      </c>
      <c r="G2" s="4" t="s">
        <v>2</v>
      </c>
      <c r="H2" s="4" t="s">
        <v>3</v>
      </c>
      <c r="I2" s="4" t="s">
        <v>4</v>
      </c>
      <c r="J2" s="4" t="s">
        <v>5</v>
      </c>
      <c r="K2" s="4" t="s">
        <v>6</v>
      </c>
      <c r="L2" s="4">
        <v>0</v>
      </c>
      <c r="M2" s="4">
        <v>0</v>
      </c>
      <c r="N2" s="4">
        <v>22</v>
      </c>
      <c r="O2" s="4" t="s">
        <v>7</v>
      </c>
      <c r="P2" s="4" t="s">
        <v>8</v>
      </c>
      <c r="Q2" s="4">
        <f>IF(Tabela2[[#This Row],[sex]]="Female",Tabela2[[#This Row],[hours-per-week]],NA())</f>
        <v>22</v>
      </c>
      <c r="R2" s="4" t="e">
        <f>IF(Tabela2[[#This Row],[sex]]="Male",Tabela2[[#This Row],[hours-per-week]],NA())</f>
        <v>#N/A</v>
      </c>
    </row>
    <row r="3" spans="1:18">
      <c r="A3" s="3" t="s">
        <v>94</v>
      </c>
      <c r="B3" s="4">
        <v>28</v>
      </c>
      <c r="C3" s="4" t="s">
        <v>0</v>
      </c>
      <c r="D3" s="4">
        <v>69621</v>
      </c>
      <c r="E3" s="4" t="s">
        <v>9</v>
      </c>
      <c r="F3" s="4">
        <v>12</v>
      </c>
      <c r="G3" s="4" t="s">
        <v>2</v>
      </c>
      <c r="H3" s="4" t="s">
        <v>10</v>
      </c>
      <c r="I3" s="4" t="s">
        <v>11</v>
      </c>
      <c r="J3" s="4" t="s">
        <v>5</v>
      </c>
      <c r="K3" s="4" t="s">
        <v>6</v>
      </c>
      <c r="L3" s="4">
        <v>0</v>
      </c>
      <c r="M3" s="4">
        <v>0</v>
      </c>
      <c r="N3" s="4">
        <v>60</v>
      </c>
      <c r="O3" s="4" t="s">
        <v>7</v>
      </c>
      <c r="P3" s="4" t="s">
        <v>8</v>
      </c>
      <c r="Q3" s="4">
        <f>IF(Tabela2[[#This Row],[sex]]="Female",Tabela2[[#This Row],[hours-per-week]],NA())</f>
        <v>60</v>
      </c>
      <c r="R3" s="4" t="e">
        <f>IF(Tabela2[[#This Row],[sex]]="Male",Tabela2[[#This Row],[hours-per-week]],NA())</f>
        <v>#N/A</v>
      </c>
    </row>
    <row r="4" spans="1:18">
      <c r="A4" s="3" t="s">
        <v>95</v>
      </c>
      <c r="B4" s="4">
        <v>35</v>
      </c>
      <c r="C4" s="4" t="s">
        <v>0</v>
      </c>
      <c r="D4" s="4">
        <v>153790</v>
      </c>
      <c r="E4" s="4" t="s">
        <v>12</v>
      </c>
      <c r="F4" s="4">
        <v>10</v>
      </c>
      <c r="G4" s="4" t="s">
        <v>2</v>
      </c>
      <c r="H4" s="4" t="s">
        <v>10</v>
      </c>
      <c r="I4" s="4" t="s">
        <v>11</v>
      </c>
      <c r="J4" s="4" t="s">
        <v>13</v>
      </c>
      <c r="K4" s="4" t="s">
        <v>6</v>
      </c>
      <c r="L4" s="4">
        <v>0</v>
      </c>
      <c r="M4" s="4">
        <v>0</v>
      </c>
      <c r="N4" s="4">
        <v>40</v>
      </c>
      <c r="O4" s="4" t="s">
        <v>7</v>
      </c>
      <c r="P4" s="4" t="s">
        <v>8</v>
      </c>
      <c r="Q4" s="4">
        <f>IF(Tabela2[[#This Row],[sex]]="Female",Tabela2[[#This Row],[hours-per-week]],NA())</f>
        <v>40</v>
      </c>
      <c r="R4" s="4" t="e">
        <f>IF(Tabela2[[#This Row],[sex]]="Male",Tabela2[[#This Row],[hours-per-week]],NA())</f>
        <v>#N/A</v>
      </c>
    </row>
    <row r="5" spans="1:18">
      <c r="A5" s="3" t="s">
        <v>96</v>
      </c>
      <c r="B5" s="4">
        <v>46</v>
      </c>
      <c r="C5" s="4" t="s">
        <v>0</v>
      </c>
      <c r="D5" s="4">
        <v>214955</v>
      </c>
      <c r="E5" s="4" t="s">
        <v>14</v>
      </c>
      <c r="F5" s="4">
        <v>3</v>
      </c>
      <c r="G5" s="4" t="s">
        <v>15</v>
      </c>
      <c r="H5" s="4" t="s">
        <v>16</v>
      </c>
      <c r="I5" s="4" t="s">
        <v>11</v>
      </c>
      <c r="J5" s="4" t="s">
        <v>5</v>
      </c>
      <c r="K5" s="4" t="s">
        <v>6</v>
      </c>
      <c r="L5" s="4">
        <v>0</v>
      </c>
      <c r="M5" s="4">
        <v>2339</v>
      </c>
      <c r="N5" s="4">
        <v>45</v>
      </c>
      <c r="O5" s="4" t="s">
        <v>7</v>
      </c>
      <c r="P5" s="4" t="s">
        <v>8</v>
      </c>
      <c r="Q5" s="4">
        <f>IF(Tabela2[[#This Row],[sex]]="Female",Tabela2[[#This Row],[hours-per-week]],NA())</f>
        <v>45</v>
      </c>
      <c r="R5" s="4" t="e">
        <f>IF(Tabela2[[#This Row],[sex]]="Male",Tabela2[[#This Row],[hours-per-week]],NA())</f>
        <v>#N/A</v>
      </c>
    </row>
    <row r="6" spans="1:18">
      <c r="A6" s="3" t="s">
        <v>97</v>
      </c>
      <c r="B6" s="4">
        <v>35</v>
      </c>
      <c r="C6" s="4" t="s">
        <v>0</v>
      </c>
      <c r="D6" s="4">
        <v>92440</v>
      </c>
      <c r="E6" s="4" t="s">
        <v>17</v>
      </c>
      <c r="F6" s="4">
        <v>8</v>
      </c>
      <c r="G6" s="4" t="s">
        <v>15</v>
      </c>
      <c r="H6" s="4" t="s">
        <v>16</v>
      </c>
      <c r="I6" s="4" t="s">
        <v>11</v>
      </c>
      <c r="J6" s="4" t="s">
        <v>5</v>
      </c>
      <c r="K6" s="4" t="s">
        <v>18</v>
      </c>
      <c r="L6" s="4">
        <v>0</v>
      </c>
      <c r="M6" s="4">
        <v>0</v>
      </c>
      <c r="N6" s="4">
        <v>50</v>
      </c>
      <c r="O6" s="4" t="s">
        <v>7</v>
      </c>
      <c r="P6" s="4" t="s">
        <v>19</v>
      </c>
      <c r="Q6" s="4" t="e">
        <f>IF(Tabela2[[#This Row],[sex]]="Female",Tabela2[[#This Row],[hours-per-week]],NA())</f>
        <v>#N/A</v>
      </c>
      <c r="R6" s="4">
        <f>IF(Tabela2[[#This Row],[sex]]="Male",Tabela2[[#This Row],[hours-per-week]],NA())</f>
        <v>50</v>
      </c>
    </row>
    <row r="7" spans="1:18">
      <c r="A7" s="3" t="s">
        <v>98</v>
      </c>
      <c r="B7" s="4">
        <v>34</v>
      </c>
      <c r="C7" s="4" t="s">
        <v>20</v>
      </c>
      <c r="D7" s="4">
        <v>243867</v>
      </c>
      <c r="E7" s="4" t="s">
        <v>1</v>
      </c>
      <c r="F7" s="4">
        <v>7</v>
      </c>
      <c r="G7" s="4" t="s">
        <v>21</v>
      </c>
      <c r="H7" s="4" t="s">
        <v>22</v>
      </c>
      <c r="I7" s="4" t="s">
        <v>11</v>
      </c>
      <c r="J7" s="4" t="s">
        <v>23</v>
      </c>
      <c r="K7" s="4" t="s">
        <v>18</v>
      </c>
      <c r="L7" s="4">
        <v>0</v>
      </c>
      <c r="M7" s="4">
        <v>0</v>
      </c>
      <c r="N7" s="4">
        <v>40</v>
      </c>
      <c r="O7" s="4" t="s">
        <v>7</v>
      </c>
      <c r="P7" s="4" t="s">
        <v>8</v>
      </c>
      <c r="Q7" s="4" t="e">
        <f>IF(Tabela2[[#This Row],[sex]]="Female",Tabela2[[#This Row],[hours-per-week]],NA())</f>
        <v>#N/A</v>
      </c>
      <c r="R7" s="4">
        <f>IF(Tabela2[[#This Row],[sex]]="Male",Tabela2[[#This Row],[hours-per-week]],NA())</f>
        <v>40</v>
      </c>
    </row>
    <row r="8" spans="1:18">
      <c r="A8" s="3" t="s">
        <v>99</v>
      </c>
      <c r="B8" s="4">
        <v>44</v>
      </c>
      <c r="C8" s="4" t="s">
        <v>0</v>
      </c>
      <c r="D8" s="4">
        <v>116632</v>
      </c>
      <c r="E8" s="4" t="s">
        <v>9</v>
      </c>
      <c r="F8" s="4">
        <v>12</v>
      </c>
      <c r="G8" s="4" t="s">
        <v>2</v>
      </c>
      <c r="H8" s="4" t="s">
        <v>24</v>
      </c>
      <c r="I8" s="4" t="s">
        <v>4</v>
      </c>
      <c r="J8" s="4" t="s">
        <v>5</v>
      </c>
      <c r="K8" s="4" t="s">
        <v>18</v>
      </c>
      <c r="L8" s="4">
        <v>0</v>
      </c>
      <c r="M8" s="4">
        <v>0</v>
      </c>
      <c r="N8" s="4">
        <v>40</v>
      </c>
      <c r="O8" s="4" t="s">
        <v>7</v>
      </c>
      <c r="P8" s="4" t="s">
        <v>8</v>
      </c>
      <c r="Q8" s="4" t="e">
        <f>IF(Tabela2[[#This Row],[sex]]="Female",Tabela2[[#This Row],[hours-per-week]],NA())</f>
        <v>#N/A</v>
      </c>
      <c r="R8" s="4">
        <f>IF(Tabela2[[#This Row],[sex]]="Male",Tabela2[[#This Row],[hours-per-week]],NA())</f>
        <v>40</v>
      </c>
    </row>
    <row r="9" spans="1:18">
      <c r="A9" s="3" t="s">
        <v>100</v>
      </c>
      <c r="B9" s="4">
        <v>28</v>
      </c>
      <c r="C9" s="4" t="s">
        <v>25</v>
      </c>
      <c r="D9" s="4">
        <v>70100</v>
      </c>
      <c r="E9" s="4" t="s">
        <v>26</v>
      </c>
      <c r="F9" s="4">
        <v>13</v>
      </c>
      <c r="G9" s="4" t="s">
        <v>2</v>
      </c>
      <c r="H9" s="4" t="s">
        <v>27</v>
      </c>
      <c r="I9" s="4" t="s">
        <v>11</v>
      </c>
      <c r="J9" s="4" t="s">
        <v>5</v>
      </c>
      <c r="K9" s="4" t="s">
        <v>18</v>
      </c>
      <c r="L9" s="4">
        <v>0</v>
      </c>
      <c r="M9" s="4">
        <v>0</v>
      </c>
      <c r="N9" s="4">
        <v>20</v>
      </c>
      <c r="O9" s="4" t="s">
        <v>7</v>
      </c>
      <c r="P9" s="4" t="s">
        <v>8</v>
      </c>
      <c r="Q9" s="4" t="e">
        <f>IF(Tabela2[[#This Row],[sex]]="Female",Tabela2[[#This Row],[hours-per-week]],NA())</f>
        <v>#N/A</v>
      </c>
      <c r="R9" s="4">
        <f>IF(Tabela2[[#This Row],[sex]]="Male",Tabela2[[#This Row],[hours-per-week]],NA())</f>
        <v>20</v>
      </c>
    </row>
    <row r="10" spans="1:18">
      <c r="A10" s="3" t="s">
        <v>101</v>
      </c>
      <c r="B10" s="4">
        <v>34</v>
      </c>
      <c r="C10" s="4" t="s">
        <v>0</v>
      </c>
      <c r="D10" s="4">
        <v>148291</v>
      </c>
      <c r="E10" s="4" t="s">
        <v>28</v>
      </c>
      <c r="F10" s="4">
        <v>9</v>
      </c>
      <c r="G10" s="4" t="s">
        <v>29</v>
      </c>
      <c r="H10" s="4" t="s">
        <v>30</v>
      </c>
      <c r="I10" s="4" t="s">
        <v>31</v>
      </c>
      <c r="J10" s="4" t="s">
        <v>5</v>
      </c>
      <c r="K10" s="4" t="s">
        <v>6</v>
      </c>
      <c r="L10" s="4">
        <v>0</v>
      </c>
      <c r="M10" s="4">
        <v>0</v>
      </c>
      <c r="N10" s="4">
        <v>32</v>
      </c>
      <c r="O10" s="4" t="s">
        <v>7</v>
      </c>
      <c r="P10" s="4" t="s">
        <v>8</v>
      </c>
      <c r="Q10" s="4">
        <f>IF(Tabela2[[#This Row],[sex]]="Female",Tabela2[[#This Row],[hours-per-week]],NA())</f>
        <v>32</v>
      </c>
      <c r="R10" s="4" t="e">
        <f>IF(Tabela2[[#This Row],[sex]]="Male",Tabela2[[#This Row],[hours-per-week]],NA())</f>
        <v>#N/A</v>
      </c>
    </row>
    <row r="11" spans="1:18">
      <c r="A11" s="3" t="s">
        <v>102</v>
      </c>
      <c r="B11" s="4">
        <v>54</v>
      </c>
      <c r="C11" s="4" t="s">
        <v>0</v>
      </c>
      <c r="D11" s="4">
        <v>212960</v>
      </c>
      <c r="E11" s="4" t="s">
        <v>26</v>
      </c>
      <c r="F11" s="4">
        <v>13</v>
      </c>
      <c r="G11" s="4" t="s">
        <v>29</v>
      </c>
      <c r="H11" s="4" t="s">
        <v>10</v>
      </c>
      <c r="I11" s="4" t="s">
        <v>32</v>
      </c>
      <c r="J11" s="4" t="s">
        <v>5</v>
      </c>
      <c r="K11" s="4" t="s">
        <v>18</v>
      </c>
      <c r="L11" s="4">
        <v>0</v>
      </c>
      <c r="M11" s="4">
        <v>0</v>
      </c>
      <c r="N11" s="4">
        <v>35</v>
      </c>
      <c r="O11" s="4" t="s">
        <v>7</v>
      </c>
      <c r="P11" s="4" t="s">
        <v>19</v>
      </c>
      <c r="Q11" s="4" t="e">
        <f>IF(Tabela2[[#This Row],[sex]]="Female",Tabela2[[#This Row],[hours-per-week]],NA())</f>
        <v>#N/A</v>
      </c>
      <c r="R11" s="4">
        <f>IF(Tabela2[[#This Row],[sex]]="Male",Tabela2[[#This Row],[hours-per-week]],NA())</f>
        <v>35</v>
      </c>
    </row>
    <row r="12" spans="1:18">
      <c r="A12" s="3" t="s">
        <v>103</v>
      </c>
      <c r="B12" s="4">
        <v>30</v>
      </c>
      <c r="C12" s="4" t="s">
        <v>0</v>
      </c>
      <c r="D12" s="4">
        <v>103649</v>
      </c>
      <c r="E12" s="4" t="s">
        <v>26</v>
      </c>
      <c r="F12" s="4">
        <v>13</v>
      </c>
      <c r="G12" s="4" t="s">
        <v>29</v>
      </c>
      <c r="H12" s="4" t="s">
        <v>33</v>
      </c>
      <c r="I12" s="4" t="s">
        <v>31</v>
      </c>
      <c r="J12" s="4" t="s">
        <v>23</v>
      </c>
      <c r="K12" s="4" t="s">
        <v>6</v>
      </c>
      <c r="L12" s="4">
        <v>0</v>
      </c>
      <c r="M12" s="4">
        <v>0</v>
      </c>
      <c r="N12" s="4">
        <v>40</v>
      </c>
      <c r="O12" s="4" t="s">
        <v>7</v>
      </c>
      <c r="P12" s="4" t="s">
        <v>19</v>
      </c>
      <c r="Q12" s="4">
        <f>IF(Tabela2[[#This Row],[sex]]="Female",Tabela2[[#This Row],[hours-per-week]],NA())</f>
        <v>40</v>
      </c>
      <c r="R12" s="4" t="e">
        <f>IF(Tabela2[[#This Row],[sex]]="Male",Tabela2[[#This Row],[hours-per-week]],NA())</f>
        <v>#N/A</v>
      </c>
    </row>
    <row r="13" spans="1:18">
      <c r="A13" s="3" t="s">
        <v>104</v>
      </c>
      <c r="B13" s="4">
        <v>42</v>
      </c>
      <c r="C13" s="4" t="s">
        <v>0</v>
      </c>
      <c r="D13" s="4">
        <v>247019</v>
      </c>
      <c r="E13" s="4" t="s">
        <v>28</v>
      </c>
      <c r="F13" s="4">
        <v>9</v>
      </c>
      <c r="G13" s="4" t="s">
        <v>29</v>
      </c>
      <c r="H13" s="4" t="s">
        <v>16</v>
      </c>
      <c r="I13" s="4" t="s">
        <v>32</v>
      </c>
      <c r="J13" s="4" t="s">
        <v>23</v>
      </c>
      <c r="K13" s="4" t="s">
        <v>18</v>
      </c>
      <c r="L13" s="4">
        <v>0</v>
      </c>
      <c r="M13" s="4">
        <v>0</v>
      </c>
      <c r="N13" s="4">
        <v>40</v>
      </c>
      <c r="O13" s="4" t="s">
        <v>7</v>
      </c>
      <c r="P13" s="4" t="s">
        <v>19</v>
      </c>
      <c r="Q13" s="4" t="e">
        <f>IF(Tabela2[[#This Row],[sex]]="Female",Tabela2[[#This Row],[hours-per-week]],NA())</f>
        <v>#N/A</v>
      </c>
      <c r="R13" s="4">
        <f>IF(Tabela2[[#This Row],[sex]]="Male",Tabela2[[#This Row],[hours-per-week]],NA())</f>
        <v>40</v>
      </c>
    </row>
    <row r="14" spans="1:18">
      <c r="A14" s="3" t="s">
        <v>105</v>
      </c>
      <c r="B14" s="4">
        <v>21</v>
      </c>
      <c r="C14" s="4" t="s">
        <v>0</v>
      </c>
      <c r="D14" s="4">
        <v>163870</v>
      </c>
      <c r="E14" s="4" t="s">
        <v>12</v>
      </c>
      <c r="F14" s="4">
        <v>10</v>
      </c>
      <c r="G14" s="4" t="s">
        <v>2</v>
      </c>
      <c r="H14" s="4" t="s">
        <v>34</v>
      </c>
      <c r="I14" s="4" t="s">
        <v>4</v>
      </c>
      <c r="J14" s="4" t="s">
        <v>5</v>
      </c>
      <c r="K14" s="4" t="s">
        <v>18</v>
      </c>
      <c r="L14" s="4">
        <v>0</v>
      </c>
      <c r="M14" s="4">
        <v>0</v>
      </c>
      <c r="N14" s="4">
        <v>30</v>
      </c>
      <c r="O14" s="4" t="s">
        <v>7</v>
      </c>
      <c r="P14" s="4" t="s">
        <v>8</v>
      </c>
      <c r="Q14" s="4" t="e">
        <f>IF(Tabela2[[#This Row],[sex]]="Female",Tabela2[[#This Row],[hours-per-week]],NA())</f>
        <v>#N/A</v>
      </c>
      <c r="R14" s="4">
        <f>IF(Tabela2[[#This Row],[sex]]="Male",Tabela2[[#This Row],[hours-per-week]],NA())</f>
        <v>30</v>
      </c>
    </row>
    <row r="15" spans="1:18">
      <c r="A15" s="3" t="s">
        <v>106</v>
      </c>
      <c r="B15" s="4">
        <v>36</v>
      </c>
      <c r="C15" s="4" t="s">
        <v>0</v>
      </c>
      <c r="D15" s="4">
        <v>70282</v>
      </c>
      <c r="E15" s="4" t="s">
        <v>12</v>
      </c>
      <c r="F15" s="4">
        <v>10</v>
      </c>
      <c r="G15" s="4" t="s">
        <v>15</v>
      </c>
      <c r="H15" s="4" t="s">
        <v>33</v>
      </c>
      <c r="I15" s="4" t="s">
        <v>35</v>
      </c>
      <c r="J15" s="4" t="s">
        <v>23</v>
      </c>
      <c r="K15" s="4" t="s">
        <v>6</v>
      </c>
      <c r="L15" s="4">
        <v>0</v>
      </c>
      <c r="M15" s="4">
        <v>0</v>
      </c>
      <c r="N15" s="4">
        <v>40</v>
      </c>
      <c r="O15" s="4" t="s">
        <v>7</v>
      </c>
      <c r="P15" s="4" t="s">
        <v>8</v>
      </c>
      <c r="Q15" s="4">
        <f>IF(Tabela2[[#This Row],[sex]]="Female",Tabela2[[#This Row],[hours-per-week]],NA())</f>
        <v>40</v>
      </c>
      <c r="R15" s="4" t="e">
        <f>IF(Tabela2[[#This Row],[sex]]="Male",Tabela2[[#This Row],[hours-per-week]],NA())</f>
        <v>#N/A</v>
      </c>
    </row>
    <row r="16" spans="1:18">
      <c r="A16" s="3" t="s">
        <v>107</v>
      </c>
      <c r="B16" s="4">
        <v>31</v>
      </c>
      <c r="C16" s="4" t="s">
        <v>0</v>
      </c>
      <c r="D16" s="4">
        <v>295697</v>
      </c>
      <c r="E16" s="4" t="s">
        <v>28</v>
      </c>
      <c r="F16" s="4">
        <v>9</v>
      </c>
      <c r="G16" s="4" t="s">
        <v>21</v>
      </c>
      <c r="H16" s="4" t="s">
        <v>3</v>
      </c>
      <c r="I16" s="4" t="s">
        <v>35</v>
      </c>
      <c r="J16" s="4" t="s">
        <v>23</v>
      </c>
      <c r="K16" s="4" t="s">
        <v>6</v>
      </c>
      <c r="L16" s="4">
        <v>0</v>
      </c>
      <c r="M16" s="4">
        <v>0</v>
      </c>
      <c r="N16" s="4">
        <v>40</v>
      </c>
      <c r="O16" s="4" t="s">
        <v>7</v>
      </c>
      <c r="P16" s="4" t="s">
        <v>8</v>
      </c>
      <c r="Q16" s="4">
        <f>IF(Tabela2[[#This Row],[sex]]="Female",Tabela2[[#This Row],[hours-per-week]],NA())</f>
        <v>40</v>
      </c>
      <c r="R16" s="4" t="e">
        <f>IF(Tabela2[[#This Row],[sex]]="Male",Tabela2[[#This Row],[hours-per-week]],NA())</f>
        <v>#N/A</v>
      </c>
    </row>
    <row r="17" spans="1:23">
      <c r="A17" s="3" t="s">
        <v>108</v>
      </c>
      <c r="B17" s="4">
        <v>55</v>
      </c>
      <c r="C17" s="4" t="s">
        <v>0</v>
      </c>
      <c r="D17" s="4">
        <v>173093</v>
      </c>
      <c r="E17" s="4" t="s">
        <v>12</v>
      </c>
      <c r="F17" s="4">
        <v>10</v>
      </c>
      <c r="G17" s="4" t="s">
        <v>15</v>
      </c>
      <c r="H17" s="4" t="s">
        <v>33</v>
      </c>
      <c r="I17" s="4" t="s">
        <v>11</v>
      </c>
      <c r="J17" s="4" t="s">
        <v>36</v>
      </c>
      <c r="K17" s="4" t="s">
        <v>6</v>
      </c>
      <c r="L17" s="4">
        <v>0</v>
      </c>
      <c r="M17" s="4">
        <v>0</v>
      </c>
      <c r="N17" s="4">
        <v>40</v>
      </c>
      <c r="O17" s="4" t="s">
        <v>7</v>
      </c>
      <c r="P17" s="4" t="s">
        <v>8</v>
      </c>
      <c r="Q17" s="4">
        <f>IF(Tabela2[[#This Row],[sex]]="Female",Tabela2[[#This Row],[hours-per-week]],NA())</f>
        <v>40</v>
      </c>
      <c r="R17" s="4" t="e">
        <f>IF(Tabela2[[#This Row],[sex]]="Male",Tabela2[[#This Row],[hours-per-week]],NA())</f>
        <v>#N/A</v>
      </c>
    </row>
    <row r="18" spans="1:23">
      <c r="A18" s="3" t="s">
        <v>109</v>
      </c>
      <c r="B18" s="4">
        <v>45</v>
      </c>
      <c r="C18" s="4" t="s">
        <v>37</v>
      </c>
      <c r="D18" s="4">
        <v>51164</v>
      </c>
      <c r="E18" s="4" t="s">
        <v>12</v>
      </c>
      <c r="F18" s="4">
        <v>10</v>
      </c>
      <c r="G18" s="4" t="s">
        <v>29</v>
      </c>
      <c r="H18" s="4" t="s">
        <v>37</v>
      </c>
      <c r="I18" s="4" t="s">
        <v>31</v>
      </c>
      <c r="J18" s="4" t="s">
        <v>23</v>
      </c>
      <c r="K18" s="4" t="s">
        <v>6</v>
      </c>
      <c r="L18" s="4">
        <v>0</v>
      </c>
      <c r="M18" s="4">
        <v>0</v>
      </c>
      <c r="N18" s="4">
        <v>40</v>
      </c>
      <c r="O18" s="4" t="s">
        <v>7</v>
      </c>
      <c r="P18" s="4" t="s">
        <v>8</v>
      </c>
      <c r="Q18" s="4">
        <f>IF(Tabela2[[#This Row],[sex]]="Female",Tabela2[[#This Row],[hours-per-week]],NA())</f>
        <v>40</v>
      </c>
      <c r="R18" s="4" t="e">
        <f>IF(Tabela2[[#This Row],[sex]]="Male",Tabela2[[#This Row],[hours-per-week]],NA())</f>
        <v>#N/A</v>
      </c>
      <c r="T18" t="s">
        <v>755</v>
      </c>
      <c r="U18">
        <f>AVERAGE(B2:B644)</f>
        <v>38.586314152410573</v>
      </c>
      <c r="W18" t="s">
        <v>757</v>
      </c>
    </row>
    <row r="19" spans="1:23">
      <c r="A19" s="3" t="s">
        <v>110</v>
      </c>
      <c r="B19" s="4">
        <v>23</v>
      </c>
      <c r="C19" s="4" t="s">
        <v>0</v>
      </c>
      <c r="D19" s="4">
        <v>145111</v>
      </c>
      <c r="E19" s="4" t="s">
        <v>28</v>
      </c>
      <c r="F19" s="4">
        <v>9</v>
      </c>
      <c r="G19" s="4" t="s">
        <v>2</v>
      </c>
      <c r="H19" s="4" t="s">
        <v>38</v>
      </c>
      <c r="I19" s="4" t="s">
        <v>35</v>
      </c>
      <c r="J19" s="4" t="s">
        <v>5</v>
      </c>
      <c r="K19" s="4" t="s">
        <v>18</v>
      </c>
      <c r="L19" s="4">
        <v>0</v>
      </c>
      <c r="M19" s="4">
        <v>0</v>
      </c>
      <c r="N19" s="4">
        <v>50</v>
      </c>
      <c r="O19" s="4" t="s">
        <v>7</v>
      </c>
      <c r="P19" s="4" t="s">
        <v>8</v>
      </c>
      <c r="Q19" s="4" t="e">
        <f>IF(Tabela2[[#This Row],[sex]]="Female",Tabela2[[#This Row],[hours-per-week]],NA())</f>
        <v>#N/A</v>
      </c>
      <c r="R19" s="4">
        <f>IF(Tabela2[[#This Row],[sex]]="Male",Tabela2[[#This Row],[hours-per-week]],NA())</f>
        <v>50</v>
      </c>
      <c r="T19" t="s">
        <v>756</v>
      </c>
      <c r="U19">
        <f>_xlfn.STDEV.S(B2:B644)</f>
        <v>13.949506158396732</v>
      </c>
      <c r="W19" t="s">
        <v>758</v>
      </c>
    </row>
    <row r="20" spans="1:23">
      <c r="A20" s="3" t="s">
        <v>111</v>
      </c>
      <c r="B20" s="4">
        <v>40</v>
      </c>
      <c r="C20" s="4" t="s">
        <v>25</v>
      </c>
      <c r="D20" s="4">
        <v>188693</v>
      </c>
      <c r="E20" s="4" t="s">
        <v>39</v>
      </c>
      <c r="F20" s="4">
        <v>14</v>
      </c>
      <c r="G20" s="4" t="s">
        <v>29</v>
      </c>
      <c r="H20" s="4" t="s">
        <v>27</v>
      </c>
      <c r="I20" s="4" t="s">
        <v>32</v>
      </c>
      <c r="J20" s="4" t="s">
        <v>5</v>
      </c>
      <c r="K20" s="4" t="s">
        <v>18</v>
      </c>
      <c r="L20" s="4">
        <v>0</v>
      </c>
      <c r="M20" s="4">
        <v>0</v>
      </c>
      <c r="N20" s="4">
        <v>35</v>
      </c>
      <c r="O20" s="4" t="s">
        <v>7</v>
      </c>
      <c r="P20" s="4" t="s">
        <v>19</v>
      </c>
      <c r="Q20" s="4" t="e">
        <f>IF(Tabela2[[#This Row],[sex]]="Female",Tabela2[[#This Row],[hours-per-week]],NA())</f>
        <v>#N/A</v>
      </c>
      <c r="R20" s="4">
        <f>IF(Tabela2[[#This Row],[sex]]="Male",Tabela2[[#This Row],[hours-per-week]],NA())</f>
        <v>35</v>
      </c>
      <c r="W20" t="s">
        <v>759</v>
      </c>
    </row>
    <row r="21" spans="1:23">
      <c r="A21" s="3" t="s">
        <v>112</v>
      </c>
      <c r="B21" s="4">
        <v>37</v>
      </c>
      <c r="C21" s="4" t="s">
        <v>0</v>
      </c>
      <c r="D21" s="4">
        <v>215310</v>
      </c>
      <c r="E21" s="4" t="s">
        <v>28</v>
      </c>
      <c r="F21" s="4">
        <v>9</v>
      </c>
      <c r="G21" s="4" t="s">
        <v>29</v>
      </c>
      <c r="H21" s="4" t="s">
        <v>16</v>
      </c>
      <c r="I21" s="4" t="s">
        <v>32</v>
      </c>
      <c r="J21" s="4" t="s">
        <v>5</v>
      </c>
      <c r="K21" s="4" t="s">
        <v>18</v>
      </c>
      <c r="L21" s="4">
        <v>0</v>
      </c>
      <c r="M21" s="4">
        <v>0</v>
      </c>
      <c r="N21" s="4">
        <v>50</v>
      </c>
      <c r="O21" s="4" t="s">
        <v>7</v>
      </c>
      <c r="P21" s="4" t="s">
        <v>19</v>
      </c>
      <c r="Q21" s="4" t="e">
        <f>IF(Tabela2[[#This Row],[sex]]="Female",Tabela2[[#This Row],[hours-per-week]],NA())</f>
        <v>#N/A</v>
      </c>
      <c r="R21" s="4">
        <f>IF(Tabela2[[#This Row],[sex]]="Male",Tabela2[[#This Row],[hours-per-week]],NA())</f>
        <v>50</v>
      </c>
      <c r="T21" t="s">
        <v>760</v>
      </c>
      <c r="U21">
        <f>_xlfn.NORM.DIST(AO2, $U$18, $U$19, FALSE)</f>
        <v>6.2350530716379852E-4</v>
      </c>
    </row>
    <row r="22" spans="1:23">
      <c r="A22" s="3" t="s">
        <v>113</v>
      </c>
      <c r="B22" s="4">
        <v>43</v>
      </c>
      <c r="C22" s="4" t="s">
        <v>0</v>
      </c>
      <c r="D22" s="4">
        <v>173728</v>
      </c>
      <c r="E22" s="4" t="s">
        <v>26</v>
      </c>
      <c r="F22" s="4">
        <v>13</v>
      </c>
      <c r="G22" s="4" t="s">
        <v>21</v>
      </c>
      <c r="H22" s="4" t="s">
        <v>27</v>
      </c>
      <c r="I22" s="4" t="s">
        <v>35</v>
      </c>
      <c r="J22" s="4" t="s">
        <v>5</v>
      </c>
      <c r="K22" s="4" t="s">
        <v>6</v>
      </c>
      <c r="L22" s="4">
        <v>0</v>
      </c>
      <c r="M22" s="4">
        <v>0</v>
      </c>
      <c r="N22" s="4">
        <v>40</v>
      </c>
      <c r="O22" s="4" t="s">
        <v>7</v>
      </c>
      <c r="P22" s="4" t="s">
        <v>8</v>
      </c>
      <c r="Q22" s="4">
        <f>IF(Tabela2[[#This Row],[sex]]="Female",Tabela2[[#This Row],[hours-per-week]],NA())</f>
        <v>40</v>
      </c>
      <c r="R22" s="4" t="e">
        <f>IF(Tabela2[[#This Row],[sex]]="Male",Tabela2[[#This Row],[hours-per-week]],NA())</f>
        <v>#N/A</v>
      </c>
    </row>
    <row r="23" spans="1:23">
      <c r="A23" s="3" t="s">
        <v>114</v>
      </c>
      <c r="B23" s="4">
        <v>31</v>
      </c>
      <c r="C23" s="4" t="s">
        <v>0</v>
      </c>
      <c r="D23" s="4">
        <v>185732</v>
      </c>
      <c r="E23" s="4" t="s">
        <v>28</v>
      </c>
      <c r="F23" s="4">
        <v>9</v>
      </c>
      <c r="G23" s="4" t="s">
        <v>2</v>
      </c>
      <c r="H23" s="4" t="s">
        <v>3</v>
      </c>
      <c r="I23" s="4" t="s">
        <v>4</v>
      </c>
      <c r="J23" s="4" t="s">
        <v>5</v>
      </c>
      <c r="K23" s="4" t="s">
        <v>6</v>
      </c>
      <c r="L23" s="4">
        <v>0</v>
      </c>
      <c r="M23" s="4">
        <v>0</v>
      </c>
      <c r="N23" s="4">
        <v>30</v>
      </c>
      <c r="O23" s="4" t="s">
        <v>7</v>
      </c>
      <c r="P23" s="4" t="s">
        <v>8</v>
      </c>
      <c r="Q23" s="4">
        <f>IF(Tabela2[[#This Row],[sex]]="Female",Tabela2[[#This Row],[hours-per-week]],NA())</f>
        <v>30</v>
      </c>
      <c r="R23" s="4" t="e">
        <f>IF(Tabela2[[#This Row],[sex]]="Male",Tabela2[[#This Row],[hours-per-week]],NA())</f>
        <v>#N/A</v>
      </c>
    </row>
    <row r="24" spans="1:23">
      <c r="A24" s="3" t="s">
        <v>115</v>
      </c>
      <c r="B24" s="4">
        <v>28</v>
      </c>
      <c r="C24" s="4" t="s">
        <v>40</v>
      </c>
      <c r="D24" s="4">
        <v>218555</v>
      </c>
      <c r="E24" s="4" t="s">
        <v>12</v>
      </c>
      <c r="F24" s="4">
        <v>10</v>
      </c>
      <c r="G24" s="4" t="s">
        <v>2</v>
      </c>
      <c r="H24" s="4" t="s">
        <v>38</v>
      </c>
      <c r="I24" s="4" t="s">
        <v>11</v>
      </c>
      <c r="J24" s="4" t="s">
        <v>5</v>
      </c>
      <c r="K24" s="4" t="s">
        <v>18</v>
      </c>
      <c r="L24" s="4">
        <v>0</v>
      </c>
      <c r="M24" s="4">
        <v>1762</v>
      </c>
      <c r="N24" s="4">
        <v>40</v>
      </c>
      <c r="O24" s="4" t="s">
        <v>7</v>
      </c>
      <c r="P24" s="4" t="s">
        <v>8</v>
      </c>
      <c r="Q24" s="4" t="e">
        <f>IF(Tabela2[[#This Row],[sex]]="Female",Tabela2[[#This Row],[hours-per-week]],NA())</f>
        <v>#N/A</v>
      </c>
      <c r="R24" s="4">
        <f>IF(Tabela2[[#This Row],[sex]]="Male",Tabela2[[#This Row],[hours-per-week]],NA())</f>
        <v>40</v>
      </c>
    </row>
    <row r="25" spans="1:23">
      <c r="A25" s="3" t="s">
        <v>116</v>
      </c>
      <c r="B25" s="4">
        <v>29</v>
      </c>
      <c r="C25" s="4" t="s">
        <v>41</v>
      </c>
      <c r="D25" s="4">
        <v>301010</v>
      </c>
      <c r="E25" s="4" t="s">
        <v>12</v>
      </c>
      <c r="F25" s="4">
        <v>10</v>
      </c>
      <c r="G25" s="4" t="s">
        <v>2</v>
      </c>
      <c r="H25" s="4" t="s">
        <v>42</v>
      </c>
      <c r="I25" s="4" t="s">
        <v>11</v>
      </c>
      <c r="J25" s="4" t="s">
        <v>23</v>
      </c>
      <c r="K25" s="4" t="s">
        <v>18</v>
      </c>
      <c r="L25" s="4">
        <v>0</v>
      </c>
      <c r="M25" s="4">
        <v>0</v>
      </c>
      <c r="N25" s="4">
        <v>60</v>
      </c>
      <c r="O25" s="4" t="s">
        <v>7</v>
      </c>
      <c r="P25" s="4" t="s">
        <v>8</v>
      </c>
      <c r="Q25" s="4" t="e">
        <f>IF(Tabela2[[#This Row],[sex]]="Female",Tabela2[[#This Row],[hours-per-week]],NA())</f>
        <v>#N/A</v>
      </c>
      <c r="R25" s="4">
        <f>IF(Tabela2[[#This Row],[sex]]="Male",Tabela2[[#This Row],[hours-per-week]],NA())</f>
        <v>60</v>
      </c>
    </row>
    <row r="26" spans="1:23">
      <c r="A26" s="3" t="s">
        <v>117</v>
      </c>
      <c r="B26" s="4">
        <v>17</v>
      </c>
      <c r="C26" s="4" t="s">
        <v>37</v>
      </c>
      <c r="D26" s="4">
        <v>138507</v>
      </c>
      <c r="E26" s="4" t="s">
        <v>43</v>
      </c>
      <c r="F26" s="4">
        <v>6</v>
      </c>
      <c r="G26" s="4" t="s">
        <v>2</v>
      </c>
      <c r="H26" s="4" t="s">
        <v>37</v>
      </c>
      <c r="I26" s="4" t="s">
        <v>4</v>
      </c>
      <c r="J26" s="4" t="s">
        <v>5</v>
      </c>
      <c r="K26" s="4" t="s">
        <v>18</v>
      </c>
      <c r="L26" s="4">
        <v>0</v>
      </c>
      <c r="M26" s="4">
        <v>0</v>
      </c>
      <c r="N26" s="4">
        <v>20</v>
      </c>
      <c r="O26" s="4" t="s">
        <v>7</v>
      </c>
      <c r="P26" s="4" t="s">
        <v>8</v>
      </c>
      <c r="Q26" s="4" t="e">
        <f>IF(Tabela2[[#This Row],[sex]]="Female",Tabela2[[#This Row],[hours-per-week]],NA())</f>
        <v>#N/A</v>
      </c>
      <c r="R26" s="4">
        <f>IF(Tabela2[[#This Row],[sex]]="Male",Tabela2[[#This Row],[hours-per-week]],NA())</f>
        <v>20</v>
      </c>
    </row>
    <row r="27" spans="1:23">
      <c r="A27" s="3" t="s">
        <v>118</v>
      </c>
      <c r="B27" s="4">
        <v>17</v>
      </c>
      <c r="C27" s="4" t="s">
        <v>0</v>
      </c>
      <c r="D27" s="4">
        <v>197850</v>
      </c>
      <c r="E27" s="4" t="s">
        <v>1</v>
      </c>
      <c r="F27" s="4">
        <v>7</v>
      </c>
      <c r="G27" s="4" t="s">
        <v>2</v>
      </c>
      <c r="H27" s="4" t="s">
        <v>33</v>
      </c>
      <c r="I27" s="4" t="s">
        <v>4</v>
      </c>
      <c r="J27" s="4" t="s">
        <v>36</v>
      </c>
      <c r="K27" s="4" t="s">
        <v>6</v>
      </c>
      <c r="L27" s="4">
        <v>0</v>
      </c>
      <c r="M27" s="4">
        <v>0</v>
      </c>
      <c r="N27" s="4">
        <v>24</v>
      </c>
      <c r="O27" s="4" t="s">
        <v>7</v>
      </c>
      <c r="P27" s="4" t="s">
        <v>8</v>
      </c>
      <c r="Q27" s="4">
        <f>IF(Tabela2[[#This Row],[sex]]="Female",Tabela2[[#This Row],[hours-per-week]],NA())</f>
        <v>24</v>
      </c>
      <c r="R27" s="4" t="e">
        <f>IF(Tabela2[[#This Row],[sex]]="Male",Tabela2[[#This Row],[hours-per-week]],NA())</f>
        <v>#N/A</v>
      </c>
    </row>
    <row r="28" spans="1:23">
      <c r="A28" s="3" t="s">
        <v>119</v>
      </c>
      <c r="B28" s="4">
        <v>66</v>
      </c>
      <c r="C28" s="4" t="s">
        <v>40</v>
      </c>
      <c r="D28" s="4">
        <v>298834</v>
      </c>
      <c r="E28" s="4" t="s">
        <v>44</v>
      </c>
      <c r="F28" s="4">
        <v>11</v>
      </c>
      <c r="G28" s="4" t="s">
        <v>29</v>
      </c>
      <c r="H28" s="4" t="s">
        <v>27</v>
      </c>
      <c r="I28" s="4" t="s">
        <v>32</v>
      </c>
      <c r="J28" s="4" t="s">
        <v>5</v>
      </c>
      <c r="K28" s="4" t="s">
        <v>18</v>
      </c>
      <c r="L28" s="4">
        <v>0</v>
      </c>
      <c r="M28" s="4">
        <v>0</v>
      </c>
      <c r="N28" s="4">
        <v>50</v>
      </c>
      <c r="O28" s="4" t="s">
        <v>7</v>
      </c>
      <c r="P28" s="4" t="s">
        <v>8</v>
      </c>
      <c r="Q28" s="4" t="e">
        <f>IF(Tabela2[[#This Row],[sex]]="Female",Tabela2[[#This Row],[hours-per-week]],NA())</f>
        <v>#N/A</v>
      </c>
      <c r="R28" s="4">
        <f>IF(Tabela2[[#This Row],[sex]]="Male",Tabela2[[#This Row],[hours-per-week]],NA())</f>
        <v>50</v>
      </c>
    </row>
    <row r="29" spans="1:23">
      <c r="A29" s="3" t="s">
        <v>120</v>
      </c>
      <c r="B29" s="4">
        <v>69</v>
      </c>
      <c r="C29" s="4" t="s">
        <v>37</v>
      </c>
      <c r="D29" s="4">
        <v>473040</v>
      </c>
      <c r="E29" s="4" t="s">
        <v>14</v>
      </c>
      <c r="F29" s="4">
        <v>3</v>
      </c>
      <c r="G29" s="4" t="s">
        <v>15</v>
      </c>
      <c r="H29" s="4" t="s">
        <v>37</v>
      </c>
      <c r="I29" s="4" t="s">
        <v>11</v>
      </c>
      <c r="J29" s="4" t="s">
        <v>5</v>
      </c>
      <c r="K29" s="4" t="s">
        <v>18</v>
      </c>
      <c r="L29" s="4">
        <v>0</v>
      </c>
      <c r="M29" s="4">
        <v>0</v>
      </c>
      <c r="N29" s="4">
        <v>40</v>
      </c>
      <c r="O29" s="4" t="s">
        <v>7</v>
      </c>
      <c r="P29" s="4" t="s">
        <v>8</v>
      </c>
      <c r="Q29" s="4" t="e">
        <f>IF(Tabela2[[#This Row],[sex]]="Female",Tabela2[[#This Row],[hours-per-week]],NA())</f>
        <v>#N/A</v>
      </c>
      <c r="R29" s="4">
        <f>IF(Tabela2[[#This Row],[sex]]="Male",Tabela2[[#This Row],[hours-per-week]],NA())</f>
        <v>40</v>
      </c>
    </row>
    <row r="30" spans="1:23">
      <c r="A30" s="3" t="s">
        <v>121</v>
      </c>
      <c r="B30" s="4">
        <v>27</v>
      </c>
      <c r="C30" s="4" t="s">
        <v>0</v>
      </c>
      <c r="D30" s="4">
        <v>168107</v>
      </c>
      <c r="E30" s="4" t="s">
        <v>26</v>
      </c>
      <c r="F30" s="4">
        <v>13</v>
      </c>
      <c r="G30" s="4" t="s">
        <v>29</v>
      </c>
      <c r="H30" s="4" t="s">
        <v>16</v>
      </c>
      <c r="I30" s="4" t="s">
        <v>32</v>
      </c>
      <c r="J30" s="4" t="s">
        <v>5</v>
      </c>
      <c r="K30" s="4" t="s">
        <v>18</v>
      </c>
      <c r="L30" s="4">
        <v>0</v>
      </c>
      <c r="M30" s="4">
        <v>0</v>
      </c>
      <c r="N30" s="4">
        <v>40</v>
      </c>
      <c r="O30" s="4" t="s">
        <v>7</v>
      </c>
      <c r="P30" s="4" t="s">
        <v>8</v>
      </c>
      <c r="Q30" s="4" t="e">
        <f>IF(Tabela2[[#This Row],[sex]]="Female",Tabela2[[#This Row],[hours-per-week]],NA())</f>
        <v>#N/A</v>
      </c>
      <c r="R30" s="4">
        <f>IF(Tabela2[[#This Row],[sex]]="Male",Tabela2[[#This Row],[hours-per-week]],NA())</f>
        <v>40</v>
      </c>
    </row>
    <row r="31" spans="1:23">
      <c r="A31" s="3" t="s">
        <v>122</v>
      </c>
      <c r="B31" s="4">
        <v>26</v>
      </c>
      <c r="C31" s="4" t="s">
        <v>0</v>
      </c>
      <c r="D31" s="4">
        <v>294493</v>
      </c>
      <c r="E31" s="4" t="s">
        <v>26</v>
      </c>
      <c r="F31" s="4">
        <v>13</v>
      </c>
      <c r="G31" s="4" t="s">
        <v>2</v>
      </c>
      <c r="H31" s="4" t="s">
        <v>16</v>
      </c>
      <c r="I31" s="4" t="s">
        <v>45</v>
      </c>
      <c r="J31" s="4" t="s">
        <v>5</v>
      </c>
      <c r="K31" s="4" t="s">
        <v>18</v>
      </c>
      <c r="L31" s="4">
        <v>0</v>
      </c>
      <c r="M31" s="4">
        <v>0</v>
      </c>
      <c r="N31" s="4">
        <v>40</v>
      </c>
      <c r="O31" s="4" t="s">
        <v>7</v>
      </c>
      <c r="P31" s="4" t="s">
        <v>8</v>
      </c>
      <c r="Q31" s="4" t="e">
        <f>IF(Tabela2[[#This Row],[sex]]="Female",Tabela2[[#This Row],[hours-per-week]],NA())</f>
        <v>#N/A</v>
      </c>
      <c r="R31" s="4">
        <f>IF(Tabela2[[#This Row],[sex]]="Male",Tabela2[[#This Row],[hours-per-week]],NA())</f>
        <v>40</v>
      </c>
    </row>
    <row r="32" spans="1:23">
      <c r="A32" s="3" t="s">
        <v>123</v>
      </c>
      <c r="B32" s="4">
        <v>50</v>
      </c>
      <c r="C32" s="4" t="s">
        <v>0</v>
      </c>
      <c r="D32" s="4">
        <v>171338</v>
      </c>
      <c r="E32" s="4" t="s">
        <v>12</v>
      </c>
      <c r="F32" s="4">
        <v>10</v>
      </c>
      <c r="G32" s="4" t="s">
        <v>29</v>
      </c>
      <c r="H32" s="4" t="s">
        <v>46</v>
      </c>
      <c r="I32" s="4" t="s">
        <v>32</v>
      </c>
      <c r="J32" s="4" t="s">
        <v>5</v>
      </c>
      <c r="K32" s="4" t="s">
        <v>18</v>
      </c>
      <c r="L32" s="4">
        <v>99999</v>
      </c>
      <c r="M32" s="4">
        <v>0</v>
      </c>
      <c r="N32" s="4">
        <v>50</v>
      </c>
      <c r="O32" s="4" t="s">
        <v>7</v>
      </c>
      <c r="P32" s="4" t="s">
        <v>19</v>
      </c>
      <c r="Q32" s="4" t="e">
        <f>IF(Tabela2[[#This Row],[sex]]="Female",Tabela2[[#This Row],[hours-per-week]],NA())</f>
        <v>#N/A</v>
      </c>
      <c r="R32" s="4">
        <f>IF(Tabela2[[#This Row],[sex]]="Male",Tabela2[[#This Row],[hours-per-week]],NA())</f>
        <v>50</v>
      </c>
    </row>
    <row r="33" spans="1:18">
      <c r="A33" s="3" t="s">
        <v>124</v>
      </c>
      <c r="B33" s="4">
        <v>59</v>
      </c>
      <c r="C33" s="4" t="s">
        <v>0</v>
      </c>
      <c r="D33" s="4">
        <v>183606</v>
      </c>
      <c r="E33" s="4" t="s">
        <v>1</v>
      </c>
      <c r="F33" s="4">
        <v>7</v>
      </c>
      <c r="G33" s="4" t="s">
        <v>29</v>
      </c>
      <c r="H33" s="4" t="s">
        <v>22</v>
      </c>
      <c r="I33" s="4" t="s">
        <v>32</v>
      </c>
      <c r="J33" s="4" t="s">
        <v>5</v>
      </c>
      <c r="K33" s="4" t="s">
        <v>18</v>
      </c>
      <c r="L33" s="4">
        <v>0</v>
      </c>
      <c r="M33" s="4">
        <v>0</v>
      </c>
      <c r="N33" s="4">
        <v>40</v>
      </c>
      <c r="O33" s="4" t="s">
        <v>7</v>
      </c>
      <c r="P33" s="4" t="s">
        <v>8</v>
      </c>
      <c r="Q33" s="4" t="e">
        <f>IF(Tabela2[[#This Row],[sex]]="Female",Tabela2[[#This Row],[hours-per-week]],NA())</f>
        <v>#N/A</v>
      </c>
      <c r="R33" s="4">
        <f>IF(Tabela2[[#This Row],[sex]]="Male",Tabela2[[#This Row],[hours-per-week]],NA())</f>
        <v>40</v>
      </c>
    </row>
    <row r="34" spans="1:18">
      <c r="A34" s="3" t="s">
        <v>125</v>
      </c>
      <c r="B34" s="4">
        <v>37</v>
      </c>
      <c r="C34" s="4" t="s">
        <v>20</v>
      </c>
      <c r="D34" s="4">
        <v>118909</v>
      </c>
      <c r="E34" s="4" t="s">
        <v>28</v>
      </c>
      <c r="F34" s="4">
        <v>9</v>
      </c>
      <c r="G34" s="4" t="s">
        <v>15</v>
      </c>
      <c r="H34" s="4" t="s">
        <v>33</v>
      </c>
      <c r="I34" s="4" t="s">
        <v>35</v>
      </c>
      <c r="J34" s="4" t="s">
        <v>23</v>
      </c>
      <c r="K34" s="4" t="s">
        <v>6</v>
      </c>
      <c r="L34" s="4">
        <v>0</v>
      </c>
      <c r="M34" s="4">
        <v>0</v>
      </c>
      <c r="N34" s="4">
        <v>35</v>
      </c>
      <c r="O34" s="4" t="s">
        <v>7</v>
      </c>
      <c r="P34" s="4" t="s">
        <v>8</v>
      </c>
      <c r="Q34" s="4">
        <f>IF(Tabela2[[#This Row],[sex]]="Female",Tabela2[[#This Row],[hours-per-week]],NA())</f>
        <v>35</v>
      </c>
      <c r="R34" s="4" t="e">
        <f>IF(Tabela2[[#This Row],[sex]]="Male",Tabela2[[#This Row],[hours-per-week]],NA())</f>
        <v>#N/A</v>
      </c>
    </row>
    <row r="35" spans="1:18">
      <c r="A35" s="3" t="s">
        <v>126</v>
      </c>
      <c r="B35" s="4">
        <v>18</v>
      </c>
      <c r="C35" s="4" t="s">
        <v>0</v>
      </c>
      <c r="D35" s="4">
        <v>152545</v>
      </c>
      <c r="E35" s="4" t="s">
        <v>28</v>
      </c>
      <c r="F35" s="4">
        <v>9</v>
      </c>
      <c r="G35" s="4" t="s">
        <v>2</v>
      </c>
      <c r="H35" s="4" t="s">
        <v>3</v>
      </c>
      <c r="I35" s="4" t="s">
        <v>4</v>
      </c>
      <c r="J35" s="4" t="s">
        <v>5</v>
      </c>
      <c r="K35" s="4" t="s">
        <v>6</v>
      </c>
      <c r="L35" s="4">
        <v>0</v>
      </c>
      <c r="M35" s="4">
        <v>0</v>
      </c>
      <c r="N35" s="4">
        <v>8</v>
      </c>
      <c r="O35" s="4" t="s">
        <v>7</v>
      </c>
      <c r="P35" s="4" t="s">
        <v>8</v>
      </c>
      <c r="Q35" s="4">
        <f>IF(Tabela2[[#This Row],[sex]]="Female",Tabela2[[#This Row],[hours-per-week]],NA())</f>
        <v>8</v>
      </c>
      <c r="R35" s="4" t="e">
        <f>IF(Tabela2[[#This Row],[sex]]="Male",Tabela2[[#This Row],[hours-per-week]],NA())</f>
        <v>#N/A</v>
      </c>
    </row>
    <row r="36" spans="1:18">
      <c r="A36" s="3" t="s">
        <v>127</v>
      </c>
      <c r="B36" s="4">
        <v>21</v>
      </c>
      <c r="C36" s="4" t="s">
        <v>0</v>
      </c>
      <c r="D36" s="4">
        <v>165475</v>
      </c>
      <c r="E36" s="4" t="s">
        <v>28</v>
      </c>
      <c r="F36" s="4">
        <v>9</v>
      </c>
      <c r="G36" s="4" t="s">
        <v>29</v>
      </c>
      <c r="H36" s="4" t="s">
        <v>22</v>
      </c>
      <c r="I36" s="4" t="s">
        <v>32</v>
      </c>
      <c r="J36" s="4" t="s">
        <v>5</v>
      </c>
      <c r="K36" s="4" t="s">
        <v>18</v>
      </c>
      <c r="L36" s="4">
        <v>0</v>
      </c>
      <c r="M36" s="4">
        <v>0</v>
      </c>
      <c r="N36" s="4">
        <v>40</v>
      </c>
      <c r="O36" s="4" t="s">
        <v>7</v>
      </c>
      <c r="P36" s="4" t="s">
        <v>8</v>
      </c>
      <c r="Q36" s="4" t="e">
        <f>IF(Tabela2[[#This Row],[sex]]="Female",Tabela2[[#This Row],[hours-per-week]],NA())</f>
        <v>#N/A</v>
      </c>
      <c r="R36" s="4">
        <f>IF(Tabela2[[#This Row],[sex]]="Male",Tabela2[[#This Row],[hours-per-week]],NA())</f>
        <v>40</v>
      </c>
    </row>
    <row r="37" spans="1:18">
      <c r="A37" s="3" t="s">
        <v>128</v>
      </c>
      <c r="B37" s="4">
        <v>64</v>
      </c>
      <c r="C37" s="4" t="s">
        <v>0</v>
      </c>
      <c r="D37" s="4">
        <v>170483</v>
      </c>
      <c r="E37" s="4" t="s">
        <v>28</v>
      </c>
      <c r="F37" s="4">
        <v>9</v>
      </c>
      <c r="G37" s="4" t="s">
        <v>47</v>
      </c>
      <c r="H37" s="4" t="s">
        <v>3</v>
      </c>
      <c r="I37" s="4" t="s">
        <v>11</v>
      </c>
      <c r="J37" s="4" t="s">
        <v>5</v>
      </c>
      <c r="K37" s="4" t="s">
        <v>6</v>
      </c>
      <c r="L37" s="4">
        <v>0</v>
      </c>
      <c r="M37" s="4">
        <v>0</v>
      </c>
      <c r="N37" s="4">
        <v>38</v>
      </c>
      <c r="O37" s="4" t="s">
        <v>7</v>
      </c>
      <c r="P37" s="4" t="s">
        <v>8</v>
      </c>
      <c r="Q37" s="4">
        <f>IF(Tabela2[[#This Row],[sex]]="Female",Tabela2[[#This Row],[hours-per-week]],NA())</f>
        <v>38</v>
      </c>
      <c r="R37" s="4" t="e">
        <f>IF(Tabela2[[#This Row],[sex]]="Male",Tabela2[[#This Row],[hours-per-week]],NA())</f>
        <v>#N/A</v>
      </c>
    </row>
    <row r="38" spans="1:18">
      <c r="A38" s="3" t="s">
        <v>129</v>
      </c>
      <c r="B38" s="4">
        <v>50</v>
      </c>
      <c r="C38" s="4" t="s">
        <v>0</v>
      </c>
      <c r="D38" s="4">
        <v>112351</v>
      </c>
      <c r="E38" s="4" t="s">
        <v>28</v>
      </c>
      <c r="F38" s="4">
        <v>9</v>
      </c>
      <c r="G38" s="4" t="s">
        <v>15</v>
      </c>
      <c r="H38" s="4" t="s">
        <v>46</v>
      </c>
      <c r="I38" s="4" t="s">
        <v>35</v>
      </c>
      <c r="J38" s="4" t="s">
        <v>5</v>
      </c>
      <c r="K38" s="4" t="s">
        <v>18</v>
      </c>
      <c r="L38" s="4">
        <v>0</v>
      </c>
      <c r="M38" s="4">
        <v>0</v>
      </c>
      <c r="N38" s="4">
        <v>38</v>
      </c>
      <c r="O38" s="4" t="s">
        <v>7</v>
      </c>
      <c r="P38" s="4" t="s">
        <v>8</v>
      </c>
      <c r="Q38" s="4" t="e">
        <f>IF(Tabela2[[#This Row],[sex]]="Female",Tabela2[[#This Row],[hours-per-week]],NA())</f>
        <v>#N/A</v>
      </c>
      <c r="R38" s="4">
        <f>IF(Tabela2[[#This Row],[sex]]="Male",Tabela2[[#This Row],[hours-per-week]],NA())</f>
        <v>38</v>
      </c>
    </row>
    <row r="39" spans="1:18">
      <c r="A39" s="3" t="s">
        <v>130</v>
      </c>
      <c r="B39" s="4">
        <v>19</v>
      </c>
      <c r="C39" s="4" t="s">
        <v>0</v>
      </c>
      <c r="D39" s="4">
        <v>354104</v>
      </c>
      <c r="E39" s="4" t="s">
        <v>28</v>
      </c>
      <c r="F39" s="4">
        <v>9</v>
      </c>
      <c r="G39" s="4" t="s">
        <v>2</v>
      </c>
      <c r="H39" s="4" t="s">
        <v>34</v>
      </c>
      <c r="I39" s="4" t="s">
        <v>4</v>
      </c>
      <c r="J39" s="4" t="s">
        <v>5</v>
      </c>
      <c r="K39" s="4" t="s">
        <v>18</v>
      </c>
      <c r="L39" s="4">
        <v>0</v>
      </c>
      <c r="M39" s="4">
        <v>0</v>
      </c>
      <c r="N39" s="4">
        <v>30</v>
      </c>
      <c r="O39" s="4" t="s">
        <v>7</v>
      </c>
      <c r="P39" s="4" t="s">
        <v>8</v>
      </c>
      <c r="Q39" s="4" t="e">
        <f>IF(Tabela2[[#This Row],[sex]]="Female",Tabela2[[#This Row],[hours-per-week]],NA())</f>
        <v>#N/A</v>
      </c>
      <c r="R39" s="4">
        <f>IF(Tabela2[[#This Row],[sex]]="Male",Tabela2[[#This Row],[hours-per-week]],NA())</f>
        <v>30</v>
      </c>
    </row>
    <row r="40" spans="1:18">
      <c r="A40" s="3" t="s">
        <v>131</v>
      </c>
      <c r="B40" s="4">
        <v>28</v>
      </c>
      <c r="C40" s="4" t="s">
        <v>37</v>
      </c>
      <c r="D40" s="4">
        <v>308493</v>
      </c>
      <c r="E40" s="4" t="s">
        <v>28</v>
      </c>
      <c r="F40" s="4">
        <v>9</v>
      </c>
      <c r="G40" s="4" t="s">
        <v>29</v>
      </c>
      <c r="H40" s="4" t="s">
        <v>37</v>
      </c>
      <c r="I40" s="4" t="s">
        <v>31</v>
      </c>
      <c r="J40" s="4" t="s">
        <v>5</v>
      </c>
      <c r="K40" s="4" t="s">
        <v>6</v>
      </c>
      <c r="L40" s="4">
        <v>0</v>
      </c>
      <c r="M40" s="4">
        <v>0</v>
      </c>
      <c r="N40" s="4">
        <v>17</v>
      </c>
      <c r="O40" s="4" t="s">
        <v>48</v>
      </c>
      <c r="P40" s="4" t="s">
        <v>8</v>
      </c>
      <c r="Q40" s="4">
        <f>IF(Tabela2[[#This Row],[sex]]="Female",Tabela2[[#This Row],[hours-per-week]],NA())</f>
        <v>17</v>
      </c>
      <c r="R40" s="4" t="e">
        <f>IF(Tabela2[[#This Row],[sex]]="Male",Tabela2[[#This Row],[hours-per-week]],NA())</f>
        <v>#N/A</v>
      </c>
    </row>
    <row r="41" spans="1:18">
      <c r="A41" s="3" t="s">
        <v>132</v>
      </c>
      <c r="B41" s="4">
        <v>47</v>
      </c>
      <c r="C41" s="4" t="s">
        <v>0</v>
      </c>
      <c r="D41" s="4">
        <v>326857</v>
      </c>
      <c r="E41" s="4" t="s">
        <v>44</v>
      </c>
      <c r="F41" s="4">
        <v>11</v>
      </c>
      <c r="G41" s="4" t="s">
        <v>29</v>
      </c>
      <c r="H41" s="4" t="s">
        <v>16</v>
      </c>
      <c r="I41" s="4" t="s">
        <v>32</v>
      </c>
      <c r="J41" s="4" t="s">
        <v>5</v>
      </c>
      <c r="K41" s="4" t="s">
        <v>18</v>
      </c>
      <c r="L41" s="4">
        <v>5013</v>
      </c>
      <c r="M41" s="4">
        <v>0</v>
      </c>
      <c r="N41" s="4">
        <v>40</v>
      </c>
      <c r="O41" s="4" t="s">
        <v>7</v>
      </c>
      <c r="P41" s="4" t="s">
        <v>8</v>
      </c>
      <c r="Q41" s="4" t="e">
        <f>IF(Tabela2[[#This Row],[sex]]="Female",Tabela2[[#This Row],[hours-per-week]],NA())</f>
        <v>#N/A</v>
      </c>
      <c r="R41" s="4">
        <f>IF(Tabela2[[#This Row],[sex]]="Male",Tabela2[[#This Row],[hours-per-week]],NA())</f>
        <v>40</v>
      </c>
    </row>
    <row r="42" spans="1:18">
      <c r="A42" s="3" t="s">
        <v>133</v>
      </c>
      <c r="B42" s="4">
        <v>56</v>
      </c>
      <c r="C42" s="4" t="s">
        <v>20</v>
      </c>
      <c r="D42" s="4">
        <v>242670</v>
      </c>
      <c r="E42" s="4" t="s">
        <v>12</v>
      </c>
      <c r="F42" s="4">
        <v>10</v>
      </c>
      <c r="G42" s="4" t="s">
        <v>47</v>
      </c>
      <c r="H42" s="4" t="s">
        <v>33</v>
      </c>
      <c r="I42" s="4" t="s">
        <v>35</v>
      </c>
      <c r="J42" s="4" t="s">
        <v>5</v>
      </c>
      <c r="K42" s="4" t="s">
        <v>6</v>
      </c>
      <c r="L42" s="4">
        <v>0</v>
      </c>
      <c r="M42" s="4">
        <v>0</v>
      </c>
      <c r="N42" s="4">
        <v>40</v>
      </c>
      <c r="O42" s="4" t="s">
        <v>7</v>
      </c>
      <c r="P42" s="4" t="s">
        <v>8</v>
      </c>
      <c r="Q42" s="4">
        <f>IF(Tabela2[[#This Row],[sex]]="Female",Tabela2[[#This Row],[hours-per-week]],NA())</f>
        <v>40</v>
      </c>
      <c r="R42" s="4" t="e">
        <f>IF(Tabela2[[#This Row],[sex]]="Male",Tabela2[[#This Row],[hours-per-week]],NA())</f>
        <v>#N/A</v>
      </c>
    </row>
    <row r="43" spans="1:18">
      <c r="A43" s="3" t="s">
        <v>134</v>
      </c>
      <c r="B43" s="4">
        <v>26</v>
      </c>
      <c r="C43" s="4" t="s">
        <v>0</v>
      </c>
      <c r="D43" s="4">
        <v>60726</v>
      </c>
      <c r="E43" s="4" t="s">
        <v>12</v>
      </c>
      <c r="F43" s="4">
        <v>10</v>
      </c>
      <c r="G43" s="4" t="s">
        <v>29</v>
      </c>
      <c r="H43" s="4" t="s">
        <v>16</v>
      </c>
      <c r="I43" s="4" t="s">
        <v>32</v>
      </c>
      <c r="J43" s="4" t="s">
        <v>23</v>
      </c>
      <c r="K43" s="4" t="s">
        <v>18</v>
      </c>
      <c r="L43" s="4">
        <v>0</v>
      </c>
      <c r="M43" s="4">
        <v>0</v>
      </c>
      <c r="N43" s="4">
        <v>40</v>
      </c>
      <c r="O43" s="4" t="s">
        <v>7</v>
      </c>
      <c r="P43" s="4" t="s">
        <v>8</v>
      </c>
      <c r="Q43" s="4" t="e">
        <f>IF(Tabela2[[#This Row],[sex]]="Female",Tabela2[[#This Row],[hours-per-week]],NA())</f>
        <v>#N/A</v>
      </c>
      <c r="R43" s="4">
        <f>IF(Tabela2[[#This Row],[sex]]="Male",Tabela2[[#This Row],[hours-per-week]],NA())</f>
        <v>40</v>
      </c>
    </row>
    <row r="44" spans="1:18">
      <c r="A44" s="3" t="s">
        <v>135</v>
      </c>
      <c r="B44" s="4">
        <v>51</v>
      </c>
      <c r="C44" s="4" t="s">
        <v>0</v>
      </c>
      <c r="D44" s="4">
        <v>204322</v>
      </c>
      <c r="E44" s="4" t="s">
        <v>44</v>
      </c>
      <c r="F44" s="4">
        <v>11</v>
      </c>
      <c r="G44" s="4" t="s">
        <v>29</v>
      </c>
      <c r="H44" s="4" t="s">
        <v>34</v>
      </c>
      <c r="I44" s="4" t="s">
        <v>32</v>
      </c>
      <c r="J44" s="4" t="s">
        <v>5</v>
      </c>
      <c r="K44" s="4" t="s">
        <v>18</v>
      </c>
      <c r="L44" s="4">
        <v>0</v>
      </c>
      <c r="M44" s="4">
        <v>0</v>
      </c>
      <c r="N44" s="4">
        <v>40</v>
      </c>
      <c r="O44" s="4" t="s">
        <v>7</v>
      </c>
      <c r="P44" s="4" t="s">
        <v>19</v>
      </c>
      <c r="Q44" s="4" t="e">
        <f>IF(Tabela2[[#This Row],[sex]]="Female",Tabela2[[#This Row],[hours-per-week]],NA())</f>
        <v>#N/A</v>
      </c>
      <c r="R44" s="4">
        <f>IF(Tabela2[[#This Row],[sex]]="Male",Tabela2[[#This Row],[hours-per-week]],NA())</f>
        <v>40</v>
      </c>
    </row>
    <row r="45" spans="1:18">
      <c r="A45" s="3" t="s">
        <v>136</v>
      </c>
      <c r="B45" s="4">
        <v>20</v>
      </c>
      <c r="C45" s="4" t="s">
        <v>0</v>
      </c>
      <c r="D45" s="4">
        <v>236769</v>
      </c>
      <c r="E45" s="4" t="s">
        <v>12</v>
      </c>
      <c r="F45" s="4">
        <v>10</v>
      </c>
      <c r="G45" s="4" t="s">
        <v>2</v>
      </c>
      <c r="H45" s="4" t="s">
        <v>34</v>
      </c>
      <c r="I45" s="4" t="s">
        <v>4</v>
      </c>
      <c r="J45" s="4" t="s">
        <v>5</v>
      </c>
      <c r="K45" s="4" t="s">
        <v>18</v>
      </c>
      <c r="L45" s="4">
        <v>0</v>
      </c>
      <c r="M45" s="4">
        <v>0</v>
      </c>
      <c r="N45" s="4">
        <v>40</v>
      </c>
      <c r="O45" s="4" t="s">
        <v>7</v>
      </c>
      <c r="P45" s="4" t="s">
        <v>8</v>
      </c>
      <c r="Q45" s="4" t="e">
        <f>IF(Tabela2[[#This Row],[sex]]="Female",Tabela2[[#This Row],[hours-per-week]],NA())</f>
        <v>#N/A</v>
      </c>
      <c r="R45" s="4">
        <f>IF(Tabela2[[#This Row],[sex]]="Male",Tabela2[[#This Row],[hours-per-week]],NA())</f>
        <v>40</v>
      </c>
    </row>
    <row r="46" spans="1:18">
      <c r="A46" s="3" t="s">
        <v>137</v>
      </c>
      <c r="B46" s="4">
        <v>25</v>
      </c>
      <c r="C46" s="4" t="s">
        <v>0</v>
      </c>
      <c r="D46" s="4">
        <v>73289</v>
      </c>
      <c r="E46" s="4" t="s">
        <v>28</v>
      </c>
      <c r="F46" s="4">
        <v>9</v>
      </c>
      <c r="G46" s="4" t="s">
        <v>2</v>
      </c>
      <c r="H46" s="4" t="s">
        <v>38</v>
      </c>
      <c r="I46" s="4" t="s">
        <v>4</v>
      </c>
      <c r="J46" s="4" t="s">
        <v>5</v>
      </c>
      <c r="K46" s="4" t="s">
        <v>18</v>
      </c>
      <c r="L46" s="4">
        <v>0</v>
      </c>
      <c r="M46" s="4">
        <v>0</v>
      </c>
      <c r="N46" s="4">
        <v>40</v>
      </c>
      <c r="O46" s="4" t="s">
        <v>7</v>
      </c>
      <c r="P46" s="4" t="s">
        <v>8</v>
      </c>
      <c r="Q46" s="4" t="e">
        <f>IF(Tabela2[[#This Row],[sex]]="Female",Tabela2[[#This Row],[hours-per-week]],NA())</f>
        <v>#N/A</v>
      </c>
      <c r="R46" s="4">
        <f>IF(Tabela2[[#This Row],[sex]]="Male",Tabela2[[#This Row],[hours-per-week]],NA())</f>
        <v>40</v>
      </c>
    </row>
    <row r="47" spans="1:18">
      <c r="A47" s="3" t="s">
        <v>138</v>
      </c>
      <c r="B47" s="4">
        <v>46</v>
      </c>
      <c r="C47" s="4" t="s">
        <v>0</v>
      </c>
      <c r="D47" s="4">
        <v>109089</v>
      </c>
      <c r="E47" s="4" t="s">
        <v>28</v>
      </c>
      <c r="F47" s="4">
        <v>9</v>
      </c>
      <c r="G47" s="4" t="s">
        <v>15</v>
      </c>
      <c r="H47" s="4" t="s">
        <v>16</v>
      </c>
      <c r="I47" s="4" t="s">
        <v>11</v>
      </c>
      <c r="J47" s="4" t="s">
        <v>5</v>
      </c>
      <c r="K47" s="4" t="s">
        <v>18</v>
      </c>
      <c r="L47" s="4">
        <v>0</v>
      </c>
      <c r="M47" s="4">
        <v>0</v>
      </c>
      <c r="N47" s="4">
        <v>37</v>
      </c>
      <c r="O47" s="4" t="s">
        <v>7</v>
      </c>
      <c r="P47" s="4" t="s">
        <v>8</v>
      </c>
      <c r="Q47" s="4" t="e">
        <f>IF(Tabela2[[#This Row],[sex]]="Female",Tabela2[[#This Row],[hours-per-week]],NA())</f>
        <v>#N/A</v>
      </c>
      <c r="R47" s="4">
        <f>IF(Tabela2[[#This Row],[sex]]="Male",Tabela2[[#This Row],[hours-per-week]],NA())</f>
        <v>37</v>
      </c>
    </row>
    <row r="48" spans="1:18">
      <c r="A48" s="3" t="s">
        <v>139</v>
      </c>
      <c r="B48" s="4">
        <v>22</v>
      </c>
      <c r="C48" s="4" t="s">
        <v>0</v>
      </c>
      <c r="D48" s="4">
        <v>230574</v>
      </c>
      <c r="E48" s="4" t="s">
        <v>43</v>
      </c>
      <c r="F48" s="4">
        <v>6</v>
      </c>
      <c r="G48" s="4" t="s">
        <v>2</v>
      </c>
      <c r="H48" s="4" t="s">
        <v>38</v>
      </c>
      <c r="I48" s="4" t="s">
        <v>4</v>
      </c>
      <c r="J48" s="4" t="s">
        <v>5</v>
      </c>
      <c r="K48" s="4" t="s">
        <v>18</v>
      </c>
      <c r="L48" s="4">
        <v>0</v>
      </c>
      <c r="M48" s="4">
        <v>0</v>
      </c>
      <c r="N48" s="4">
        <v>25</v>
      </c>
      <c r="O48" s="4" t="s">
        <v>7</v>
      </c>
      <c r="P48" s="4" t="s">
        <v>8</v>
      </c>
      <c r="Q48" s="4" t="e">
        <f>IF(Tabela2[[#This Row],[sex]]="Female",Tabela2[[#This Row],[hours-per-week]],NA())</f>
        <v>#N/A</v>
      </c>
      <c r="R48" s="4">
        <f>IF(Tabela2[[#This Row],[sex]]="Male",Tabela2[[#This Row],[hours-per-week]],NA())</f>
        <v>25</v>
      </c>
    </row>
    <row r="49" spans="1:18">
      <c r="A49" s="3" t="s">
        <v>140</v>
      </c>
      <c r="B49" s="4">
        <v>37</v>
      </c>
      <c r="C49" s="4" t="s">
        <v>0</v>
      </c>
      <c r="D49" s="4">
        <v>65390</v>
      </c>
      <c r="E49" s="4" t="s">
        <v>26</v>
      </c>
      <c r="F49" s="4">
        <v>13</v>
      </c>
      <c r="G49" s="4" t="s">
        <v>29</v>
      </c>
      <c r="H49" s="4" t="s">
        <v>24</v>
      </c>
      <c r="I49" s="4" t="s">
        <v>32</v>
      </c>
      <c r="J49" s="4" t="s">
        <v>5</v>
      </c>
      <c r="K49" s="4" t="s">
        <v>18</v>
      </c>
      <c r="L49" s="4">
        <v>0</v>
      </c>
      <c r="M49" s="4">
        <v>0</v>
      </c>
      <c r="N49" s="4">
        <v>50</v>
      </c>
      <c r="O49" s="4" t="s">
        <v>7</v>
      </c>
      <c r="P49" s="4" t="s">
        <v>8</v>
      </c>
      <c r="Q49" s="4" t="e">
        <f>IF(Tabela2[[#This Row],[sex]]="Female",Tabela2[[#This Row],[hours-per-week]],NA())</f>
        <v>#N/A</v>
      </c>
      <c r="R49" s="4">
        <f>IF(Tabela2[[#This Row],[sex]]="Male",Tabela2[[#This Row],[hours-per-week]],NA())</f>
        <v>50</v>
      </c>
    </row>
    <row r="50" spans="1:18">
      <c r="A50" s="3" t="s">
        <v>141</v>
      </c>
      <c r="B50" s="4">
        <v>22</v>
      </c>
      <c r="C50" s="4" t="s">
        <v>0</v>
      </c>
      <c r="D50" s="4">
        <v>189950</v>
      </c>
      <c r="E50" s="4" t="s">
        <v>26</v>
      </c>
      <c r="F50" s="4">
        <v>13</v>
      </c>
      <c r="G50" s="4" t="s">
        <v>2</v>
      </c>
      <c r="H50" s="4" t="s">
        <v>27</v>
      </c>
      <c r="I50" s="4" t="s">
        <v>11</v>
      </c>
      <c r="J50" s="4" t="s">
        <v>5</v>
      </c>
      <c r="K50" s="4" t="s">
        <v>18</v>
      </c>
      <c r="L50" s="4">
        <v>0</v>
      </c>
      <c r="M50" s="4">
        <v>0</v>
      </c>
      <c r="N50" s="4">
        <v>55</v>
      </c>
      <c r="O50" s="4" t="s">
        <v>7</v>
      </c>
      <c r="P50" s="4" t="s">
        <v>8</v>
      </c>
      <c r="Q50" s="4" t="e">
        <f>IF(Tabela2[[#This Row],[sex]]="Female",Tabela2[[#This Row],[hours-per-week]],NA())</f>
        <v>#N/A</v>
      </c>
      <c r="R50" s="4">
        <f>IF(Tabela2[[#This Row],[sex]]="Male",Tabela2[[#This Row],[hours-per-week]],NA())</f>
        <v>55</v>
      </c>
    </row>
    <row r="51" spans="1:18">
      <c r="A51" s="3" t="s">
        <v>142</v>
      </c>
      <c r="B51" s="4">
        <v>27</v>
      </c>
      <c r="C51" s="4" t="s">
        <v>0</v>
      </c>
      <c r="D51" s="4">
        <v>387776</v>
      </c>
      <c r="E51" s="4" t="s">
        <v>12</v>
      </c>
      <c r="F51" s="4">
        <v>10</v>
      </c>
      <c r="G51" s="4" t="s">
        <v>2</v>
      </c>
      <c r="H51" s="4" t="s">
        <v>3</v>
      </c>
      <c r="I51" s="4" t="s">
        <v>4</v>
      </c>
      <c r="J51" s="4" t="s">
        <v>5</v>
      </c>
      <c r="K51" s="4" t="s">
        <v>18</v>
      </c>
      <c r="L51" s="4">
        <v>0</v>
      </c>
      <c r="M51" s="4">
        <v>0</v>
      </c>
      <c r="N51" s="4">
        <v>40</v>
      </c>
      <c r="O51" s="4" t="s">
        <v>7</v>
      </c>
      <c r="P51" s="4" t="s">
        <v>8</v>
      </c>
      <c r="Q51" s="4" t="e">
        <f>IF(Tabela2[[#This Row],[sex]]="Female",Tabela2[[#This Row],[hours-per-week]],NA())</f>
        <v>#N/A</v>
      </c>
      <c r="R51" s="4">
        <f>IF(Tabela2[[#This Row],[sex]]="Male",Tabela2[[#This Row],[hours-per-week]],NA())</f>
        <v>40</v>
      </c>
    </row>
    <row r="52" spans="1:18">
      <c r="A52" s="3" t="s">
        <v>143</v>
      </c>
      <c r="B52" s="4">
        <v>55</v>
      </c>
      <c r="C52" s="4" t="s">
        <v>49</v>
      </c>
      <c r="D52" s="4">
        <v>124137</v>
      </c>
      <c r="E52" s="4" t="s">
        <v>50</v>
      </c>
      <c r="F52" s="4">
        <v>15</v>
      </c>
      <c r="G52" s="4" t="s">
        <v>29</v>
      </c>
      <c r="H52" s="4" t="s">
        <v>27</v>
      </c>
      <c r="I52" s="4" t="s">
        <v>32</v>
      </c>
      <c r="J52" s="4" t="s">
        <v>5</v>
      </c>
      <c r="K52" s="4" t="s">
        <v>18</v>
      </c>
      <c r="L52" s="4">
        <v>0</v>
      </c>
      <c r="M52" s="4">
        <v>2415</v>
      </c>
      <c r="N52" s="4">
        <v>35</v>
      </c>
      <c r="O52" s="4" t="s">
        <v>51</v>
      </c>
      <c r="P52" s="4" t="s">
        <v>19</v>
      </c>
      <c r="Q52" s="4" t="e">
        <f>IF(Tabela2[[#This Row],[sex]]="Female",Tabela2[[#This Row],[hours-per-week]],NA())</f>
        <v>#N/A</v>
      </c>
      <c r="R52" s="4">
        <f>IF(Tabela2[[#This Row],[sex]]="Male",Tabela2[[#This Row],[hours-per-week]],NA())</f>
        <v>35</v>
      </c>
    </row>
    <row r="53" spans="1:18">
      <c r="A53" s="3" t="s">
        <v>144</v>
      </c>
      <c r="B53" s="4">
        <v>39</v>
      </c>
      <c r="C53" s="4" t="s">
        <v>0</v>
      </c>
      <c r="D53" s="4">
        <v>172425</v>
      </c>
      <c r="E53" s="4" t="s">
        <v>44</v>
      </c>
      <c r="F53" s="4">
        <v>11</v>
      </c>
      <c r="G53" s="4" t="s">
        <v>29</v>
      </c>
      <c r="H53" s="4" t="s">
        <v>33</v>
      </c>
      <c r="I53" s="4" t="s">
        <v>31</v>
      </c>
      <c r="J53" s="4" t="s">
        <v>5</v>
      </c>
      <c r="K53" s="4" t="s">
        <v>6</v>
      </c>
      <c r="L53" s="4">
        <v>0</v>
      </c>
      <c r="M53" s="4">
        <v>0</v>
      </c>
      <c r="N53" s="4">
        <v>20</v>
      </c>
      <c r="O53" s="4" t="s">
        <v>7</v>
      </c>
      <c r="P53" s="4" t="s">
        <v>19</v>
      </c>
      <c r="Q53" s="4">
        <f>IF(Tabela2[[#This Row],[sex]]="Female",Tabela2[[#This Row],[hours-per-week]],NA())</f>
        <v>20</v>
      </c>
      <c r="R53" s="4" t="e">
        <f>IF(Tabela2[[#This Row],[sex]]="Male",Tabela2[[#This Row],[hours-per-week]],NA())</f>
        <v>#N/A</v>
      </c>
    </row>
    <row r="54" spans="1:18">
      <c r="A54" s="3" t="s">
        <v>145</v>
      </c>
      <c r="B54" s="4">
        <v>53</v>
      </c>
      <c r="C54" s="4" t="s">
        <v>37</v>
      </c>
      <c r="D54" s="4">
        <v>181317</v>
      </c>
      <c r="E54" s="4" t="s">
        <v>28</v>
      </c>
      <c r="F54" s="4">
        <v>9</v>
      </c>
      <c r="G54" s="4" t="s">
        <v>29</v>
      </c>
      <c r="H54" s="4" t="s">
        <v>37</v>
      </c>
      <c r="I54" s="4" t="s">
        <v>32</v>
      </c>
      <c r="J54" s="4" t="s">
        <v>5</v>
      </c>
      <c r="K54" s="4" t="s">
        <v>18</v>
      </c>
      <c r="L54" s="4">
        <v>0</v>
      </c>
      <c r="M54" s="4">
        <v>0</v>
      </c>
      <c r="N54" s="4">
        <v>40</v>
      </c>
      <c r="O54" s="4" t="s">
        <v>7</v>
      </c>
      <c r="P54" s="4" t="s">
        <v>8</v>
      </c>
      <c r="Q54" s="4" t="e">
        <f>IF(Tabela2[[#This Row],[sex]]="Female",Tabela2[[#This Row],[hours-per-week]],NA())</f>
        <v>#N/A</v>
      </c>
      <c r="R54" s="4">
        <f>IF(Tabela2[[#This Row],[sex]]="Male",Tabela2[[#This Row],[hours-per-week]],NA())</f>
        <v>40</v>
      </c>
    </row>
    <row r="55" spans="1:18">
      <c r="A55" s="3" t="s">
        <v>146</v>
      </c>
      <c r="B55" s="4">
        <v>24</v>
      </c>
      <c r="C55" s="4" t="s">
        <v>25</v>
      </c>
      <c r="D55" s="4">
        <v>166851</v>
      </c>
      <c r="E55" s="4" t="s">
        <v>39</v>
      </c>
      <c r="F55" s="4">
        <v>14</v>
      </c>
      <c r="G55" s="4" t="s">
        <v>2</v>
      </c>
      <c r="H55" s="4" t="s">
        <v>27</v>
      </c>
      <c r="I55" s="4" t="s">
        <v>11</v>
      </c>
      <c r="J55" s="4" t="s">
        <v>5</v>
      </c>
      <c r="K55" s="4" t="s">
        <v>18</v>
      </c>
      <c r="L55" s="4">
        <v>0</v>
      </c>
      <c r="M55" s="4">
        <v>0</v>
      </c>
      <c r="N55" s="4">
        <v>13</v>
      </c>
      <c r="O55" s="4" t="s">
        <v>7</v>
      </c>
      <c r="P55" s="4" t="s">
        <v>8</v>
      </c>
      <c r="Q55" s="4" t="e">
        <f>IF(Tabela2[[#This Row],[sex]]="Female",Tabela2[[#This Row],[hours-per-week]],NA())</f>
        <v>#N/A</v>
      </c>
      <c r="R55" s="4">
        <f>IF(Tabela2[[#This Row],[sex]]="Male",Tabela2[[#This Row],[hours-per-week]],NA())</f>
        <v>13</v>
      </c>
    </row>
    <row r="56" spans="1:18">
      <c r="A56" s="3" t="s">
        <v>147</v>
      </c>
      <c r="B56" s="4">
        <v>24</v>
      </c>
      <c r="C56" s="4" t="s">
        <v>0</v>
      </c>
      <c r="D56" s="4">
        <v>145964</v>
      </c>
      <c r="E56" s="4" t="s">
        <v>26</v>
      </c>
      <c r="F56" s="4">
        <v>13</v>
      </c>
      <c r="G56" s="4" t="s">
        <v>2</v>
      </c>
      <c r="H56" s="4" t="s">
        <v>46</v>
      </c>
      <c r="I56" s="4" t="s">
        <v>11</v>
      </c>
      <c r="J56" s="4" t="s">
        <v>5</v>
      </c>
      <c r="K56" s="4" t="s">
        <v>18</v>
      </c>
      <c r="L56" s="4">
        <v>0</v>
      </c>
      <c r="M56" s="4">
        <v>0</v>
      </c>
      <c r="N56" s="4">
        <v>40</v>
      </c>
      <c r="O56" s="4" t="s">
        <v>7</v>
      </c>
      <c r="P56" s="4" t="s">
        <v>8</v>
      </c>
      <c r="Q56" s="4" t="e">
        <f>IF(Tabela2[[#This Row],[sex]]="Female",Tabela2[[#This Row],[hours-per-week]],NA())</f>
        <v>#N/A</v>
      </c>
      <c r="R56" s="4">
        <f>IF(Tabela2[[#This Row],[sex]]="Male",Tabela2[[#This Row],[hours-per-week]],NA())</f>
        <v>40</v>
      </c>
    </row>
    <row r="57" spans="1:18">
      <c r="A57" s="3" t="s">
        <v>148</v>
      </c>
      <c r="B57" s="4">
        <v>21</v>
      </c>
      <c r="C57" s="4" t="s">
        <v>0</v>
      </c>
      <c r="D57" s="4">
        <v>34616</v>
      </c>
      <c r="E57" s="4" t="s">
        <v>12</v>
      </c>
      <c r="F57" s="4">
        <v>10</v>
      </c>
      <c r="G57" s="4" t="s">
        <v>2</v>
      </c>
      <c r="H57" s="4" t="s">
        <v>3</v>
      </c>
      <c r="I57" s="4" t="s">
        <v>4</v>
      </c>
      <c r="J57" s="4" t="s">
        <v>5</v>
      </c>
      <c r="K57" s="4" t="s">
        <v>6</v>
      </c>
      <c r="L57" s="4">
        <v>0</v>
      </c>
      <c r="M57" s="4">
        <v>0</v>
      </c>
      <c r="N57" s="4">
        <v>25</v>
      </c>
      <c r="O57" s="4" t="s">
        <v>7</v>
      </c>
      <c r="P57" s="4" t="s">
        <v>8</v>
      </c>
      <c r="Q57" s="4">
        <f>IF(Tabela2[[#This Row],[sex]]="Female",Tabela2[[#This Row],[hours-per-week]],NA())</f>
        <v>25</v>
      </c>
      <c r="R57" s="4" t="e">
        <f>IF(Tabela2[[#This Row],[sex]]="Male",Tabela2[[#This Row],[hours-per-week]],NA())</f>
        <v>#N/A</v>
      </c>
    </row>
    <row r="58" spans="1:18">
      <c r="A58" s="3" t="s">
        <v>149</v>
      </c>
      <c r="B58" s="4">
        <v>30</v>
      </c>
      <c r="C58" s="4" t="s">
        <v>41</v>
      </c>
      <c r="D58" s="4">
        <v>68330</v>
      </c>
      <c r="E58" s="4" t="s">
        <v>26</v>
      </c>
      <c r="F58" s="4">
        <v>13</v>
      </c>
      <c r="G58" s="4" t="s">
        <v>2</v>
      </c>
      <c r="H58" s="4" t="s">
        <v>27</v>
      </c>
      <c r="I58" s="4" t="s">
        <v>11</v>
      </c>
      <c r="J58" s="4" t="s">
        <v>5</v>
      </c>
      <c r="K58" s="4" t="s">
        <v>18</v>
      </c>
      <c r="L58" s="4">
        <v>0</v>
      </c>
      <c r="M58" s="4">
        <v>0</v>
      </c>
      <c r="N58" s="4">
        <v>40</v>
      </c>
      <c r="O58" s="4" t="s">
        <v>7</v>
      </c>
      <c r="P58" s="4" t="s">
        <v>19</v>
      </c>
      <c r="Q58" s="4" t="e">
        <f>IF(Tabela2[[#This Row],[sex]]="Female",Tabela2[[#This Row],[hours-per-week]],NA())</f>
        <v>#N/A</v>
      </c>
      <c r="R58" s="4">
        <f>IF(Tabela2[[#This Row],[sex]]="Male",Tabela2[[#This Row],[hours-per-week]],NA())</f>
        <v>40</v>
      </c>
    </row>
    <row r="59" spans="1:18">
      <c r="A59" s="3" t="s">
        <v>150</v>
      </c>
      <c r="B59" s="4">
        <v>58</v>
      </c>
      <c r="C59" s="4" t="s">
        <v>0</v>
      </c>
      <c r="D59" s="4">
        <v>205896</v>
      </c>
      <c r="E59" s="4" t="s">
        <v>28</v>
      </c>
      <c r="F59" s="4">
        <v>9</v>
      </c>
      <c r="G59" s="4" t="s">
        <v>15</v>
      </c>
      <c r="H59" s="4" t="s">
        <v>10</v>
      </c>
      <c r="I59" s="4" t="s">
        <v>45</v>
      </c>
      <c r="J59" s="4" t="s">
        <v>5</v>
      </c>
      <c r="K59" s="4" t="s">
        <v>6</v>
      </c>
      <c r="L59" s="4">
        <v>0</v>
      </c>
      <c r="M59" s="4">
        <v>0</v>
      </c>
      <c r="N59" s="4">
        <v>40</v>
      </c>
      <c r="O59" s="4" t="s">
        <v>7</v>
      </c>
      <c r="P59" s="4" t="s">
        <v>8</v>
      </c>
      <c r="Q59" s="4">
        <f>IF(Tabela2[[#This Row],[sex]]="Female",Tabela2[[#This Row],[hours-per-week]],NA())</f>
        <v>40</v>
      </c>
      <c r="R59" s="4" t="e">
        <f>IF(Tabela2[[#This Row],[sex]]="Male",Tabela2[[#This Row],[hours-per-week]],NA())</f>
        <v>#N/A</v>
      </c>
    </row>
    <row r="60" spans="1:18">
      <c r="A60" s="3" t="s">
        <v>151</v>
      </c>
      <c r="B60" s="4">
        <v>41</v>
      </c>
      <c r="C60" s="4" t="s">
        <v>0</v>
      </c>
      <c r="D60" s="4">
        <v>194710</v>
      </c>
      <c r="E60" s="4" t="s">
        <v>28</v>
      </c>
      <c r="F60" s="4">
        <v>9</v>
      </c>
      <c r="G60" s="4" t="s">
        <v>2</v>
      </c>
      <c r="H60" s="4" t="s">
        <v>46</v>
      </c>
      <c r="I60" s="4" t="s">
        <v>11</v>
      </c>
      <c r="J60" s="4" t="s">
        <v>5</v>
      </c>
      <c r="K60" s="4" t="s">
        <v>6</v>
      </c>
      <c r="L60" s="4">
        <v>0</v>
      </c>
      <c r="M60" s="4">
        <v>0</v>
      </c>
      <c r="N60" s="4">
        <v>40</v>
      </c>
      <c r="O60" s="4" t="s">
        <v>7</v>
      </c>
      <c r="P60" s="4" t="s">
        <v>8</v>
      </c>
      <c r="Q60" s="4">
        <f>IF(Tabela2[[#This Row],[sex]]="Female",Tabela2[[#This Row],[hours-per-week]],NA())</f>
        <v>40</v>
      </c>
      <c r="R60" s="4" t="e">
        <f>IF(Tabela2[[#This Row],[sex]]="Male",Tabela2[[#This Row],[hours-per-week]],NA())</f>
        <v>#N/A</v>
      </c>
    </row>
    <row r="61" spans="1:18">
      <c r="A61" s="3" t="s">
        <v>152</v>
      </c>
      <c r="B61" s="4">
        <v>17</v>
      </c>
      <c r="C61" s="4" t="s">
        <v>0</v>
      </c>
      <c r="D61" s="4">
        <v>295488</v>
      </c>
      <c r="E61" s="4" t="s">
        <v>1</v>
      </c>
      <c r="F61" s="4">
        <v>7</v>
      </c>
      <c r="G61" s="4" t="s">
        <v>2</v>
      </c>
      <c r="H61" s="4" t="s">
        <v>3</v>
      </c>
      <c r="I61" s="4" t="s">
        <v>4</v>
      </c>
      <c r="J61" s="4" t="s">
        <v>23</v>
      </c>
      <c r="K61" s="4" t="s">
        <v>6</v>
      </c>
      <c r="L61" s="4">
        <v>0</v>
      </c>
      <c r="M61" s="4">
        <v>0</v>
      </c>
      <c r="N61" s="4">
        <v>25</v>
      </c>
      <c r="O61" s="4" t="s">
        <v>7</v>
      </c>
      <c r="P61" s="4" t="s">
        <v>8</v>
      </c>
      <c r="Q61" s="4">
        <f>IF(Tabela2[[#This Row],[sex]]="Female",Tabela2[[#This Row],[hours-per-week]],NA())</f>
        <v>25</v>
      </c>
      <c r="R61" s="4" t="e">
        <f>IF(Tabela2[[#This Row],[sex]]="Male",Tabela2[[#This Row],[hours-per-week]],NA())</f>
        <v>#N/A</v>
      </c>
    </row>
    <row r="62" spans="1:18">
      <c r="A62" s="3" t="s">
        <v>153</v>
      </c>
      <c r="B62" s="4">
        <v>31</v>
      </c>
      <c r="C62" s="4" t="s">
        <v>0</v>
      </c>
      <c r="D62" s="4">
        <v>169240</v>
      </c>
      <c r="E62" s="4" t="s">
        <v>28</v>
      </c>
      <c r="F62" s="4">
        <v>9</v>
      </c>
      <c r="G62" s="4" t="s">
        <v>2</v>
      </c>
      <c r="H62" s="4" t="s">
        <v>3</v>
      </c>
      <c r="I62" s="4" t="s">
        <v>11</v>
      </c>
      <c r="J62" s="4" t="s">
        <v>5</v>
      </c>
      <c r="K62" s="4" t="s">
        <v>6</v>
      </c>
      <c r="L62" s="4">
        <v>0</v>
      </c>
      <c r="M62" s="4">
        <v>0</v>
      </c>
      <c r="N62" s="4">
        <v>40</v>
      </c>
      <c r="O62" s="4" t="s">
        <v>7</v>
      </c>
      <c r="P62" s="4" t="s">
        <v>8</v>
      </c>
      <c r="Q62" s="4">
        <f>IF(Tabela2[[#This Row],[sex]]="Female",Tabela2[[#This Row],[hours-per-week]],NA())</f>
        <v>40</v>
      </c>
      <c r="R62" s="4" t="e">
        <f>IF(Tabela2[[#This Row],[sex]]="Male",Tabela2[[#This Row],[hours-per-week]],NA())</f>
        <v>#N/A</v>
      </c>
    </row>
    <row r="63" spans="1:18">
      <c r="A63" s="3" t="s">
        <v>154</v>
      </c>
      <c r="B63" s="4">
        <v>48</v>
      </c>
      <c r="C63" s="4" t="s">
        <v>0</v>
      </c>
      <c r="D63" s="4">
        <v>186172</v>
      </c>
      <c r="E63" s="4" t="s">
        <v>26</v>
      </c>
      <c r="F63" s="4">
        <v>13</v>
      </c>
      <c r="G63" s="4" t="s">
        <v>29</v>
      </c>
      <c r="H63" s="4" t="s">
        <v>46</v>
      </c>
      <c r="I63" s="4" t="s">
        <v>32</v>
      </c>
      <c r="J63" s="4" t="s">
        <v>5</v>
      </c>
      <c r="K63" s="4" t="s">
        <v>18</v>
      </c>
      <c r="L63" s="4">
        <v>0</v>
      </c>
      <c r="M63" s="4">
        <v>0</v>
      </c>
      <c r="N63" s="4">
        <v>45</v>
      </c>
      <c r="O63" s="4" t="s">
        <v>7</v>
      </c>
      <c r="P63" s="4" t="s">
        <v>19</v>
      </c>
      <c r="Q63" s="4" t="e">
        <f>IF(Tabela2[[#This Row],[sex]]="Female",Tabela2[[#This Row],[hours-per-week]],NA())</f>
        <v>#N/A</v>
      </c>
      <c r="R63" s="4">
        <f>IF(Tabela2[[#This Row],[sex]]="Male",Tabela2[[#This Row],[hours-per-week]],NA())</f>
        <v>45</v>
      </c>
    </row>
    <row r="64" spans="1:18">
      <c r="A64" s="3" t="s">
        <v>155</v>
      </c>
      <c r="B64" s="4">
        <v>42</v>
      </c>
      <c r="C64" s="4" t="s">
        <v>0</v>
      </c>
      <c r="D64" s="4">
        <v>200574</v>
      </c>
      <c r="E64" s="4" t="s">
        <v>12</v>
      </c>
      <c r="F64" s="4">
        <v>10</v>
      </c>
      <c r="G64" s="4" t="s">
        <v>29</v>
      </c>
      <c r="H64" s="4" t="s">
        <v>10</v>
      </c>
      <c r="I64" s="4" t="s">
        <v>32</v>
      </c>
      <c r="J64" s="4" t="s">
        <v>5</v>
      </c>
      <c r="K64" s="4" t="s">
        <v>18</v>
      </c>
      <c r="L64" s="4">
        <v>0</v>
      </c>
      <c r="M64" s="4">
        <v>0</v>
      </c>
      <c r="N64" s="4">
        <v>40</v>
      </c>
      <c r="O64" s="4" t="s">
        <v>7</v>
      </c>
      <c r="P64" s="4" t="s">
        <v>8</v>
      </c>
      <c r="Q64" s="4" t="e">
        <f>IF(Tabela2[[#This Row],[sex]]="Female",Tabela2[[#This Row],[hours-per-week]],NA())</f>
        <v>#N/A</v>
      </c>
      <c r="R64" s="4">
        <f>IF(Tabela2[[#This Row],[sex]]="Male",Tabela2[[#This Row],[hours-per-week]],NA())</f>
        <v>40</v>
      </c>
    </row>
    <row r="65" spans="1:18">
      <c r="A65" s="3" t="s">
        <v>156</v>
      </c>
      <c r="B65" s="4">
        <v>26</v>
      </c>
      <c r="C65" s="4" t="s">
        <v>0</v>
      </c>
      <c r="D65" s="4">
        <v>198163</v>
      </c>
      <c r="E65" s="4" t="s">
        <v>39</v>
      </c>
      <c r="F65" s="4">
        <v>14</v>
      </c>
      <c r="G65" s="4" t="s">
        <v>29</v>
      </c>
      <c r="H65" s="4" t="s">
        <v>10</v>
      </c>
      <c r="I65" s="4" t="s">
        <v>31</v>
      </c>
      <c r="J65" s="4" t="s">
        <v>5</v>
      </c>
      <c r="K65" s="4" t="s">
        <v>6</v>
      </c>
      <c r="L65" s="4">
        <v>0</v>
      </c>
      <c r="M65" s="4">
        <v>0</v>
      </c>
      <c r="N65" s="4">
        <v>40</v>
      </c>
      <c r="O65" s="4" t="s">
        <v>7</v>
      </c>
      <c r="P65" s="4" t="s">
        <v>8</v>
      </c>
      <c r="Q65" s="4">
        <f>IF(Tabela2[[#This Row],[sex]]="Female",Tabela2[[#This Row],[hours-per-week]],NA())</f>
        <v>40</v>
      </c>
      <c r="R65" s="4" t="e">
        <f>IF(Tabela2[[#This Row],[sex]]="Male",Tabela2[[#This Row],[hours-per-week]],NA())</f>
        <v>#N/A</v>
      </c>
    </row>
    <row r="66" spans="1:18">
      <c r="A66" s="3" t="s">
        <v>157</v>
      </c>
      <c r="B66" s="4">
        <v>33</v>
      </c>
      <c r="C66" s="4" t="s">
        <v>0</v>
      </c>
      <c r="D66" s="4">
        <v>144064</v>
      </c>
      <c r="E66" s="4" t="s">
        <v>26</v>
      </c>
      <c r="F66" s="4">
        <v>13</v>
      </c>
      <c r="G66" s="4" t="s">
        <v>29</v>
      </c>
      <c r="H66" s="4" t="s">
        <v>46</v>
      </c>
      <c r="I66" s="4" t="s">
        <v>32</v>
      </c>
      <c r="J66" s="4" t="s">
        <v>5</v>
      </c>
      <c r="K66" s="4" t="s">
        <v>18</v>
      </c>
      <c r="L66" s="4">
        <v>0</v>
      </c>
      <c r="M66" s="4">
        <v>0</v>
      </c>
      <c r="N66" s="4">
        <v>50</v>
      </c>
      <c r="O66" s="4" t="s">
        <v>7</v>
      </c>
      <c r="P66" s="4" t="s">
        <v>8</v>
      </c>
      <c r="Q66" s="4" t="e">
        <f>IF(Tabela2[[#This Row],[sex]]="Female",Tabela2[[#This Row],[hours-per-week]],NA())</f>
        <v>#N/A</v>
      </c>
      <c r="R66" s="4">
        <f>IF(Tabela2[[#This Row],[sex]]="Male",Tabela2[[#This Row],[hours-per-week]],NA())</f>
        <v>50</v>
      </c>
    </row>
    <row r="67" spans="1:18">
      <c r="A67" s="3" t="s">
        <v>158</v>
      </c>
      <c r="B67" s="4">
        <v>40</v>
      </c>
      <c r="C67" s="4" t="s">
        <v>0</v>
      </c>
      <c r="D67" s="4">
        <v>220609</v>
      </c>
      <c r="E67" s="4" t="s">
        <v>12</v>
      </c>
      <c r="F67" s="4">
        <v>10</v>
      </c>
      <c r="G67" s="4" t="s">
        <v>15</v>
      </c>
      <c r="H67" s="4" t="s">
        <v>46</v>
      </c>
      <c r="I67" s="4" t="s">
        <v>11</v>
      </c>
      <c r="J67" s="4" t="s">
        <v>5</v>
      </c>
      <c r="K67" s="4" t="s">
        <v>6</v>
      </c>
      <c r="L67" s="4">
        <v>0</v>
      </c>
      <c r="M67" s="4">
        <v>0</v>
      </c>
      <c r="N67" s="4">
        <v>40</v>
      </c>
      <c r="O67" s="4" t="s">
        <v>7</v>
      </c>
      <c r="P67" s="4" t="s">
        <v>8</v>
      </c>
      <c r="Q67" s="4">
        <f>IF(Tabela2[[#This Row],[sex]]="Female",Tabela2[[#This Row],[hours-per-week]],NA())</f>
        <v>40</v>
      </c>
      <c r="R67" s="4" t="e">
        <f>IF(Tabela2[[#This Row],[sex]]="Male",Tabela2[[#This Row],[hours-per-week]],NA())</f>
        <v>#N/A</v>
      </c>
    </row>
    <row r="68" spans="1:18">
      <c r="A68" s="3" t="s">
        <v>159</v>
      </c>
      <c r="B68" s="4">
        <v>51</v>
      </c>
      <c r="C68" s="4" t="s">
        <v>0</v>
      </c>
      <c r="D68" s="4">
        <v>24185</v>
      </c>
      <c r="E68" s="4" t="s">
        <v>26</v>
      </c>
      <c r="F68" s="4">
        <v>13</v>
      </c>
      <c r="G68" s="4" t="s">
        <v>29</v>
      </c>
      <c r="H68" s="4" t="s">
        <v>16</v>
      </c>
      <c r="I68" s="4" t="s">
        <v>32</v>
      </c>
      <c r="J68" s="4" t="s">
        <v>5</v>
      </c>
      <c r="K68" s="4" t="s">
        <v>18</v>
      </c>
      <c r="L68" s="4">
        <v>0</v>
      </c>
      <c r="M68" s="4">
        <v>0</v>
      </c>
      <c r="N68" s="4">
        <v>40</v>
      </c>
      <c r="O68" s="4" t="s">
        <v>7</v>
      </c>
      <c r="P68" s="4" t="s">
        <v>19</v>
      </c>
      <c r="Q68" s="4" t="e">
        <f>IF(Tabela2[[#This Row],[sex]]="Female",Tabela2[[#This Row],[hours-per-week]],NA())</f>
        <v>#N/A</v>
      </c>
      <c r="R68" s="4">
        <f>IF(Tabela2[[#This Row],[sex]]="Male",Tabela2[[#This Row],[hours-per-week]],NA())</f>
        <v>40</v>
      </c>
    </row>
    <row r="69" spans="1:18">
      <c r="A69" s="3" t="s">
        <v>160</v>
      </c>
      <c r="B69" s="4">
        <v>35</v>
      </c>
      <c r="C69" s="4" t="s">
        <v>37</v>
      </c>
      <c r="D69" s="4">
        <v>169809</v>
      </c>
      <c r="E69" s="4" t="s">
        <v>26</v>
      </c>
      <c r="F69" s="4">
        <v>13</v>
      </c>
      <c r="G69" s="4" t="s">
        <v>29</v>
      </c>
      <c r="H69" s="4" t="s">
        <v>37</v>
      </c>
      <c r="I69" s="4" t="s">
        <v>32</v>
      </c>
      <c r="J69" s="4" t="s">
        <v>5</v>
      </c>
      <c r="K69" s="4" t="s">
        <v>18</v>
      </c>
      <c r="L69" s="4">
        <v>0</v>
      </c>
      <c r="M69" s="4">
        <v>0</v>
      </c>
      <c r="N69" s="4">
        <v>20</v>
      </c>
      <c r="O69" s="4" t="s">
        <v>7</v>
      </c>
      <c r="P69" s="4" t="s">
        <v>8</v>
      </c>
      <c r="Q69" s="4" t="e">
        <f>IF(Tabela2[[#This Row],[sex]]="Female",Tabela2[[#This Row],[hours-per-week]],NA())</f>
        <v>#N/A</v>
      </c>
      <c r="R69" s="4">
        <f>IF(Tabela2[[#This Row],[sex]]="Male",Tabela2[[#This Row],[hours-per-week]],NA())</f>
        <v>20</v>
      </c>
    </row>
    <row r="70" spans="1:18">
      <c r="A70" s="3" t="s">
        <v>161</v>
      </c>
      <c r="B70" s="4">
        <v>44</v>
      </c>
      <c r="C70" s="4" t="s">
        <v>0</v>
      </c>
      <c r="D70" s="4">
        <v>248973</v>
      </c>
      <c r="E70" s="4" t="s">
        <v>26</v>
      </c>
      <c r="F70" s="4">
        <v>13</v>
      </c>
      <c r="G70" s="4" t="s">
        <v>15</v>
      </c>
      <c r="H70" s="4" t="s">
        <v>33</v>
      </c>
      <c r="I70" s="4" t="s">
        <v>11</v>
      </c>
      <c r="J70" s="4" t="s">
        <v>23</v>
      </c>
      <c r="K70" s="4" t="s">
        <v>18</v>
      </c>
      <c r="L70" s="4">
        <v>0</v>
      </c>
      <c r="M70" s="4">
        <v>0</v>
      </c>
      <c r="N70" s="4">
        <v>65</v>
      </c>
      <c r="O70" s="4" t="s">
        <v>7</v>
      </c>
      <c r="P70" s="4" t="s">
        <v>8</v>
      </c>
      <c r="Q70" s="4" t="e">
        <f>IF(Tabela2[[#This Row],[sex]]="Female",Tabela2[[#This Row],[hours-per-week]],NA())</f>
        <v>#N/A</v>
      </c>
      <c r="R70" s="4">
        <f>IF(Tabela2[[#This Row],[sex]]="Male",Tabela2[[#This Row],[hours-per-week]],NA())</f>
        <v>65</v>
      </c>
    </row>
    <row r="71" spans="1:18">
      <c r="A71" s="3" t="s">
        <v>162</v>
      </c>
      <c r="B71" s="4">
        <v>58</v>
      </c>
      <c r="C71" s="4" t="s">
        <v>20</v>
      </c>
      <c r="D71" s="4">
        <v>310085</v>
      </c>
      <c r="E71" s="4" t="s">
        <v>43</v>
      </c>
      <c r="F71" s="4">
        <v>6</v>
      </c>
      <c r="G71" s="4" t="s">
        <v>29</v>
      </c>
      <c r="H71" s="4" t="s">
        <v>38</v>
      </c>
      <c r="I71" s="4" t="s">
        <v>32</v>
      </c>
      <c r="J71" s="4" t="s">
        <v>5</v>
      </c>
      <c r="K71" s="4" t="s">
        <v>18</v>
      </c>
      <c r="L71" s="4">
        <v>0</v>
      </c>
      <c r="M71" s="4">
        <v>0</v>
      </c>
      <c r="N71" s="4">
        <v>40</v>
      </c>
      <c r="O71" s="4" t="s">
        <v>7</v>
      </c>
      <c r="P71" s="4" t="s">
        <v>8</v>
      </c>
      <c r="Q71" s="4" t="e">
        <f>IF(Tabela2[[#This Row],[sex]]="Female",Tabela2[[#This Row],[hours-per-week]],NA())</f>
        <v>#N/A</v>
      </c>
      <c r="R71" s="4">
        <f>IF(Tabela2[[#This Row],[sex]]="Male",Tabela2[[#This Row],[hours-per-week]],NA())</f>
        <v>40</v>
      </c>
    </row>
    <row r="72" spans="1:18">
      <c r="A72" s="3" t="s">
        <v>163</v>
      </c>
      <c r="B72" s="4">
        <v>73</v>
      </c>
      <c r="C72" s="4" t="s">
        <v>0</v>
      </c>
      <c r="D72" s="4">
        <v>123160</v>
      </c>
      <c r="E72" s="4" t="s">
        <v>43</v>
      </c>
      <c r="F72" s="4">
        <v>6</v>
      </c>
      <c r="G72" s="4" t="s">
        <v>47</v>
      </c>
      <c r="H72" s="4" t="s">
        <v>3</v>
      </c>
      <c r="I72" s="4" t="s">
        <v>11</v>
      </c>
      <c r="J72" s="4" t="s">
        <v>5</v>
      </c>
      <c r="K72" s="4" t="s">
        <v>6</v>
      </c>
      <c r="L72" s="4">
        <v>0</v>
      </c>
      <c r="M72" s="4">
        <v>0</v>
      </c>
      <c r="N72" s="4">
        <v>10</v>
      </c>
      <c r="O72" s="4" t="s">
        <v>7</v>
      </c>
      <c r="P72" s="4" t="s">
        <v>8</v>
      </c>
      <c r="Q72" s="4">
        <f>IF(Tabela2[[#This Row],[sex]]="Female",Tabela2[[#This Row],[hours-per-week]],NA())</f>
        <v>10</v>
      </c>
      <c r="R72" s="4" t="e">
        <f>IF(Tabela2[[#This Row],[sex]]="Male",Tabela2[[#This Row],[hours-per-week]],NA())</f>
        <v>#N/A</v>
      </c>
    </row>
    <row r="73" spans="1:18">
      <c r="A73" s="3" t="s">
        <v>164</v>
      </c>
      <c r="B73" s="4">
        <v>36</v>
      </c>
      <c r="C73" s="4" t="s">
        <v>0</v>
      </c>
      <c r="D73" s="4">
        <v>166988</v>
      </c>
      <c r="E73" s="4" t="s">
        <v>26</v>
      </c>
      <c r="F73" s="4">
        <v>13</v>
      </c>
      <c r="G73" s="4" t="s">
        <v>29</v>
      </c>
      <c r="H73" s="4" t="s">
        <v>27</v>
      </c>
      <c r="I73" s="4" t="s">
        <v>31</v>
      </c>
      <c r="J73" s="4" t="s">
        <v>5</v>
      </c>
      <c r="K73" s="4" t="s">
        <v>6</v>
      </c>
      <c r="L73" s="4">
        <v>0</v>
      </c>
      <c r="M73" s="4">
        <v>0</v>
      </c>
      <c r="N73" s="4">
        <v>40</v>
      </c>
      <c r="O73" s="4" t="s">
        <v>7</v>
      </c>
      <c r="P73" s="4" t="s">
        <v>19</v>
      </c>
      <c r="Q73" s="4">
        <f>IF(Tabela2[[#This Row],[sex]]="Female",Tabela2[[#This Row],[hours-per-week]],NA())</f>
        <v>40</v>
      </c>
      <c r="R73" s="4" t="e">
        <f>IF(Tabela2[[#This Row],[sex]]="Male",Tabela2[[#This Row],[hours-per-week]],NA())</f>
        <v>#N/A</v>
      </c>
    </row>
    <row r="74" spans="1:18">
      <c r="A74" s="3" t="s">
        <v>165</v>
      </c>
      <c r="B74" s="4">
        <v>23</v>
      </c>
      <c r="C74" s="4" t="s">
        <v>49</v>
      </c>
      <c r="D74" s="4">
        <v>214542</v>
      </c>
      <c r="E74" s="4" t="s">
        <v>12</v>
      </c>
      <c r="F74" s="4">
        <v>10</v>
      </c>
      <c r="G74" s="4" t="s">
        <v>2</v>
      </c>
      <c r="H74" s="4" t="s">
        <v>27</v>
      </c>
      <c r="I74" s="4" t="s">
        <v>11</v>
      </c>
      <c r="J74" s="4" t="s">
        <v>5</v>
      </c>
      <c r="K74" s="4" t="s">
        <v>18</v>
      </c>
      <c r="L74" s="4">
        <v>0</v>
      </c>
      <c r="M74" s="4">
        <v>0</v>
      </c>
      <c r="N74" s="4">
        <v>50</v>
      </c>
      <c r="O74" s="4" t="s">
        <v>7</v>
      </c>
      <c r="P74" s="4" t="s">
        <v>8</v>
      </c>
      <c r="Q74" s="4" t="e">
        <f>IF(Tabela2[[#This Row],[sex]]="Female",Tabela2[[#This Row],[hours-per-week]],NA())</f>
        <v>#N/A</v>
      </c>
      <c r="R74" s="4">
        <f>IF(Tabela2[[#This Row],[sex]]="Male",Tabela2[[#This Row],[hours-per-week]],NA())</f>
        <v>50</v>
      </c>
    </row>
    <row r="75" spans="1:18">
      <c r="A75" s="3" t="s">
        <v>166</v>
      </c>
      <c r="B75" s="4">
        <v>59</v>
      </c>
      <c r="C75" s="4" t="s">
        <v>0</v>
      </c>
      <c r="D75" s="4">
        <v>146391</v>
      </c>
      <c r="E75" s="4" t="s">
        <v>44</v>
      </c>
      <c r="F75" s="4">
        <v>11</v>
      </c>
      <c r="G75" s="4" t="s">
        <v>29</v>
      </c>
      <c r="H75" s="4" t="s">
        <v>30</v>
      </c>
      <c r="I75" s="4" t="s">
        <v>32</v>
      </c>
      <c r="J75" s="4" t="s">
        <v>5</v>
      </c>
      <c r="K75" s="4" t="s">
        <v>18</v>
      </c>
      <c r="L75" s="4">
        <v>7298</v>
      </c>
      <c r="M75" s="4">
        <v>0</v>
      </c>
      <c r="N75" s="4">
        <v>40</v>
      </c>
      <c r="O75" s="4" t="s">
        <v>7</v>
      </c>
      <c r="P75" s="4" t="s">
        <v>19</v>
      </c>
      <c r="Q75" s="4" t="e">
        <f>IF(Tabela2[[#This Row],[sex]]="Female",Tabela2[[#This Row],[hours-per-week]],NA())</f>
        <v>#N/A</v>
      </c>
      <c r="R75" s="4">
        <f>IF(Tabela2[[#This Row],[sex]]="Male",Tabela2[[#This Row],[hours-per-week]],NA())</f>
        <v>40</v>
      </c>
    </row>
    <row r="76" spans="1:18">
      <c r="A76" s="3" t="s">
        <v>167</v>
      </c>
      <c r="B76" s="4">
        <v>24</v>
      </c>
      <c r="C76" s="4" t="s">
        <v>0</v>
      </c>
      <c r="D76" s="4">
        <v>102493</v>
      </c>
      <c r="E76" s="4" t="s">
        <v>28</v>
      </c>
      <c r="F76" s="4">
        <v>9</v>
      </c>
      <c r="G76" s="4" t="s">
        <v>29</v>
      </c>
      <c r="H76" s="4" t="s">
        <v>34</v>
      </c>
      <c r="I76" s="4" t="s">
        <v>32</v>
      </c>
      <c r="J76" s="4" t="s">
        <v>5</v>
      </c>
      <c r="K76" s="4" t="s">
        <v>18</v>
      </c>
      <c r="L76" s="4">
        <v>0</v>
      </c>
      <c r="M76" s="4">
        <v>0</v>
      </c>
      <c r="N76" s="4">
        <v>40</v>
      </c>
      <c r="O76" s="4" t="s">
        <v>7</v>
      </c>
      <c r="P76" s="4" t="s">
        <v>8</v>
      </c>
      <c r="Q76" s="4" t="e">
        <f>IF(Tabela2[[#This Row],[sex]]="Female",Tabela2[[#This Row],[hours-per-week]],NA())</f>
        <v>#N/A</v>
      </c>
      <c r="R76" s="4">
        <f>IF(Tabela2[[#This Row],[sex]]="Male",Tabela2[[#This Row],[hours-per-week]],NA())</f>
        <v>40</v>
      </c>
    </row>
    <row r="77" spans="1:18">
      <c r="A77" s="3" t="s">
        <v>168</v>
      </c>
      <c r="B77" s="4">
        <v>39</v>
      </c>
      <c r="C77" s="4" t="s">
        <v>37</v>
      </c>
      <c r="D77" s="4">
        <v>362685</v>
      </c>
      <c r="E77" s="4" t="s">
        <v>52</v>
      </c>
      <c r="F77" s="4">
        <v>1</v>
      </c>
      <c r="G77" s="4" t="s">
        <v>47</v>
      </c>
      <c r="H77" s="4" t="s">
        <v>37</v>
      </c>
      <c r="I77" s="4" t="s">
        <v>11</v>
      </c>
      <c r="J77" s="4" t="s">
        <v>5</v>
      </c>
      <c r="K77" s="4" t="s">
        <v>6</v>
      </c>
      <c r="L77" s="4">
        <v>0</v>
      </c>
      <c r="M77" s="4">
        <v>0</v>
      </c>
      <c r="N77" s="4">
        <v>20</v>
      </c>
      <c r="O77" s="4" t="s">
        <v>53</v>
      </c>
      <c r="P77" s="4" t="s">
        <v>8</v>
      </c>
      <c r="Q77" s="4">
        <f>IF(Tabela2[[#This Row],[sex]]="Female",Tabela2[[#This Row],[hours-per-week]],NA())</f>
        <v>20</v>
      </c>
      <c r="R77" s="4" t="e">
        <f>IF(Tabela2[[#This Row],[sex]]="Male",Tabela2[[#This Row],[hours-per-week]],NA())</f>
        <v>#N/A</v>
      </c>
    </row>
    <row r="78" spans="1:18">
      <c r="A78" s="3" t="s">
        <v>169</v>
      </c>
      <c r="B78" s="4">
        <v>43</v>
      </c>
      <c r="C78" s="4" t="s">
        <v>0</v>
      </c>
      <c r="D78" s="4">
        <v>245842</v>
      </c>
      <c r="E78" s="4" t="s">
        <v>28</v>
      </c>
      <c r="F78" s="4">
        <v>9</v>
      </c>
      <c r="G78" s="4" t="s">
        <v>29</v>
      </c>
      <c r="H78" s="4" t="s">
        <v>22</v>
      </c>
      <c r="I78" s="4" t="s">
        <v>32</v>
      </c>
      <c r="J78" s="4" t="s">
        <v>5</v>
      </c>
      <c r="K78" s="4" t="s">
        <v>18</v>
      </c>
      <c r="L78" s="4">
        <v>0</v>
      </c>
      <c r="M78" s="4">
        <v>0</v>
      </c>
      <c r="N78" s="4">
        <v>44</v>
      </c>
      <c r="O78" s="4" t="s">
        <v>54</v>
      </c>
      <c r="P78" s="4" t="s">
        <v>8</v>
      </c>
      <c r="Q78" s="4" t="e">
        <f>IF(Tabela2[[#This Row],[sex]]="Female",Tabela2[[#This Row],[hours-per-week]],NA())</f>
        <v>#N/A</v>
      </c>
      <c r="R78" s="4">
        <f>IF(Tabela2[[#This Row],[sex]]="Male",Tabela2[[#This Row],[hours-per-week]],NA())</f>
        <v>44</v>
      </c>
    </row>
    <row r="79" spans="1:18">
      <c r="A79" s="3" t="s">
        <v>170</v>
      </c>
      <c r="B79" s="4">
        <v>51</v>
      </c>
      <c r="C79" s="4" t="s">
        <v>0</v>
      </c>
      <c r="D79" s="4">
        <v>53197</v>
      </c>
      <c r="E79" s="4" t="s">
        <v>28</v>
      </c>
      <c r="F79" s="4">
        <v>9</v>
      </c>
      <c r="G79" s="4" t="s">
        <v>29</v>
      </c>
      <c r="H79" s="4" t="s">
        <v>16</v>
      </c>
      <c r="I79" s="4" t="s">
        <v>32</v>
      </c>
      <c r="J79" s="4" t="s">
        <v>5</v>
      </c>
      <c r="K79" s="4" t="s">
        <v>18</v>
      </c>
      <c r="L79" s="4">
        <v>0</v>
      </c>
      <c r="M79" s="4">
        <v>0</v>
      </c>
      <c r="N79" s="4">
        <v>40</v>
      </c>
      <c r="O79" s="4" t="s">
        <v>7</v>
      </c>
      <c r="P79" s="4" t="s">
        <v>8</v>
      </c>
      <c r="Q79" s="4" t="e">
        <f>IF(Tabela2[[#This Row],[sex]]="Female",Tabela2[[#This Row],[hours-per-week]],NA())</f>
        <v>#N/A</v>
      </c>
      <c r="R79" s="4">
        <f>IF(Tabela2[[#This Row],[sex]]="Male",Tabela2[[#This Row],[hours-per-week]],NA())</f>
        <v>40</v>
      </c>
    </row>
    <row r="80" spans="1:18">
      <c r="A80" s="3" t="s">
        <v>171</v>
      </c>
      <c r="B80" s="4">
        <v>70</v>
      </c>
      <c r="C80" s="4" t="s">
        <v>0</v>
      </c>
      <c r="D80" s="4">
        <v>35494</v>
      </c>
      <c r="E80" s="4" t="s">
        <v>28</v>
      </c>
      <c r="F80" s="4">
        <v>9</v>
      </c>
      <c r="G80" s="4" t="s">
        <v>29</v>
      </c>
      <c r="H80" s="4" t="s">
        <v>46</v>
      </c>
      <c r="I80" s="4" t="s">
        <v>32</v>
      </c>
      <c r="J80" s="4" t="s">
        <v>5</v>
      </c>
      <c r="K80" s="4" t="s">
        <v>18</v>
      </c>
      <c r="L80" s="4">
        <v>0</v>
      </c>
      <c r="M80" s="4">
        <v>0</v>
      </c>
      <c r="N80" s="4">
        <v>30</v>
      </c>
      <c r="O80" s="4" t="s">
        <v>7</v>
      </c>
      <c r="P80" s="4" t="s">
        <v>8</v>
      </c>
      <c r="Q80" s="4" t="e">
        <f>IF(Tabela2[[#This Row],[sex]]="Female",Tabela2[[#This Row],[hours-per-week]],NA())</f>
        <v>#N/A</v>
      </c>
      <c r="R80" s="4">
        <f>IF(Tabela2[[#This Row],[sex]]="Male",Tabela2[[#This Row],[hours-per-week]],NA())</f>
        <v>30</v>
      </c>
    </row>
    <row r="81" spans="1:18">
      <c r="A81" s="3" t="s">
        <v>172</v>
      </c>
      <c r="B81" s="4">
        <v>70</v>
      </c>
      <c r="C81" s="4" t="s">
        <v>0</v>
      </c>
      <c r="D81" s="4">
        <v>121993</v>
      </c>
      <c r="E81" s="4" t="s">
        <v>28</v>
      </c>
      <c r="F81" s="4">
        <v>9</v>
      </c>
      <c r="G81" s="4" t="s">
        <v>29</v>
      </c>
      <c r="H81" s="4" t="s">
        <v>33</v>
      </c>
      <c r="I81" s="4" t="s">
        <v>31</v>
      </c>
      <c r="J81" s="4" t="s">
        <v>5</v>
      </c>
      <c r="K81" s="4" t="s">
        <v>6</v>
      </c>
      <c r="L81" s="4">
        <v>0</v>
      </c>
      <c r="M81" s="4">
        <v>0</v>
      </c>
      <c r="N81" s="4">
        <v>5</v>
      </c>
      <c r="O81" s="4" t="s">
        <v>7</v>
      </c>
      <c r="P81" s="4" t="s">
        <v>8</v>
      </c>
      <c r="Q81" s="4">
        <f>IF(Tabela2[[#This Row],[sex]]="Female",Tabela2[[#This Row],[hours-per-week]],NA())</f>
        <v>5</v>
      </c>
      <c r="R81" s="4" t="e">
        <f>IF(Tabela2[[#This Row],[sex]]="Male",Tabela2[[#This Row],[hours-per-week]],NA())</f>
        <v>#N/A</v>
      </c>
    </row>
    <row r="82" spans="1:18">
      <c r="A82" s="3" t="s">
        <v>173</v>
      </c>
      <c r="B82" s="4">
        <v>28</v>
      </c>
      <c r="C82" s="4" t="s">
        <v>20</v>
      </c>
      <c r="D82" s="4">
        <v>154863</v>
      </c>
      <c r="E82" s="4" t="s">
        <v>28</v>
      </c>
      <c r="F82" s="4">
        <v>9</v>
      </c>
      <c r="G82" s="4" t="s">
        <v>2</v>
      </c>
      <c r="H82" s="4" t="s">
        <v>55</v>
      </c>
      <c r="I82" s="4" t="s">
        <v>45</v>
      </c>
      <c r="J82" s="4" t="s">
        <v>23</v>
      </c>
      <c r="K82" s="4" t="s">
        <v>18</v>
      </c>
      <c r="L82" s="4">
        <v>0</v>
      </c>
      <c r="M82" s="4">
        <v>1876</v>
      </c>
      <c r="N82" s="4">
        <v>40</v>
      </c>
      <c r="O82" s="4" t="s">
        <v>7</v>
      </c>
      <c r="P82" s="4" t="s">
        <v>8</v>
      </c>
      <c r="Q82" s="4" t="e">
        <f>IF(Tabela2[[#This Row],[sex]]="Female",Tabela2[[#This Row],[hours-per-week]],NA())</f>
        <v>#N/A</v>
      </c>
      <c r="R82" s="4">
        <f>IF(Tabela2[[#This Row],[sex]]="Male",Tabela2[[#This Row],[hours-per-week]],NA())</f>
        <v>40</v>
      </c>
    </row>
    <row r="83" spans="1:18">
      <c r="A83" s="3" t="s">
        <v>174</v>
      </c>
      <c r="B83" s="4">
        <v>19</v>
      </c>
      <c r="C83" s="4" t="s">
        <v>0</v>
      </c>
      <c r="D83" s="4">
        <v>38619</v>
      </c>
      <c r="E83" s="4" t="s">
        <v>12</v>
      </c>
      <c r="F83" s="4">
        <v>10</v>
      </c>
      <c r="G83" s="4" t="s">
        <v>2</v>
      </c>
      <c r="H83" s="4" t="s">
        <v>24</v>
      </c>
      <c r="I83" s="4" t="s">
        <v>4</v>
      </c>
      <c r="J83" s="4" t="s">
        <v>5</v>
      </c>
      <c r="K83" s="4" t="s">
        <v>18</v>
      </c>
      <c r="L83" s="4">
        <v>0</v>
      </c>
      <c r="M83" s="4">
        <v>0</v>
      </c>
      <c r="N83" s="4">
        <v>66</v>
      </c>
      <c r="O83" s="4" t="s">
        <v>7</v>
      </c>
      <c r="P83" s="4" t="s">
        <v>8</v>
      </c>
      <c r="Q83" s="4" t="e">
        <f>IF(Tabela2[[#This Row],[sex]]="Female",Tabela2[[#This Row],[hours-per-week]],NA())</f>
        <v>#N/A</v>
      </c>
      <c r="R83" s="4">
        <f>IF(Tabela2[[#This Row],[sex]]="Male",Tabela2[[#This Row],[hours-per-week]],NA())</f>
        <v>66</v>
      </c>
    </row>
    <row r="84" spans="1:18">
      <c r="A84" s="3" t="s">
        <v>175</v>
      </c>
      <c r="B84" s="4">
        <v>51</v>
      </c>
      <c r="C84" s="4" t="s">
        <v>0</v>
      </c>
      <c r="D84" s="4">
        <v>186338</v>
      </c>
      <c r="E84" s="4" t="s">
        <v>28</v>
      </c>
      <c r="F84" s="4">
        <v>9</v>
      </c>
      <c r="G84" s="4" t="s">
        <v>29</v>
      </c>
      <c r="H84" s="4" t="s">
        <v>16</v>
      </c>
      <c r="I84" s="4" t="s">
        <v>32</v>
      </c>
      <c r="J84" s="4" t="s">
        <v>5</v>
      </c>
      <c r="K84" s="4" t="s">
        <v>18</v>
      </c>
      <c r="L84" s="4">
        <v>0</v>
      </c>
      <c r="M84" s="4">
        <v>0</v>
      </c>
      <c r="N84" s="4">
        <v>40</v>
      </c>
      <c r="O84" s="4" t="s">
        <v>7</v>
      </c>
      <c r="P84" s="4" t="s">
        <v>19</v>
      </c>
      <c r="Q84" s="4" t="e">
        <f>IF(Tabela2[[#This Row],[sex]]="Female",Tabela2[[#This Row],[hours-per-week]],NA())</f>
        <v>#N/A</v>
      </c>
      <c r="R84" s="4">
        <f>IF(Tabela2[[#This Row],[sex]]="Male",Tabela2[[#This Row],[hours-per-week]],NA())</f>
        <v>40</v>
      </c>
    </row>
    <row r="85" spans="1:18">
      <c r="A85" s="3" t="s">
        <v>176</v>
      </c>
      <c r="B85" s="4">
        <v>47</v>
      </c>
      <c r="C85" s="4" t="s">
        <v>0</v>
      </c>
      <c r="D85" s="4">
        <v>76612</v>
      </c>
      <c r="E85" s="4" t="s">
        <v>28</v>
      </c>
      <c r="F85" s="4">
        <v>9</v>
      </c>
      <c r="G85" s="4" t="s">
        <v>29</v>
      </c>
      <c r="H85" s="4" t="s">
        <v>27</v>
      </c>
      <c r="I85" s="4" t="s">
        <v>32</v>
      </c>
      <c r="J85" s="4" t="s">
        <v>5</v>
      </c>
      <c r="K85" s="4" t="s">
        <v>18</v>
      </c>
      <c r="L85" s="4">
        <v>0</v>
      </c>
      <c r="M85" s="4">
        <v>0</v>
      </c>
      <c r="N85" s="4">
        <v>50</v>
      </c>
      <c r="O85" s="4" t="s">
        <v>7</v>
      </c>
      <c r="P85" s="4" t="s">
        <v>8</v>
      </c>
      <c r="Q85" s="4" t="e">
        <f>IF(Tabela2[[#This Row],[sex]]="Female",Tabela2[[#This Row],[hours-per-week]],NA())</f>
        <v>#N/A</v>
      </c>
      <c r="R85" s="4">
        <f>IF(Tabela2[[#This Row],[sex]]="Male",Tabela2[[#This Row],[hours-per-week]],NA())</f>
        <v>50</v>
      </c>
    </row>
    <row r="86" spans="1:18">
      <c r="A86" s="3" t="s">
        <v>177</v>
      </c>
      <c r="B86" s="4">
        <v>28</v>
      </c>
      <c r="C86" s="4" t="s">
        <v>0</v>
      </c>
      <c r="D86" s="4">
        <v>210867</v>
      </c>
      <c r="E86" s="4" t="s">
        <v>1</v>
      </c>
      <c r="F86" s="4">
        <v>7</v>
      </c>
      <c r="G86" s="4" t="s">
        <v>15</v>
      </c>
      <c r="H86" s="4" t="s">
        <v>10</v>
      </c>
      <c r="I86" s="4" t="s">
        <v>4</v>
      </c>
      <c r="J86" s="4" t="s">
        <v>5</v>
      </c>
      <c r="K86" s="4" t="s">
        <v>18</v>
      </c>
      <c r="L86" s="4">
        <v>0</v>
      </c>
      <c r="M86" s="4">
        <v>0</v>
      </c>
      <c r="N86" s="4">
        <v>40</v>
      </c>
      <c r="O86" s="4" t="s">
        <v>7</v>
      </c>
      <c r="P86" s="4" t="s">
        <v>8</v>
      </c>
      <c r="Q86" s="4" t="e">
        <f>IF(Tabela2[[#This Row],[sex]]="Female",Tabela2[[#This Row],[hours-per-week]],NA())</f>
        <v>#N/A</v>
      </c>
      <c r="R86" s="4">
        <f>IF(Tabela2[[#This Row],[sex]]="Male",Tabela2[[#This Row],[hours-per-week]],NA())</f>
        <v>40</v>
      </c>
    </row>
    <row r="87" spans="1:18">
      <c r="A87" s="3" t="s">
        <v>178</v>
      </c>
      <c r="B87" s="4">
        <v>41</v>
      </c>
      <c r="C87" s="4" t="s">
        <v>20</v>
      </c>
      <c r="D87" s="4">
        <v>52037</v>
      </c>
      <c r="E87" s="4" t="s">
        <v>12</v>
      </c>
      <c r="F87" s="4">
        <v>10</v>
      </c>
      <c r="G87" s="4" t="s">
        <v>15</v>
      </c>
      <c r="H87" s="4" t="s">
        <v>33</v>
      </c>
      <c r="I87" s="4" t="s">
        <v>35</v>
      </c>
      <c r="J87" s="4" t="s">
        <v>5</v>
      </c>
      <c r="K87" s="4" t="s">
        <v>6</v>
      </c>
      <c r="L87" s="4">
        <v>0</v>
      </c>
      <c r="M87" s="4">
        <v>0</v>
      </c>
      <c r="N87" s="4">
        <v>40</v>
      </c>
      <c r="O87" s="4" t="s">
        <v>7</v>
      </c>
      <c r="P87" s="4" t="s">
        <v>8</v>
      </c>
      <c r="Q87" s="4">
        <f>IF(Tabela2[[#This Row],[sex]]="Female",Tabela2[[#This Row],[hours-per-week]],NA())</f>
        <v>40</v>
      </c>
      <c r="R87" s="4" t="e">
        <f>IF(Tabela2[[#This Row],[sex]]="Male",Tabela2[[#This Row],[hours-per-week]],NA())</f>
        <v>#N/A</v>
      </c>
    </row>
    <row r="88" spans="1:18">
      <c r="A88" s="3" t="s">
        <v>179</v>
      </c>
      <c r="B88" s="4">
        <v>31</v>
      </c>
      <c r="C88" s="4" t="s">
        <v>0</v>
      </c>
      <c r="D88" s="4">
        <v>45604</v>
      </c>
      <c r="E88" s="4" t="s">
        <v>28</v>
      </c>
      <c r="F88" s="4">
        <v>9</v>
      </c>
      <c r="G88" s="4" t="s">
        <v>29</v>
      </c>
      <c r="H88" s="4" t="s">
        <v>46</v>
      </c>
      <c r="I88" s="4" t="s">
        <v>32</v>
      </c>
      <c r="J88" s="4" t="s">
        <v>5</v>
      </c>
      <c r="K88" s="4" t="s">
        <v>18</v>
      </c>
      <c r="L88" s="4">
        <v>0</v>
      </c>
      <c r="M88" s="4">
        <v>0</v>
      </c>
      <c r="N88" s="4">
        <v>54</v>
      </c>
      <c r="O88" s="4" t="s">
        <v>7</v>
      </c>
      <c r="P88" s="4" t="s">
        <v>8</v>
      </c>
      <c r="Q88" s="4" t="e">
        <f>IF(Tabela2[[#This Row],[sex]]="Female",Tabela2[[#This Row],[hours-per-week]],NA())</f>
        <v>#N/A</v>
      </c>
      <c r="R88" s="4">
        <f>IF(Tabela2[[#This Row],[sex]]="Male",Tabela2[[#This Row],[hours-per-week]],NA())</f>
        <v>54</v>
      </c>
    </row>
    <row r="89" spans="1:18">
      <c r="A89" s="3" t="s">
        <v>180</v>
      </c>
      <c r="B89" s="4">
        <v>38</v>
      </c>
      <c r="C89" s="4" t="s">
        <v>25</v>
      </c>
      <c r="D89" s="4">
        <v>31352</v>
      </c>
      <c r="E89" s="4" t="s">
        <v>12</v>
      </c>
      <c r="F89" s="4">
        <v>10</v>
      </c>
      <c r="G89" s="4" t="s">
        <v>15</v>
      </c>
      <c r="H89" s="4" t="s">
        <v>55</v>
      </c>
      <c r="I89" s="4" t="s">
        <v>35</v>
      </c>
      <c r="J89" s="4" t="s">
        <v>13</v>
      </c>
      <c r="K89" s="4" t="s">
        <v>6</v>
      </c>
      <c r="L89" s="4">
        <v>0</v>
      </c>
      <c r="M89" s="4">
        <v>0</v>
      </c>
      <c r="N89" s="4">
        <v>40</v>
      </c>
      <c r="O89" s="4" t="s">
        <v>7</v>
      </c>
      <c r="P89" s="4" t="s">
        <v>19</v>
      </c>
      <c r="Q89" s="4">
        <f>IF(Tabela2[[#This Row],[sex]]="Female",Tabela2[[#This Row],[hours-per-week]],NA())</f>
        <v>40</v>
      </c>
      <c r="R89" s="4" t="e">
        <f>IF(Tabela2[[#This Row],[sex]]="Male",Tabela2[[#This Row],[hours-per-week]],NA())</f>
        <v>#N/A</v>
      </c>
    </row>
    <row r="90" spans="1:18">
      <c r="A90" s="3" t="s">
        <v>181</v>
      </c>
      <c r="B90" s="4">
        <v>21</v>
      </c>
      <c r="C90" s="4" t="s">
        <v>0</v>
      </c>
      <c r="D90" s="4">
        <v>452640</v>
      </c>
      <c r="E90" s="4" t="s">
        <v>28</v>
      </c>
      <c r="F90" s="4">
        <v>9</v>
      </c>
      <c r="G90" s="4" t="s">
        <v>2</v>
      </c>
      <c r="H90" s="4" t="s">
        <v>16</v>
      </c>
      <c r="I90" s="4" t="s">
        <v>11</v>
      </c>
      <c r="J90" s="4" t="s">
        <v>5</v>
      </c>
      <c r="K90" s="4" t="s">
        <v>18</v>
      </c>
      <c r="L90" s="4">
        <v>0</v>
      </c>
      <c r="M90" s="4">
        <v>0</v>
      </c>
      <c r="N90" s="4">
        <v>40</v>
      </c>
      <c r="O90" s="4" t="s">
        <v>7</v>
      </c>
      <c r="P90" s="4" t="s">
        <v>8</v>
      </c>
      <c r="Q90" s="4" t="e">
        <f>IF(Tabela2[[#This Row],[sex]]="Female",Tabela2[[#This Row],[hours-per-week]],NA())</f>
        <v>#N/A</v>
      </c>
      <c r="R90" s="4">
        <f>IF(Tabela2[[#This Row],[sex]]="Male",Tabela2[[#This Row],[hours-per-week]],NA())</f>
        <v>40</v>
      </c>
    </row>
    <row r="91" spans="1:18">
      <c r="A91" s="3" t="s">
        <v>182</v>
      </c>
      <c r="B91" s="4">
        <v>44</v>
      </c>
      <c r="C91" s="4" t="s">
        <v>0</v>
      </c>
      <c r="D91" s="4">
        <v>111483</v>
      </c>
      <c r="E91" s="4" t="s">
        <v>28</v>
      </c>
      <c r="F91" s="4">
        <v>9</v>
      </c>
      <c r="G91" s="4" t="s">
        <v>2</v>
      </c>
      <c r="H91" s="4" t="s">
        <v>33</v>
      </c>
      <c r="I91" s="4" t="s">
        <v>4</v>
      </c>
      <c r="J91" s="4" t="s">
        <v>5</v>
      </c>
      <c r="K91" s="4" t="s">
        <v>18</v>
      </c>
      <c r="L91" s="4">
        <v>0</v>
      </c>
      <c r="M91" s="4">
        <v>1504</v>
      </c>
      <c r="N91" s="4">
        <v>50</v>
      </c>
      <c r="O91" s="4" t="s">
        <v>7</v>
      </c>
      <c r="P91" s="4" t="s">
        <v>8</v>
      </c>
      <c r="Q91" s="4" t="e">
        <f>IF(Tabela2[[#This Row],[sex]]="Female",Tabela2[[#This Row],[hours-per-week]],NA())</f>
        <v>#N/A</v>
      </c>
      <c r="R91" s="4">
        <f>IF(Tabela2[[#This Row],[sex]]="Male",Tabela2[[#This Row],[hours-per-week]],NA())</f>
        <v>50</v>
      </c>
    </row>
    <row r="92" spans="1:18">
      <c r="A92" s="3" t="s">
        <v>183</v>
      </c>
      <c r="B92" s="4">
        <v>29</v>
      </c>
      <c r="C92" s="4" t="s">
        <v>0</v>
      </c>
      <c r="D92" s="4">
        <v>52636</v>
      </c>
      <c r="E92" s="4" t="s">
        <v>28</v>
      </c>
      <c r="F92" s="4">
        <v>9</v>
      </c>
      <c r="G92" s="4" t="s">
        <v>29</v>
      </c>
      <c r="H92" s="4" t="s">
        <v>38</v>
      </c>
      <c r="I92" s="4" t="s">
        <v>32</v>
      </c>
      <c r="J92" s="4" t="s">
        <v>5</v>
      </c>
      <c r="K92" s="4" t="s">
        <v>18</v>
      </c>
      <c r="L92" s="4">
        <v>0</v>
      </c>
      <c r="M92" s="4">
        <v>0</v>
      </c>
      <c r="N92" s="4">
        <v>40</v>
      </c>
      <c r="O92" s="4" t="s">
        <v>7</v>
      </c>
      <c r="P92" s="4" t="s">
        <v>8</v>
      </c>
      <c r="Q92" s="4" t="e">
        <f>IF(Tabela2[[#This Row],[sex]]="Female",Tabela2[[#This Row],[hours-per-week]],NA())</f>
        <v>#N/A</v>
      </c>
      <c r="R92" s="4">
        <f>IF(Tabela2[[#This Row],[sex]]="Male",Tabela2[[#This Row],[hours-per-week]],NA())</f>
        <v>40</v>
      </c>
    </row>
    <row r="93" spans="1:18">
      <c r="A93" s="3" t="s">
        <v>184</v>
      </c>
      <c r="B93" s="4">
        <v>25</v>
      </c>
      <c r="C93" s="4" t="s">
        <v>0</v>
      </c>
      <c r="D93" s="4">
        <v>267012</v>
      </c>
      <c r="E93" s="4" t="s">
        <v>44</v>
      </c>
      <c r="F93" s="4">
        <v>11</v>
      </c>
      <c r="G93" s="4" t="s">
        <v>2</v>
      </c>
      <c r="H93" s="4" t="s">
        <v>10</v>
      </c>
      <c r="I93" s="4" t="s">
        <v>11</v>
      </c>
      <c r="J93" s="4" t="s">
        <v>5</v>
      </c>
      <c r="K93" s="4" t="s">
        <v>18</v>
      </c>
      <c r="L93" s="4">
        <v>0</v>
      </c>
      <c r="M93" s="4">
        <v>0</v>
      </c>
      <c r="N93" s="4">
        <v>45</v>
      </c>
      <c r="O93" s="4" t="s">
        <v>7</v>
      </c>
      <c r="P93" s="4" t="s">
        <v>8</v>
      </c>
      <c r="Q93" s="4" t="e">
        <f>IF(Tabela2[[#This Row],[sex]]="Female",Tabela2[[#This Row],[hours-per-week]],NA())</f>
        <v>#N/A</v>
      </c>
      <c r="R93" s="4">
        <f>IF(Tabela2[[#This Row],[sex]]="Male",Tabela2[[#This Row],[hours-per-week]],NA())</f>
        <v>45</v>
      </c>
    </row>
    <row r="94" spans="1:18">
      <c r="A94" s="3" t="s">
        <v>185</v>
      </c>
      <c r="B94" s="4">
        <v>20</v>
      </c>
      <c r="C94" s="4" t="s">
        <v>37</v>
      </c>
      <c r="D94" s="4">
        <v>24395</v>
      </c>
      <c r="E94" s="4" t="s">
        <v>12</v>
      </c>
      <c r="F94" s="4">
        <v>10</v>
      </c>
      <c r="G94" s="4" t="s">
        <v>2</v>
      </c>
      <c r="H94" s="4" t="s">
        <v>37</v>
      </c>
      <c r="I94" s="4" t="s">
        <v>35</v>
      </c>
      <c r="J94" s="4" t="s">
        <v>5</v>
      </c>
      <c r="K94" s="4" t="s">
        <v>6</v>
      </c>
      <c r="L94" s="4">
        <v>0</v>
      </c>
      <c r="M94" s="4">
        <v>0</v>
      </c>
      <c r="N94" s="4">
        <v>20</v>
      </c>
      <c r="O94" s="4" t="s">
        <v>7</v>
      </c>
      <c r="P94" s="4" t="s">
        <v>8</v>
      </c>
      <c r="Q94" s="4">
        <f>IF(Tabela2[[#This Row],[sex]]="Female",Tabela2[[#This Row],[hours-per-week]],NA())</f>
        <v>20</v>
      </c>
      <c r="R94" s="4" t="e">
        <f>IF(Tabela2[[#This Row],[sex]]="Male",Tabela2[[#This Row],[hours-per-week]],NA())</f>
        <v>#N/A</v>
      </c>
    </row>
    <row r="95" spans="1:18">
      <c r="A95" s="3" t="s">
        <v>186</v>
      </c>
      <c r="B95" s="4">
        <v>43</v>
      </c>
      <c r="C95" s="4" t="s">
        <v>0</v>
      </c>
      <c r="D95" s="4">
        <v>191149</v>
      </c>
      <c r="E95" s="4" t="s">
        <v>28</v>
      </c>
      <c r="F95" s="4">
        <v>9</v>
      </c>
      <c r="G95" s="4" t="s">
        <v>15</v>
      </c>
      <c r="H95" s="4" t="s">
        <v>46</v>
      </c>
      <c r="I95" s="4" t="s">
        <v>11</v>
      </c>
      <c r="J95" s="4" t="s">
        <v>5</v>
      </c>
      <c r="K95" s="4" t="s">
        <v>6</v>
      </c>
      <c r="L95" s="4">
        <v>0</v>
      </c>
      <c r="M95" s="4">
        <v>0</v>
      </c>
      <c r="N95" s="4">
        <v>40</v>
      </c>
      <c r="O95" s="4" t="s">
        <v>7</v>
      </c>
      <c r="P95" s="4" t="s">
        <v>8</v>
      </c>
      <c r="Q95" s="4">
        <f>IF(Tabela2[[#This Row],[sex]]="Female",Tabela2[[#This Row],[hours-per-week]],NA())</f>
        <v>40</v>
      </c>
      <c r="R95" s="4" t="e">
        <f>IF(Tabela2[[#This Row],[sex]]="Male",Tabela2[[#This Row],[hours-per-week]],NA())</f>
        <v>#N/A</v>
      </c>
    </row>
    <row r="96" spans="1:18">
      <c r="A96" s="3" t="s">
        <v>187</v>
      </c>
      <c r="B96" s="4">
        <v>27</v>
      </c>
      <c r="C96" s="4" t="s">
        <v>41</v>
      </c>
      <c r="D96" s="4">
        <v>285432</v>
      </c>
      <c r="E96" s="4" t="s">
        <v>9</v>
      </c>
      <c r="F96" s="4">
        <v>12</v>
      </c>
      <c r="G96" s="4" t="s">
        <v>2</v>
      </c>
      <c r="H96" s="4" t="s">
        <v>38</v>
      </c>
      <c r="I96" s="4" t="s">
        <v>11</v>
      </c>
      <c r="J96" s="4" t="s">
        <v>23</v>
      </c>
      <c r="K96" s="4" t="s">
        <v>18</v>
      </c>
      <c r="L96" s="4">
        <v>0</v>
      </c>
      <c r="M96" s="4">
        <v>0</v>
      </c>
      <c r="N96" s="4">
        <v>40</v>
      </c>
      <c r="O96" s="4" t="s">
        <v>7</v>
      </c>
      <c r="P96" s="4" t="s">
        <v>8</v>
      </c>
      <c r="Q96" s="4" t="e">
        <f>IF(Tabela2[[#This Row],[sex]]="Female",Tabela2[[#This Row],[hours-per-week]],NA())</f>
        <v>#N/A</v>
      </c>
      <c r="R96" s="4">
        <f>IF(Tabela2[[#This Row],[sex]]="Male",Tabela2[[#This Row],[hours-per-week]],NA())</f>
        <v>40</v>
      </c>
    </row>
    <row r="97" spans="1:18">
      <c r="A97" s="3" t="s">
        <v>188</v>
      </c>
      <c r="B97" s="4">
        <v>32</v>
      </c>
      <c r="C97" s="4" t="s">
        <v>41</v>
      </c>
      <c r="D97" s="4">
        <v>125856</v>
      </c>
      <c r="E97" s="4" t="s">
        <v>28</v>
      </c>
      <c r="F97" s="4">
        <v>9</v>
      </c>
      <c r="G97" s="4" t="s">
        <v>15</v>
      </c>
      <c r="H97" s="4" t="s">
        <v>16</v>
      </c>
      <c r="I97" s="4" t="s">
        <v>35</v>
      </c>
      <c r="J97" s="4" t="s">
        <v>5</v>
      </c>
      <c r="K97" s="4" t="s">
        <v>18</v>
      </c>
      <c r="L97" s="4">
        <v>0</v>
      </c>
      <c r="M97" s="4">
        <v>0</v>
      </c>
      <c r="N97" s="4">
        <v>40</v>
      </c>
      <c r="O97" s="4" t="s">
        <v>7</v>
      </c>
      <c r="P97" s="4" t="s">
        <v>8</v>
      </c>
      <c r="Q97" s="4" t="e">
        <f>IF(Tabela2[[#This Row],[sex]]="Female",Tabela2[[#This Row],[hours-per-week]],NA())</f>
        <v>#N/A</v>
      </c>
      <c r="R97" s="4">
        <f>IF(Tabela2[[#This Row],[sex]]="Male",Tabela2[[#This Row],[hours-per-week]],NA())</f>
        <v>40</v>
      </c>
    </row>
    <row r="98" spans="1:18">
      <c r="A98" s="3" t="s">
        <v>189</v>
      </c>
      <c r="B98" s="4">
        <v>29</v>
      </c>
      <c r="C98" s="4" t="s">
        <v>0</v>
      </c>
      <c r="D98" s="4">
        <v>114224</v>
      </c>
      <c r="E98" s="4" t="s">
        <v>26</v>
      </c>
      <c r="F98" s="4">
        <v>13</v>
      </c>
      <c r="G98" s="4" t="s">
        <v>29</v>
      </c>
      <c r="H98" s="4" t="s">
        <v>27</v>
      </c>
      <c r="I98" s="4" t="s">
        <v>32</v>
      </c>
      <c r="J98" s="4" t="s">
        <v>5</v>
      </c>
      <c r="K98" s="4" t="s">
        <v>18</v>
      </c>
      <c r="L98" s="4">
        <v>0</v>
      </c>
      <c r="M98" s="4">
        <v>0</v>
      </c>
      <c r="N98" s="4">
        <v>40</v>
      </c>
      <c r="O98" s="4" t="s">
        <v>7</v>
      </c>
      <c r="P98" s="4" t="s">
        <v>19</v>
      </c>
      <c r="Q98" s="4" t="e">
        <f>IF(Tabela2[[#This Row],[sex]]="Female",Tabela2[[#This Row],[hours-per-week]],NA())</f>
        <v>#N/A</v>
      </c>
      <c r="R98" s="4">
        <f>IF(Tabela2[[#This Row],[sex]]="Male",Tabela2[[#This Row],[hours-per-week]],NA())</f>
        <v>40</v>
      </c>
    </row>
    <row r="99" spans="1:18">
      <c r="A99" s="3" t="s">
        <v>190</v>
      </c>
      <c r="B99" s="4">
        <v>34</v>
      </c>
      <c r="C99" s="4" t="s">
        <v>49</v>
      </c>
      <c r="D99" s="4">
        <v>207668</v>
      </c>
      <c r="E99" s="4" t="s">
        <v>28</v>
      </c>
      <c r="F99" s="4">
        <v>9</v>
      </c>
      <c r="G99" s="4" t="s">
        <v>29</v>
      </c>
      <c r="H99" s="4" t="s">
        <v>16</v>
      </c>
      <c r="I99" s="4" t="s">
        <v>32</v>
      </c>
      <c r="J99" s="4" t="s">
        <v>5</v>
      </c>
      <c r="K99" s="4" t="s">
        <v>18</v>
      </c>
      <c r="L99" s="4">
        <v>0</v>
      </c>
      <c r="M99" s="4">
        <v>0</v>
      </c>
      <c r="N99" s="4">
        <v>54</v>
      </c>
      <c r="O99" s="4" t="s">
        <v>37</v>
      </c>
      <c r="P99" s="4" t="s">
        <v>19</v>
      </c>
      <c r="Q99" s="4" t="e">
        <f>IF(Tabela2[[#This Row],[sex]]="Female",Tabela2[[#This Row],[hours-per-week]],NA())</f>
        <v>#N/A</v>
      </c>
      <c r="R99" s="4">
        <f>IF(Tabela2[[#This Row],[sex]]="Male",Tabela2[[#This Row],[hours-per-week]],NA())</f>
        <v>54</v>
      </c>
    </row>
    <row r="100" spans="1:18">
      <c r="A100" s="3" t="s">
        <v>191</v>
      </c>
      <c r="B100" s="4">
        <v>42</v>
      </c>
      <c r="C100" s="4" t="s">
        <v>40</v>
      </c>
      <c r="D100" s="4">
        <v>174216</v>
      </c>
      <c r="E100" s="4" t="s">
        <v>50</v>
      </c>
      <c r="F100" s="4">
        <v>15</v>
      </c>
      <c r="G100" s="4" t="s">
        <v>29</v>
      </c>
      <c r="H100" s="4" t="s">
        <v>27</v>
      </c>
      <c r="I100" s="4" t="s">
        <v>32</v>
      </c>
      <c r="J100" s="4" t="s">
        <v>5</v>
      </c>
      <c r="K100" s="4" t="s">
        <v>18</v>
      </c>
      <c r="L100" s="4">
        <v>0</v>
      </c>
      <c r="M100" s="4">
        <v>0</v>
      </c>
      <c r="N100" s="4">
        <v>38</v>
      </c>
      <c r="O100" s="4" t="s">
        <v>7</v>
      </c>
      <c r="P100" s="4" t="s">
        <v>19</v>
      </c>
      <c r="Q100" s="4" t="e">
        <f>IF(Tabela2[[#This Row],[sex]]="Female",Tabela2[[#This Row],[hours-per-week]],NA())</f>
        <v>#N/A</v>
      </c>
      <c r="R100" s="4">
        <f>IF(Tabela2[[#This Row],[sex]]="Male",Tabela2[[#This Row],[hours-per-week]],NA())</f>
        <v>38</v>
      </c>
    </row>
    <row r="101" spans="1:18">
      <c r="A101" s="3" t="s">
        <v>192</v>
      </c>
      <c r="B101" s="4">
        <v>39</v>
      </c>
      <c r="C101" s="4" t="s">
        <v>0</v>
      </c>
      <c r="D101" s="4">
        <v>172538</v>
      </c>
      <c r="E101" s="4" t="s">
        <v>28</v>
      </c>
      <c r="F101" s="4">
        <v>9</v>
      </c>
      <c r="G101" s="4" t="s">
        <v>29</v>
      </c>
      <c r="H101" s="4" t="s">
        <v>27</v>
      </c>
      <c r="I101" s="4" t="s">
        <v>32</v>
      </c>
      <c r="J101" s="4" t="s">
        <v>5</v>
      </c>
      <c r="K101" s="4" t="s">
        <v>18</v>
      </c>
      <c r="L101" s="4">
        <v>0</v>
      </c>
      <c r="M101" s="4">
        <v>0</v>
      </c>
      <c r="N101" s="4">
        <v>50</v>
      </c>
      <c r="O101" s="4" t="s">
        <v>7</v>
      </c>
      <c r="P101" s="4" t="s">
        <v>19</v>
      </c>
      <c r="Q101" s="4" t="e">
        <f>IF(Tabela2[[#This Row],[sex]]="Female",Tabela2[[#This Row],[hours-per-week]],NA())</f>
        <v>#N/A</v>
      </c>
      <c r="R101" s="4">
        <f>IF(Tabela2[[#This Row],[sex]]="Male",Tabela2[[#This Row],[hours-per-week]],NA())</f>
        <v>50</v>
      </c>
    </row>
    <row r="102" spans="1:18">
      <c r="A102" s="3" t="s">
        <v>193</v>
      </c>
      <c r="B102" s="4">
        <v>42</v>
      </c>
      <c r="C102" s="4" t="s">
        <v>25</v>
      </c>
      <c r="D102" s="4">
        <v>55764</v>
      </c>
      <c r="E102" s="4" t="s">
        <v>9</v>
      </c>
      <c r="F102" s="4">
        <v>12</v>
      </c>
      <c r="G102" s="4" t="s">
        <v>15</v>
      </c>
      <c r="H102" s="4" t="s">
        <v>27</v>
      </c>
      <c r="I102" s="4" t="s">
        <v>11</v>
      </c>
      <c r="J102" s="4" t="s">
        <v>23</v>
      </c>
      <c r="K102" s="4" t="s">
        <v>18</v>
      </c>
      <c r="L102" s="4">
        <v>0</v>
      </c>
      <c r="M102" s="4">
        <v>0</v>
      </c>
      <c r="N102" s="4">
        <v>40</v>
      </c>
      <c r="O102" s="4" t="s">
        <v>7</v>
      </c>
      <c r="P102" s="4" t="s">
        <v>8</v>
      </c>
      <c r="Q102" s="4" t="e">
        <f>IF(Tabela2[[#This Row],[sex]]="Female",Tabela2[[#This Row],[hours-per-week]],NA())</f>
        <v>#N/A</v>
      </c>
      <c r="R102" s="4">
        <f>IF(Tabela2[[#This Row],[sex]]="Male",Tabela2[[#This Row],[hours-per-week]],NA())</f>
        <v>40</v>
      </c>
    </row>
    <row r="103" spans="1:18">
      <c r="A103" s="3" t="s">
        <v>194</v>
      </c>
      <c r="B103" s="4">
        <v>25</v>
      </c>
      <c r="C103" s="4" t="s">
        <v>0</v>
      </c>
      <c r="D103" s="4">
        <v>252752</v>
      </c>
      <c r="E103" s="4" t="s">
        <v>12</v>
      </c>
      <c r="F103" s="4">
        <v>10</v>
      </c>
      <c r="G103" s="4" t="s">
        <v>2</v>
      </c>
      <c r="H103" s="4" t="s">
        <v>27</v>
      </c>
      <c r="I103" s="4" t="s">
        <v>11</v>
      </c>
      <c r="J103" s="4" t="s">
        <v>5</v>
      </c>
      <c r="K103" s="4" t="s">
        <v>6</v>
      </c>
      <c r="L103" s="4">
        <v>0</v>
      </c>
      <c r="M103" s="4">
        <v>0</v>
      </c>
      <c r="N103" s="4">
        <v>8</v>
      </c>
      <c r="O103" s="4" t="s">
        <v>7</v>
      </c>
      <c r="P103" s="4" t="s">
        <v>8</v>
      </c>
      <c r="Q103" s="4">
        <f>IF(Tabela2[[#This Row],[sex]]="Female",Tabela2[[#This Row],[hours-per-week]],NA())</f>
        <v>8</v>
      </c>
      <c r="R103" s="4" t="e">
        <f>IF(Tabela2[[#This Row],[sex]]="Male",Tabela2[[#This Row],[hours-per-week]],NA())</f>
        <v>#N/A</v>
      </c>
    </row>
    <row r="104" spans="1:18">
      <c r="A104" s="3" t="s">
        <v>195</v>
      </c>
      <c r="B104" s="4">
        <v>52</v>
      </c>
      <c r="C104" s="4" t="s">
        <v>0</v>
      </c>
      <c r="D104" s="4">
        <v>270142</v>
      </c>
      <c r="E104" s="4" t="s">
        <v>44</v>
      </c>
      <c r="F104" s="4">
        <v>11</v>
      </c>
      <c r="G104" s="4" t="s">
        <v>21</v>
      </c>
      <c r="H104" s="4" t="s">
        <v>46</v>
      </c>
      <c r="I104" s="4" t="s">
        <v>35</v>
      </c>
      <c r="J104" s="4" t="s">
        <v>23</v>
      </c>
      <c r="K104" s="4" t="s">
        <v>6</v>
      </c>
      <c r="L104" s="4">
        <v>0</v>
      </c>
      <c r="M104" s="4">
        <v>0</v>
      </c>
      <c r="N104" s="4">
        <v>60</v>
      </c>
      <c r="O104" s="4" t="s">
        <v>7</v>
      </c>
      <c r="P104" s="4" t="s">
        <v>8</v>
      </c>
      <c r="Q104" s="4">
        <f>IF(Tabela2[[#This Row],[sex]]="Female",Tabela2[[#This Row],[hours-per-week]],NA())</f>
        <v>60</v>
      </c>
      <c r="R104" s="4" t="e">
        <f>IF(Tabela2[[#This Row],[sex]]="Male",Tabela2[[#This Row],[hours-per-week]],NA())</f>
        <v>#N/A</v>
      </c>
    </row>
    <row r="105" spans="1:18">
      <c r="A105" s="3" t="s">
        <v>196</v>
      </c>
      <c r="B105" s="4">
        <v>26</v>
      </c>
      <c r="C105" s="4" t="s">
        <v>0</v>
      </c>
      <c r="D105" s="4">
        <v>132661</v>
      </c>
      <c r="E105" s="4" t="s">
        <v>28</v>
      </c>
      <c r="F105" s="4">
        <v>9</v>
      </c>
      <c r="G105" s="4" t="s">
        <v>29</v>
      </c>
      <c r="H105" s="4" t="s">
        <v>46</v>
      </c>
      <c r="I105" s="4" t="s">
        <v>31</v>
      </c>
      <c r="J105" s="4" t="s">
        <v>5</v>
      </c>
      <c r="K105" s="4" t="s">
        <v>6</v>
      </c>
      <c r="L105" s="4">
        <v>5013</v>
      </c>
      <c r="M105" s="4">
        <v>0</v>
      </c>
      <c r="N105" s="4">
        <v>40</v>
      </c>
      <c r="O105" s="4" t="s">
        <v>7</v>
      </c>
      <c r="P105" s="4" t="s">
        <v>8</v>
      </c>
      <c r="Q105" s="4">
        <f>IF(Tabela2[[#This Row],[sex]]="Female",Tabela2[[#This Row],[hours-per-week]],NA())</f>
        <v>40</v>
      </c>
      <c r="R105" s="4" t="e">
        <f>IF(Tabela2[[#This Row],[sex]]="Male",Tabela2[[#This Row],[hours-per-week]],NA())</f>
        <v>#N/A</v>
      </c>
    </row>
    <row r="106" spans="1:18">
      <c r="A106" s="3" t="s">
        <v>197</v>
      </c>
      <c r="B106" s="4">
        <v>57</v>
      </c>
      <c r="C106" s="4" t="s">
        <v>20</v>
      </c>
      <c r="D106" s="4">
        <v>44273</v>
      </c>
      <c r="E106" s="4" t="s">
        <v>28</v>
      </c>
      <c r="F106" s="4">
        <v>9</v>
      </c>
      <c r="G106" s="4" t="s">
        <v>47</v>
      </c>
      <c r="H106" s="4" t="s">
        <v>38</v>
      </c>
      <c r="I106" s="4" t="s">
        <v>11</v>
      </c>
      <c r="J106" s="4" t="s">
        <v>5</v>
      </c>
      <c r="K106" s="4" t="s">
        <v>6</v>
      </c>
      <c r="L106" s="4">
        <v>0</v>
      </c>
      <c r="M106" s="4">
        <v>0</v>
      </c>
      <c r="N106" s="4">
        <v>40</v>
      </c>
      <c r="O106" s="4" t="s">
        <v>7</v>
      </c>
      <c r="P106" s="4" t="s">
        <v>8</v>
      </c>
      <c r="Q106" s="4">
        <f>IF(Tabela2[[#This Row],[sex]]="Female",Tabela2[[#This Row],[hours-per-week]],NA())</f>
        <v>40</v>
      </c>
      <c r="R106" s="4" t="e">
        <f>IF(Tabela2[[#This Row],[sex]]="Male",Tabela2[[#This Row],[hours-per-week]],NA())</f>
        <v>#N/A</v>
      </c>
    </row>
    <row r="107" spans="1:18">
      <c r="A107" s="3" t="s">
        <v>198</v>
      </c>
      <c r="B107" s="4">
        <v>28</v>
      </c>
      <c r="C107" s="4" t="s">
        <v>0</v>
      </c>
      <c r="D107" s="4">
        <v>56179</v>
      </c>
      <c r="E107" s="4" t="s">
        <v>12</v>
      </c>
      <c r="F107" s="4">
        <v>10</v>
      </c>
      <c r="G107" s="4" t="s">
        <v>2</v>
      </c>
      <c r="H107" s="4" t="s">
        <v>46</v>
      </c>
      <c r="I107" s="4" t="s">
        <v>11</v>
      </c>
      <c r="J107" s="4" t="s">
        <v>5</v>
      </c>
      <c r="K107" s="4" t="s">
        <v>18</v>
      </c>
      <c r="L107" s="4">
        <v>2174</v>
      </c>
      <c r="M107" s="4">
        <v>0</v>
      </c>
      <c r="N107" s="4">
        <v>55</v>
      </c>
      <c r="O107" s="4" t="s">
        <v>7</v>
      </c>
      <c r="P107" s="4" t="s">
        <v>8</v>
      </c>
      <c r="Q107" s="4" t="e">
        <f>IF(Tabela2[[#This Row],[sex]]="Female",Tabela2[[#This Row],[hours-per-week]],NA())</f>
        <v>#N/A</v>
      </c>
      <c r="R107" s="4">
        <f>IF(Tabela2[[#This Row],[sex]]="Male",Tabela2[[#This Row],[hours-per-week]],NA())</f>
        <v>55</v>
      </c>
    </row>
    <row r="108" spans="1:18">
      <c r="A108" s="3" t="s">
        <v>199</v>
      </c>
      <c r="B108" s="4">
        <v>28</v>
      </c>
      <c r="C108" s="4" t="s">
        <v>0</v>
      </c>
      <c r="D108" s="4">
        <v>149734</v>
      </c>
      <c r="E108" s="4" t="s">
        <v>28</v>
      </c>
      <c r="F108" s="4">
        <v>9</v>
      </c>
      <c r="G108" s="4" t="s">
        <v>2</v>
      </c>
      <c r="H108" s="4" t="s">
        <v>3</v>
      </c>
      <c r="I108" s="4" t="s">
        <v>35</v>
      </c>
      <c r="J108" s="4" t="s">
        <v>23</v>
      </c>
      <c r="K108" s="4" t="s">
        <v>6</v>
      </c>
      <c r="L108" s="4">
        <v>0</v>
      </c>
      <c r="M108" s="4">
        <v>0</v>
      </c>
      <c r="N108" s="4">
        <v>52</v>
      </c>
      <c r="O108" s="4" t="s">
        <v>7</v>
      </c>
      <c r="P108" s="4" t="s">
        <v>8</v>
      </c>
      <c r="Q108" s="4">
        <f>IF(Tabela2[[#This Row],[sex]]="Female",Tabela2[[#This Row],[hours-per-week]],NA())</f>
        <v>52</v>
      </c>
      <c r="R108" s="4" t="e">
        <f>IF(Tabela2[[#This Row],[sex]]="Male",Tabela2[[#This Row],[hours-per-week]],NA())</f>
        <v>#N/A</v>
      </c>
    </row>
    <row r="109" spans="1:18">
      <c r="A109" s="3" t="s">
        <v>200</v>
      </c>
      <c r="B109" s="4">
        <v>59</v>
      </c>
      <c r="C109" s="4" t="s">
        <v>0</v>
      </c>
      <c r="D109" s="4">
        <v>194290</v>
      </c>
      <c r="E109" s="4" t="s">
        <v>28</v>
      </c>
      <c r="F109" s="4">
        <v>9</v>
      </c>
      <c r="G109" s="4" t="s">
        <v>29</v>
      </c>
      <c r="H109" s="4" t="s">
        <v>24</v>
      </c>
      <c r="I109" s="4" t="s">
        <v>32</v>
      </c>
      <c r="J109" s="4" t="s">
        <v>5</v>
      </c>
      <c r="K109" s="4" t="s">
        <v>18</v>
      </c>
      <c r="L109" s="4">
        <v>0</v>
      </c>
      <c r="M109" s="4">
        <v>0</v>
      </c>
      <c r="N109" s="4">
        <v>48</v>
      </c>
      <c r="O109" s="4" t="s">
        <v>7</v>
      </c>
      <c r="P109" s="4" t="s">
        <v>8</v>
      </c>
      <c r="Q109" s="4" t="e">
        <f>IF(Tabela2[[#This Row],[sex]]="Female",Tabela2[[#This Row],[hours-per-week]],NA())</f>
        <v>#N/A</v>
      </c>
      <c r="R109" s="4">
        <f>IF(Tabela2[[#This Row],[sex]]="Male",Tabela2[[#This Row],[hours-per-week]],NA())</f>
        <v>48</v>
      </c>
    </row>
    <row r="110" spans="1:18">
      <c r="A110" s="3" t="s">
        <v>201</v>
      </c>
      <c r="B110" s="4">
        <v>61</v>
      </c>
      <c r="C110" s="4" t="s">
        <v>37</v>
      </c>
      <c r="D110" s="4">
        <v>226989</v>
      </c>
      <c r="E110" s="4" t="s">
        <v>12</v>
      </c>
      <c r="F110" s="4">
        <v>10</v>
      </c>
      <c r="G110" s="4" t="s">
        <v>56</v>
      </c>
      <c r="H110" s="4" t="s">
        <v>37</v>
      </c>
      <c r="I110" s="4" t="s">
        <v>11</v>
      </c>
      <c r="J110" s="4" t="s">
        <v>5</v>
      </c>
      <c r="K110" s="4" t="s">
        <v>18</v>
      </c>
      <c r="L110" s="4">
        <v>0</v>
      </c>
      <c r="M110" s="4">
        <v>0</v>
      </c>
      <c r="N110" s="4">
        <v>40</v>
      </c>
      <c r="O110" s="4" t="s">
        <v>7</v>
      </c>
      <c r="P110" s="4" t="s">
        <v>8</v>
      </c>
      <c r="Q110" s="4" t="e">
        <f>IF(Tabela2[[#This Row],[sex]]="Female",Tabela2[[#This Row],[hours-per-week]],NA())</f>
        <v>#N/A</v>
      </c>
      <c r="R110" s="4">
        <f>IF(Tabela2[[#This Row],[sex]]="Male",Tabela2[[#This Row],[hours-per-week]],NA())</f>
        <v>40</v>
      </c>
    </row>
    <row r="111" spans="1:18">
      <c r="A111" s="3" t="s">
        <v>202</v>
      </c>
      <c r="B111" s="4">
        <v>21</v>
      </c>
      <c r="C111" s="4" t="s">
        <v>0</v>
      </c>
      <c r="D111" s="4">
        <v>146499</v>
      </c>
      <c r="E111" s="4" t="s">
        <v>44</v>
      </c>
      <c r="F111" s="4">
        <v>11</v>
      </c>
      <c r="G111" s="4" t="s">
        <v>29</v>
      </c>
      <c r="H111" s="4" t="s">
        <v>33</v>
      </c>
      <c r="I111" s="4" t="s">
        <v>45</v>
      </c>
      <c r="J111" s="4" t="s">
        <v>5</v>
      </c>
      <c r="K111" s="4" t="s">
        <v>6</v>
      </c>
      <c r="L111" s="4">
        <v>0</v>
      </c>
      <c r="M111" s="4">
        <v>1579</v>
      </c>
      <c r="N111" s="4">
        <v>40</v>
      </c>
      <c r="O111" s="4" t="s">
        <v>7</v>
      </c>
      <c r="P111" s="4" t="s">
        <v>8</v>
      </c>
      <c r="Q111" s="4">
        <f>IF(Tabela2[[#This Row],[sex]]="Female",Tabela2[[#This Row],[hours-per-week]],NA())</f>
        <v>40</v>
      </c>
      <c r="R111" s="4" t="e">
        <f>IF(Tabela2[[#This Row],[sex]]="Male",Tabela2[[#This Row],[hours-per-week]],NA())</f>
        <v>#N/A</v>
      </c>
    </row>
    <row r="112" spans="1:18">
      <c r="A112" s="3" t="s">
        <v>203</v>
      </c>
      <c r="B112" s="4">
        <v>19</v>
      </c>
      <c r="C112" s="4" t="s">
        <v>40</v>
      </c>
      <c r="D112" s="4">
        <v>30800</v>
      </c>
      <c r="E112" s="4" t="s">
        <v>43</v>
      </c>
      <c r="F112" s="4">
        <v>6</v>
      </c>
      <c r="G112" s="4" t="s">
        <v>56</v>
      </c>
      <c r="H112" s="4" t="s">
        <v>33</v>
      </c>
      <c r="I112" s="4" t="s">
        <v>35</v>
      </c>
      <c r="J112" s="4" t="s">
        <v>13</v>
      </c>
      <c r="K112" s="4" t="s">
        <v>6</v>
      </c>
      <c r="L112" s="4">
        <v>0</v>
      </c>
      <c r="M112" s="4">
        <v>0</v>
      </c>
      <c r="N112" s="4">
        <v>40</v>
      </c>
      <c r="O112" s="4" t="s">
        <v>7</v>
      </c>
      <c r="P112" s="4" t="s">
        <v>8</v>
      </c>
      <c r="Q112" s="4">
        <f>IF(Tabela2[[#This Row],[sex]]="Female",Tabela2[[#This Row],[hours-per-week]],NA())</f>
        <v>40</v>
      </c>
      <c r="R112" s="4" t="e">
        <f>IF(Tabela2[[#This Row],[sex]]="Male",Tabela2[[#This Row],[hours-per-week]],NA())</f>
        <v>#N/A</v>
      </c>
    </row>
    <row r="113" spans="1:18">
      <c r="A113" s="3" t="s">
        <v>204</v>
      </c>
      <c r="B113" s="4">
        <v>28</v>
      </c>
      <c r="C113" s="4" t="s">
        <v>0</v>
      </c>
      <c r="D113" s="4">
        <v>96337</v>
      </c>
      <c r="E113" s="4" t="s">
        <v>12</v>
      </c>
      <c r="F113" s="4">
        <v>10</v>
      </c>
      <c r="G113" s="4" t="s">
        <v>2</v>
      </c>
      <c r="H113" s="4" t="s">
        <v>33</v>
      </c>
      <c r="I113" s="4" t="s">
        <v>11</v>
      </c>
      <c r="J113" s="4" t="s">
        <v>5</v>
      </c>
      <c r="K113" s="4" t="s">
        <v>6</v>
      </c>
      <c r="L113" s="4">
        <v>0</v>
      </c>
      <c r="M113" s="4">
        <v>0</v>
      </c>
      <c r="N113" s="4">
        <v>40</v>
      </c>
      <c r="O113" s="4" t="s">
        <v>7</v>
      </c>
      <c r="P113" s="4" t="s">
        <v>8</v>
      </c>
      <c r="Q113" s="4">
        <f>IF(Tabela2[[#This Row],[sex]]="Female",Tabela2[[#This Row],[hours-per-week]],NA())</f>
        <v>40</v>
      </c>
      <c r="R113" s="4" t="e">
        <f>IF(Tabela2[[#This Row],[sex]]="Male",Tabela2[[#This Row],[hours-per-week]],NA())</f>
        <v>#N/A</v>
      </c>
    </row>
    <row r="114" spans="1:18">
      <c r="A114" s="3" t="s">
        <v>205</v>
      </c>
      <c r="B114" s="4">
        <v>39</v>
      </c>
      <c r="C114" s="4" t="s">
        <v>20</v>
      </c>
      <c r="D114" s="4">
        <v>139364</v>
      </c>
      <c r="E114" s="4" t="s">
        <v>26</v>
      </c>
      <c r="F114" s="4">
        <v>13</v>
      </c>
      <c r="G114" s="4" t="s">
        <v>29</v>
      </c>
      <c r="H114" s="4" t="s">
        <v>27</v>
      </c>
      <c r="I114" s="4" t="s">
        <v>32</v>
      </c>
      <c r="J114" s="4" t="s">
        <v>5</v>
      </c>
      <c r="K114" s="4" t="s">
        <v>18</v>
      </c>
      <c r="L114" s="4">
        <v>0</v>
      </c>
      <c r="M114" s="4">
        <v>0</v>
      </c>
      <c r="N114" s="4">
        <v>35</v>
      </c>
      <c r="O114" s="4" t="s">
        <v>7</v>
      </c>
      <c r="P114" s="4" t="s">
        <v>19</v>
      </c>
      <c r="Q114" s="4" t="e">
        <f>IF(Tabela2[[#This Row],[sex]]="Female",Tabela2[[#This Row],[hours-per-week]],NA())</f>
        <v>#N/A</v>
      </c>
      <c r="R114" s="4">
        <f>IF(Tabela2[[#This Row],[sex]]="Male",Tabela2[[#This Row],[hours-per-week]],NA())</f>
        <v>35</v>
      </c>
    </row>
    <row r="115" spans="1:18">
      <c r="A115" s="3" t="s">
        <v>206</v>
      </c>
      <c r="B115" s="4">
        <v>64</v>
      </c>
      <c r="C115" s="4" t="s">
        <v>37</v>
      </c>
      <c r="D115" s="4">
        <v>286732</v>
      </c>
      <c r="E115" s="4" t="s">
        <v>57</v>
      </c>
      <c r="F115" s="4">
        <v>4</v>
      </c>
      <c r="G115" s="4" t="s">
        <v>47</v>
      </c>
      <c r="H115" s="4" t="s">
        <v>37</v>
      </c>
      <c r="I115" s="4" t="s">
        <v>11</v>
      </c>
      <c r="J115" s="4" t="s">
        <v>5</v>
      </c>
      <c r="K115" s="4" t="s">
        <v>6</v>
      </c>
      <c r="L115" s="4">
        <v>0</v>
      </c>
      <c r="M115" s="4">
        <v>0</v>
      </c>
      <c r="N115" s="4">
        <v>40</v>
      </c>
      <c r="O115" s="4" t="s">
        <v>7</v>
      </c>
      <c r="P115" s="4" t="s">
        <v>8</v>
      </c>
      <c r="Q115" s="4">
        <f>IF(Tabela2[[#This Row],[sex]]="Female",Tabela2[[#This Row],[hours-per-week]],NA())</f>
        <v>40</v>
      </c>
      <c r="R115" s="4" t="e">
        <f>IF(Tabela2[[#This Row],[sex]]="Male",Tabela2[[#This Row],[hours-per-week]],NA())</f>
        <v>#N/A</v>
      </c>
    </row>
    <row r="116" spans="1:18">
      <c r="A116" s="3" t="s">
        <v>207</v>
      </c>
      <c r="B116" s="4">
        <v>28</v>
      </c>
      <c r="C116" s="4" t="s">
        <v>0</v>
      </c>
      <c r="D116" s="4">
        <v>308709</v>
      </c>
      <c r="E116" s="4" t="s">
        <v>26</v>
      </c>
      <c r="F116" s="4">
        <v>13</v>
      </c>
      <c r="G116" s="4" t="s">
        <v>2</v>
      </c>
      <c r="H116" s="4" t="s">
        <v>10</v>
      </c>
      <c r="I116" s="4" t="s">
        <v>11</v>
      </c>
      <c r="J116" s="4" t="s">
        <v>5</v>
      </c>
      <c r="K116" s="4" t="s">
        <v>6</v>
      </c>
      <c r="L116" s="4">
        <v>0</v>
      </c>
      <c r="M116" s="4">
        <v>0</v>
      </c>
      <c r="N116" s="4">
        <v>48</v>
      </c>
      <c r="O116" s="4" t="s">
        <v>7</v>
      </c>
      <c r="P116" s="4" t="s">
        <v>8</v>
      </c>
      <c r="Q116" s="4">
        <f>IF(Tabela2[[#This Row],[sex]]="Female",Tabela2[[#This Row],[hours-per-week]],NA())</f>
        <v>48</v>
      </c>
      <c r="R116" s="4" t="e">
        <f>IF(Tabela2[[#This Row],[sex]]="Male",Tabela2[[#This Row],[hours-per-week]],NA())</f>
        <v>#N/A</v>
      </c>
    </row>
    <row r="117" spans="1:18">
      <c r="A117" s="3" t="s">
        <v>208</v>
      </c>
      <c r="B117" s="4">
        <v>42</v>
      </c>
      <c r="C117" s="4" t="s">
        <v>0</v>
      </c>
      <c r="D117" s="4">
        <v>236110</v>
      </c>
      <c r="E117" s="4" t="s">
        <v>14</v>
      </c>
      <c r="F117" s="4">
        <v>3</v>
      </c>
      <c r="G117" s="4" t="s">
        <v>56</v>
      </c>
      <c r="H117" s="4" t="s">
        <v>16</v>
      </c>
      <c r="I117" s="4" t="s">
        <v>11</v>
      </c>
      <c r="J117" s="4" t="s">
        <v>5</v>
      </c>
      <c r="K117" s="4" t="s">
        <v>18</v>
      </c>
      <c r="L117" s="4">
        <v>0</v>
      </c>
      <c r="M117" s="4">
        <v>0</v>
      </c>
      <c r="N117" s="4">
        <v>40</v>
      </c>
      <c r="O117" s="4" t="s">
        <v>58</v>
      </c>
      <c r="P117" s="4" t="s">
        <v>8</v>
      </c>
      <c r="Q117" s="4" t="e">
        <f>IF(Tabela2[[#This Row],[sex]]="Female",Tabela2[[#This Row],[hours-per-week]],NA())</f>
        <v>#N/A</v>
      </c>
      <c r="R117" s="4">
        <f>IF(Tabela2[[#This Row],[sex]]="Male",Tabela2[[#This Row],[hours-per-week]],NA())</f>
        <v>40</v>
      </c>
    </row>
    <row r="118" spans="1:18">
      <c r="A118" s="3" t="s">
        <v>209</v>
      </c>
      <c r="B118" s="4">
        <v>35</v>
      </c>
      <c r="C118" s="4" t="s">
        <v>0</v>
      </c>
      <c r="D118" s="4">
        <v>112271</v>
      </c>
      <c r="E118" s="4" t="s">
        <v>39</v>
      </c>
      <c r="F118" s="4">
        <v>14</v>
      </c>
      <c r="G118" s="4" t="s">
        <v>29</v>
      </c>
      <c r="H118" s="4" t="s">
        <v>33</v>
      </c>
      <c r="I118" s="4" t="s">
        <v>32</v>
      </c>
      <c r="J118" s="4" t="s">
        <v>5</v>
      </c>
      <c r="K118" s="4" t="s">
        <v>18</v>
      </c>
      <c r="L118" s="4">
        <v>0</v>
      </c>
      <c r="M118" s="4">
        <v>0</v>
      </c>
      <c r="N118" s="4">
        <v>40</v>
      </c>
      <c r="O118" s="4" t="s">
        <v>7</v>
      </c>
      <c r="P118" s="4" t="s">
        <v>8</v>
      </c>
      <c r="Q118" s="4" t="e">
        <f>IF(Tabela2[[#This Row],[sex]]="Female",Tabela2[[#This Row],[hours-per-week]],NA())</f>
        <v>#N/A</v>
      </c>
      <c r="R118" s="4">
        <f>IF(Tabela2[[#This Row],[sex]]="Male",Tabela2[[#This Row],[hours-per-week]],NA())</f>
        <v>40</v>
      </c>
    </row>
    <row r="119" spans="1:18">
      <c r="A119" s="3" t="s">
        <v>210</v>
      </c>
      <c r="B119" s="4">
        <v>23</v>
      </c>
      <c r="C119" s="4" t="s">
        <v>0</v>
      </c>
      <c r="D119" s="4">
        <v>224954</v>
      </c>
      <c r="E119" s="4" t="s">
        <v>12</v>
      </c>
      <c r="F119" s="4">
        <v>10</v>
      </c>
      <c r="G119" s="4" t="s">
        <v>2</v>
      </c>
      <c r="H119" s="4" t="s">
        <v>22</v>
      </c>
      <c r="I119" s="4" t="s">
        <v>4</v>
      </c>
      <c r="J119" s="4" t="s">
        <v>5</v>
      </c>
      <c r="K119" s="4" t="s">
        <v>18</v>
      </c>
      <c r="L119" s="4">
        <v>0</v>
      </c>
      <c r="M119" s="4">
        <v>0</v>
      </c>
      <c r="N119" s="4">
        <v>25</v>
      </c>
      <c r="O119" s="4" t="s">
        <v>7</v>
      </c>
      <c r="P119" s="4" t="s">
        <v>8</v>
      </c>
      <c r="Q119" s="4" t="e">
        <f>IF(Tabela2[[#This Row],[sex]]="Female",Tabela2[[#This Row],[hours-per-week]],NA())</f>
        <v>#N/A</v>
      </c>
      <c r="R119" s="4">
        <f>IF(Tabela2[[#This Row],[sex]]="Male",Tabela2[[#This Row],[hours-per-week]],NA())</f>
        <v>25</v>
      </c>
    </row>
    <row r="120" spans="1:18">
      <c r="A120" s="3" t="s">
        <v>211</v>
      </c>
      <c r="B120" s="4">
        <v>63</v>
      </c>
      <c r="C120" s="4" t="s">
        <v>0</v>
      </c>
      <c r="D120" s="4">
        <v>68872</v>
      </c>
      <c r="E120" s="4" t="s">
        <v>28</v>
      </c>
      <c r="F120" s="4">
        <v>9</v>
      </c>
      <c r="G120" s="4" t="s">
        <v>29</v>
      </c>
      <c r="H120" s="4" t="s">
        <v>38</v>
      </c>
      <c r="I120" s="4" t="s">
        <v>31</v>
      </c>
      <c r="J120" s="4" t="s">
        <v>36</v>
      </c>
      <c r="K120" s="4" t="s">
        <v>6</v>
      </c>
      <c r="L120" s="4">
        <v>0</v>
      </c>
      <c r="M120" s="4">
        <v>0</v>
      </c>
      <c r="N120" s="4">
        <v>20</v>
      </c>
      <c r="O120" s="4" t="s">
        <v>7</v>
      </c>
      <c r="P120" s="4" t="s">
        <v>8</v>
      </c>
      <c r="Q120" s="4">
        <f>IF(Tabela2[[#This Row],[sex]]="Female",Tabela2[[#This Row],[hours-per-week]],NA())</f>
        <v>20</v>
      </c>
      <c r="R120" s="4" t="e">
        <f>IF(Tabela2[[#This Row],[sex]]="Male",Tabela2[[#This Row],[hours-per-week]],NA())</f>
        <v>#N/A</v>
      </c>
    </row>
    <row r="121" spans="1:18">
      <c r="A121" s="3" t="s">
        <v>212</v>
      </c>
      <c r="B121" s="4">
        <v>53</v>
      </c>
      <c r="C121" s="4" t="s">
        <v>0</v>
      </c>
      <c r="D121" s="4">
        <v>152373</v>
      </c>
      <c r="E121" s="4" t="s">
        <v>12</v>
      </c>
      <c r="F121" s="4">
        <v>10</v>
      </c>
      <c r="G121" s="4" t="s">
        <v>15</v>
      </c>
      <c r="H121" s="4" t="s">
        <v>16</v>
      </c>
      <c r="I121" s="4" t="s">
        <v>11</v>
      </c>
      <c r="J121" s="4" t="s">
        <v>5</v>
      </c>
      <c r="K121" s="4" t="s">
        <v>18</v>
      </c>
      <c r="L121" s="4">
        <v>0</v>
      </c>
      <c r="M121" s="4">
        <v>0</v>
      </c>
      <c r="N121" s="4">
        <v>48</v>
      </c>
      <c r="O121" s="4" t="s">
        <v>7</v>
      </c>
      <c r="P121" s="4" t="s">
        <v>19</v>
      </c>
      <c r="Q121" s="4" t="e">
        <f>IF(Tabela2[[#This Row],[sex]]="Female",Tabela2[[#This Row],[hours-per-week]],NA())</f>
        <v>#N/A</v>
      </c>
      <c r="R121" s="4">
        <f>IF(Tabela2[[#This Row],[sex]]="Male",Tabela2[[#This Row],[hours-per-week]],NA())</f>
        <v>48</v>
      </c>
    </row>
    <row r="122" spans="1:18">
      <c r="A122" s="3" t="s">
        <v>213</v>
      </c>
      <c r="B122" s="4">
        <v>56</v>
      </c>
      <c r="C122" s="4" t="s">
        <v>40</v>
      </c>
      <c r="D122" s="4">
        <v>258752</v>
      </c>
      <c r="E122" s="4" t="s">
        <v>26</v>
      </c>
      <c r="F122" s="4">
        <v>13</v>
      </c>
      <c r="G122" s="4" t="s">
        <v>29</v>
      </c>
      <c r="H122" s="4" t="s">
        <v>46</v>
      </c>
      <c r="I122" s="4" t="s">
        <v>32</v>
      </c>
      <c r="J122" s="4" t="s">
        <v>5</v>
      </c>
      <c r="K122" s="4" t="s">
        <v>18</v>
      </c>
      <c r="L122" s="4">
        <v>0</v>
      </c>
      <c r="M122" s="4">
        <v>0</v>
      </c>
      <c r="N122" s="4">
        <v>60</v>
      </c>
      <c r="O122" s="4" t="s">
        <v>7</v>
      </c>
      <c r="P122" s="4" t="s">
        <v>8</v>
      </c>
      <c r="Q122" s="4" t="e">
        <f>IF(Tabela2[[#This Row],[sex]]="Female",Tabela2[[#This Row],[hours-per-week]],NA())</f>
        <v>#N/A</v>
      </c>
      <c r="R122" s="4">
        <f>IF(Tabela2[[#This Row],[sex]]="Male",Tabela2[[#This Row],[hours-per-week]],NA())</f>
        <v>60</v>
      </c>
    </row>
    <row r="123" spans="1:18">
      <c r="A123" s="3" t="s">
        <v>214</v>
      </c>
      <c r="B123" s="4">
        <v>49</v>
      </c>
      <c r="C123" s="4" t="s">
        <v>0</v>
      </c>
      <c r="D123" s="4">
        <v>115784</v>
      </c>
      <c r="E123" s="4" t="s">
        <v>28</v>
      </c>
      <c r="F123" s="4">
        <v>9</v>
      </c>
      <c r="G123" s="4" t="s">
        <v>29</v>
      </c>
      <c r="H123" s="4" t="s">
        <v>22</v>
      </c>
      <c r="I123" s="4" t="s">
        <v>32</v>
      </c>
      <c r="J123" s="4" t="s">
        <v>5</v>
      </c>
      <c r="K123" s="4" t="s">
        <v>18</v>
      </c>
      <c r="L123" s="4">
        <v>0</v>
      </c>
      <c r="M123" s="4">
        <v>0</v>
      </c>
      <c r="N123" s="4">
        <v>40</v>
      </c>
      <c r="O123" s="4" t="s">
        <v>7</v>
      </c>
      <c r="P123" s="4" t="s">
        <v>8</v>
      </c>
      <c r="Q123" s="4" t="e">
        <f>IF(Tabela2[[#This Row],[sex]]="Female",Tabela2[[#This Row],[hours-per-week]],NA())</f>
        <v>#N/A</v>
      </c>
      <c r="R123" s="4">
        <f>IF(Tabela2[[#This Row],[sex]]="Male",Tabela2[[#This Row],[hours-per-week]],NA())</f>
        <v>40</v>
      </c>
    </row>
    <row r="124" spans="1:18">
      <c r="A124" s="3" t="s">
        <v>215</v>
      </c>
      <c r="B124" s="4">
        <v>47</v>
      </c>
      <c r="C124" s="4" t="s">
        <v>0</v>
      </c>
      <c r="D124" s="4">
        <v>80924</v>
      </c>
      <c r="E124" s="4" t="s">
        <v>12</v>
      </c>
      <c r="F124" s="4">
        <v>10</v>
      </c>
      <c r="G124" s="4" t="s">
        <v>47</v>
      </c>
      <c r="H124" s="4" t="s">
        <v>3</v>
      </c>
      <c r="I124" s="4" t="s">
        <v>11</v>
      </c>
      <c r="J124" s="4" t="s">
        <v>5</v>
      </c>
      <c r="K124" s="4" t="s">
        <v>6</v>
      </c>
      <c r="L124" s="4">
        <v>0</v>
      </c>
      <c r="M124" s="4">
        <v>0</v>
      </c>
      <c r="N124" s="4">
        <v>35</v>
      </c>
      <c r="O124" s="4" t="s">
        <v>7</v>
      </c>
      <c r="P124" s="4" t="s">
        <v>8</v>
      </c>
      <c r="Q124" s="4">
        <f>IF(Tabela2[[#This Row],[sex]]="Female",Tabela2[[#This Row],[hours-per-week]],NA())</f>
        <v>35</v>
      </c>
      <c r="R124" s="4" t="e">
        <f>IF(Tabela2[[#This Row],[sex]]="Male",Tabela2[[#This Row],[hours-per-week]],NA())</f>
        <v>#N/A</v>
      </c>
    </row>
    <row r="125" spans="1:18">
      <c r="A125" s="3" t="s">
        <v>216</v>
      </c>
      <c r="B125" s="4">
        <v>22</v>
      </c>
      <c r="C125" s="4" t="s">
        <v>0</v>
      </c>
      <c r="D125" s="4">
        <v>203240</v>
      </c>
      <c r="E125" s="4" t="s">
        <v>43</v>
      </c>
      <c r="F125" s="4">
        <v>6</v>
      </c>
      <c r="G125" s="4" t="s">
        <v>2</v>
      </c>
      <c r="H125" s="4" t="s">
        <v>33</v>
      </c>
      <c r="I125" s="4" t="s">
        <v>11</v>
      </c>
      <c r="J125" s="4" t="s">
        <v>5</v>
      </c>
      <c r="K125" s="4" t="s">
        <v>6</v>
      </c>
      <c r="L125" s="4">
        <v>0</v>
      </c>
      <c r="M125" s="4">
        <v>0</v>
      </c>
      <c r="N125" s="4">
        <v>40</v>
      </c>
      <c r="O125" s="4" t="s">
        <v>7</v>
      </c>
      <c r="P125" s="4" t="s">
        <v>8</v>
      </c>
      <c r="Q125" s="4">
        <f>IF(Tabela2[[#This Row],[sex]]="Female",Tabela2[[#This Row],[hours-per-week]],NA())</f>
        <v>40</v>
      </c>
      <c r="R125" s="4" t="e">
        <f>IF(Tabela2[[#This Row],[sex]]="Male",Tabela2[[#This Row],[hours-per-week]],NA())</f>
        <v>#N/A</v>
      </c>
    </row>
    <row r="126" spans="1:18">
      <c r="A126" s="3" t="s">
        <v>217</v>
      </c>
      <c r="B126" s="4">
        <v>20</v>
      </c>
      <c r="C126" s="4" t="s">
        <v>0</v>
      </c>
      <c r="D126" s="4">
        <v>105312</v>
      </c>
      <c r="E126" s="4" t="s">
        <v>12</v>
      </c>
      <c r="F126" s="4">
        <v>10</v>
      </c>
      <c r="G126" s="4" t="s">
        <v>2</v>
      </c>
      <c r="H126" s="4" t="s">
        <v>10</v>
      </c>
      <c r="I126" s="4" t="s">
        <v>4</v>
      </c>
      <c r="J126" s="4" t="s">
        <v>5</v>
      </c>
      <c r="K126" s="4" t="s">
        <v>6</v>
      </c>
      <c r="L126" s="4">
        <v>0</v>
      </c>
      <c r="M126" s="4">
        <v>0</v>
      </c>
      <c r="N126" s="4">
        <v>18</v>
      </c>
      <c r="O126" s="4" t="s">
        <v>7</v>
      </c>
      <c r="P126" s="4" t="s">
        <v>8</v>
      </c>
      <c r="Q126" s="4">
        <f>IF(Tabela2[[#This Row],[sex]]="Female",Tabela2[[#This Row],[hours-per-week]],NA())</f>
        <v>18</v>
      </c>
      <c r="R126" s="4" t="e">
        <f>IF(Tabela2[[#This Row],[sex]]="Male",Tabela2[[#This Row],[hours-per-week]],NA())</f>
        <v>#N/A</v>
      </c>
    </row>
    <row r="127" spans="1:18">
      <c r="A127" s="3" t="s">
        <v>218</v>
      </c>
      <c r="B127" s="4">
        <v>18</v>
      </c>
      <c r="C127" s="4" t="s">
        <v>0</v>
      </c>
      <c r="D127" s="4">
        <v>71792</v>
      </c>
      <c r="E127" s="4" t="s">
        <v>28</v>
      </c>
      <c r="F127" s="4">
        <v>9</v>
      </c>
      <c r="G127" s="4" t="s">
        <v>2</v>
      </c>
      <c r="H127" s="4" t="s">
        <v>10</v>
      </c>
      <c r="I127" s="4" t="s">
        <v>4</v>
      </c>
      <c r="J127" s="4" t="s">
        <v>36</v>
      </c>
      <c r="K127" s="4" t="s">
        <v>6</v>
      </c>
      <c r="L127" s="4">
        <v>0</v>
      </c>
      <c r="M127" s="4">
        <v>0</v>
      </c>
      <c r="N127" s="4">
        <v>40</v>
      </c>
      <c r="O127" s="4" t="s">
        <v>7</v>
      </c>
      <c r="P127" s="4" t="s">
        <v>8</v>
      </c>
      <c r="Q127" s="4">
        <f>IF(Tabela2[[#This Row],[sex]]="Female",Tabela2[[#This Row],[hours-per-week]],NA())</f>
        <v>40</v>
      </c>
      <c r="R127" s="4" t="e">
        <f>IF(Tabela2[[#This Row],[sex]]="Male",Tabela2[[#This Row],[hours-per-week]],NA())</f>
        <v>#N/A</v>
      </c>
    </row>
    <row r="128" spans="1:18">
      <c r="A128" s="3" t="s">
        <v>219</v>
      </c>
      <c r="B128" s="4">
        <v>31</v>
      </c>
      <c r="C128" s="4" t="s">
        <v>0</v>
      </c>
      <c r="D128" s="4">
        <v>114324</v>
      </c>
      <c r="E128" s="4" t="s">
        <v>44</v>
      </c>
      <c r="F128" s="4">
        <v>11</v>
      </c>
      <c r="G128" s="4" t="s">
        <v>2</v>
      </c>
      <c r="H128" s="4" t="s">
        <v>3</v>
      </c>
      <c r="I128" s="4" t="s">
        <v>11</v>
      </c>
      <c r="J128" s="4" t="s">
        <v>23</v>
      </c>
      <c r="K128" s="4" t="s">
        <v>6</v>
      </c>
      <c r="L128" s="4">
        <v>0</v>
      </c>
      <c r="M128" s="4">
        <v>0</v>
      </c>
      <c r="N128" s="4">
        <v>40</v>
      </c>
      <c r="O128" s="4" t="s">
        <v>7</v>
      </c>
      <c r="P128" s="4" t="s">
        <v>8</v>
      </c>
      <c r="Q128" s="4">
        <f>IF(Tabela2[[#This Row],[sex]]="Female",Tabela2[[#This Row],[hours-per-week]],NA())</f>
        <v>40</v>
      </c>
      <c r="R128" s="4" t="e">
        <f>IF(Tabela2[[#This Row],[sex]]="Male",Tabela2[[#This Row],[hours-per-week]],NA())</f>
        <v>#N/A</v>
      </c>
    </row>
    <row r="129" spans="1:18">
      <c r="A129" s="3" t="s">
        <v>220</v>
      </c>
      <c r="B129" s="4">
        <v>51</v>
      </c>
      <c r="C129" s="4" t="s">
        <v>0</v>
      </c>
      <c r="D129" s="4">
        <v>30008</v>
      </c>
      <c r="E129" s="4" t="s">
        <v>28</v>
      </c>
      <c r="F129" s="4">
        <v>9</v>
      </c>
      <c r="G129" s="4" t="s">
        <v>29</v>
      </c>
      <c r="H129" s="4" t="s">
        <v>38</v>
      </c>
      <c r="I129" s="4" t="s">
        <v>32</v>
      </c>
      <c r="J129" s="4" t="s">
        <v>5</v>
      </c>
      <c r="K129" s="4" t="s">
        <v>18</v>
      </c>
      <c r="L129" s="4">
        <v>0</v>
      </c>
      <c r="M129" s="4">
        <v>0</v>
      </c>
      <c r="N129" s="4">
        <v>60</v>
      </c>
      <c r="O129" s="4" t="s">
        <v>7</v>
      </c>
      <c r="P129" s="4" t="s">
        <v>8</v>
      </c>
      <c r="Q129" s="4" t="e">
        <f>IF(Tabela2[[#This Row],[sex]]="Female",Tabela2[[#This Row],[hours-per-week]],NA())</f>
        <v>#N/A</v>
      </c>
      <c r="R129" s="4">
        <f>IF(Tabela2[[#This Row],[sex]]="Male",Tabela2[[#This Row],[hours-per-week]],NA())</f>
        <v>60</v>
      </c>
    </row>
    <row r="130" spans="1:18">
      <c r="A130" s="3" t="s">
        <v>221</v>
      </c>
      <c r="B130" s="4">
        <v>90</v>
      </c>
      <c r="C130" s="4" t="s">
        <v>40</v>
      </c>
      <c r="D130" s="4">
        <v>155981</v>
      </c>
      <c r="E130" s="4" t="s">
        <v>26</v>
      </c>
      <c r="F130" s="4">
        <v>13</v>
      </c>
      <c r="G130" s="4" t="s">
        <v>29</v>
      </c>
      <c r="H130" s="4" t="s">
        <v>27</v>
      </c>
      <c r="I130" s="4" t="s">
        <v>32</v>
      </c>
      <c r="J130" s="4" t="s">
        <v>5</v>
      </c>
      <c r="K130" s="4" t="s">
        <v>18</v>
      </c>
      <c r="L130" s="4">
        <v>10566</v>
      </c>
      <c r="M130" s="4">
        <v>0</v>
      </c>
      <c r="N130" s="4">
        <v>50</v>
      </c>
      <c r="O130" s="4" t="s">
        <v>7</v>
      </c>
      <c r="P130" s="4" t="s">
        <v>8</v>
      </c>
      <c r="Q130" s="4" t="e">
        <f>IF(Tabela2[[#This Row],[sex]]="Female",Tabela2[[#This Row],[hours-per-week]],NA())</f>
        <v>#N/A</v>
      </c>
      <c r="R130" s="4">
        <f>IF(Tabela2[[#This Row],[sex]]="Male",Tabela2[[#This Row],[hours-per-week]],NA())</f>
        <v>50</v>
      </c>
    </row>
    <row r="131" spans="1:18">
      <c r="A131" s="3" t="s">
        <v>222</v>
      </c>
      <c r="B131" s="4">
        <v>26</v>
      </c>
      <c r="C131" s="4" t="s">
        <v>0</v>
      </c>
      <c r="D131" s="4">
        <v>133373</v>
      </c>
      <c r="E131" s="4" t="s">
        <v>12</v>
      </c>
      <c r="F131" s="4">
        <v>10</v>
      </c>
      <c r="G131" s="4" t="s">
        <v>2</v>
      </c>
      <c r="H131" s="4" t="s">
        <v>10</v>
      </c>
      <c r="I131" s="4" t="s">
        <v>4</v>
      </c>
      <c r="J131" s="4" t="s">
        <v>5</v>
      </c>
      <c r="K131" s="4" t="s">
        <v>18</v>
      </c>
      <c r="L131" s="4">
        <v>0</v>
      </c>
      <c r="M131" s="4">
        <v>0</v>
      </c>
      <c r="N131" s="4">
        <v>42</v>
      </c>
      <c r="O131" s="4" t="s">
        <v>7</v>
      </c>
      <c r="P131" s="4" t="s">
        <v>8</v>
      </c>
      <c r="Q131" s="4" t="e">
        <f>IF(Tabela2[[#This Row],[sex]]="Female",Tabela2[[#This Row],[hours-per-week]],NA())</f>
        <v>#N/A</v>
      </c>
      <c r="R131" s="4">
        <f>IF(Tabela2[[#This Row],[sex]]="Male",Tabela2[[#This Row],[hours-per-week]],NA())</f>
        <v>42</v>
      </c>
    </row>
    <row r="132" spans="1:18">
      <c r="A132" s="3" t="s">
        <v>223</v>
      </c>
      <c r="B132" s="4">
        <v>51</v>
      </c>
      <c r="C132" s="4" t="s">
        <v>40</v>
      </c>
      <c r="D132" s="4">
        <v>256963</v>
      </c>
      <c r="E132" s="4" t="s">
        <v>12</v>
      </c>
      <c r="F132" s="4">
        <v>10</v>
      </c>
      <c r="G132" s="4" t="s">
        <v>29</v>
      </c>
      <c r="H132" s="4" t="s">
        <v>10</v>
      </c>
      <c r="I132" s="4" t="s">
        <v>32</v>
      </c>
      <c r="J132" s="4" t="s">
        <v>5</v>
      </c>
      <c r="K132" s="4" t="s">
        <v>18</v>
      </c>
      <c r="L132" s="4">
        <v>0</v>
      </c>
      <c r="M132" s="4">
        <v>0</v>
      </c>
      <c r="N132" s="4">
        <v>60</v>
      </c>
      <c r="O132" s="4" t="s">
        <v>7</v>
      </c>
      <c r="P132" s="4" t="s">
        <v>8</v>
      </c>
      <c r="Q132" s="4" t="e">
        <f>IF(Tabela2[[#This Row],[sex]]="Female",Tabela2[[#This Row],[hours-per-week]],NA())</f>
        <v>#N/A</v>
      </c>
      <c r="R132" s="4">
        <f>IF(Tabela2[[#This Row],[sex]]="Male",Tabela2[[#This Row],[hours-per-week]],NA())</f>
        <v>60</v>
      </c>
    </row>
    <row r="133" spans="1:18">
      <c r="A133" s="3" t="s">
        <v>224</v>
      </c>
      <c r="B133" s="4">
        <v>34</v>
      </c>
      <c r="C133" s="4" t="s">
        <v>20</v>
      </c>
      <c r="D133" s="4">
        <v>167063</v>
      </c>
      <c r="E133" s="4" t="s">
        <v>28</v>
      </c>
      <c r="F133" s="4">
        <v>9</v>
      </c>
      <c r="G133" s="4" t="s">
        <v>2</v>
      </c>
      <c r="H133" s="4" t="s">
        <v>55</v>
      </c>
      <c r="I133" s="4" t="s">
        <v>4</v>
      </c>
      <c r="J133" s="4" t="s">
        <v>5</v>
      </c>
      <c r="K133" s="4" t="s">
        <v>18</v>
      </c>
      <c r="L133" s="4">
        <v>0</v>
      </c>
      <c r="M133" s="4">
        <v>0</v>
      </c>
      <c r="N133" s="4">
        <v>40</v>
      </c>
      <c r="O133" s="4" t="s">
        <v>7</v>
      </c>
      <c r="P133" s="4" t="s">
        <v>8</v>
      </c>
      <c r="Q133" s="4" t="e">
        <f>IF(Tabela2[[#This Row],[sex]]="Female",Tabela2[[#This Row],[hours-per-week]],NA())</f>
        <v>#N/A</v>
      </c>
      <c r="R133" s="4">
        <f>IF(Tabela2[[#This Row],[sex]]="Male",Tabela2[[#This Row],[hours-per-week]],NA())</f>
        <v>40</v>
      </c>
    </row>
    <row r="134" spans="1:18">
      <c r="A134" s="3" t="s">
        <v>225</v>
      </c>
      <c r="B134" s="4">
        <v>48</v>
      </c>
      <c r="C134" s="4" t="s">
        <v>49</v>
      </c>
      <c r="D134" s="4">
        <v>155664</v>
      </c>
      <c r="E134" s="4" t="s">
        <v>50</v>
      </c>
      <c r="F134" s="4">
        <v>15</v>
      </c>
      <c r="G134" s="4" t="s">
        <v>29</v>
      </c>
      <c r="H134" s="4" t="s">
        <v>27</v>
      </c>
      <c r="I134" s="4" t="s">
        <v>32</v>
      </c>
      <c r="J134" s="4" t="s">
        <v>5</v>
      </c>
      <c r="K134" s="4" t="s">
        <v>18</v>
      </c>
      <c r="L134" s="4">
        <v>0</v>
      </c>
      <c r="M134" s="4">
        <v>0</v>
      </c>
      <c r="N134" s="4">
        <v>60</v>
      </c>
      <c r="O134" s="4" t="s">
        <v>7</v>
      </c>
      <c r="P134" s="4" t="s">
        <v>19</v>
      </c>
      <c r="Q134" s="4" t="e">
        <f>IF(Tabela2[[#This Row],[sex]]="Female",Tabela2[[#This Row],[hours-per-week]],NA())</f>
        <v>#N/A</v>
      </c>
      <c r="R134" s="4">
        <f>IF(Tabela2[[#This Row],[sex]]="Male",Tabela2[[#This Row],[hours-per-week]],NA())</f>
        <v>60</v>
      </c>
    </row>
    <row r="135" spans="1:18">
      <c r="A135" s="3" t="s">
        <v>226</v>
      </c>
      <c r="B135" s="4">
        <v>64</v>
      </c>
      <c r="C135" s="4" t="s">
        <v>0</v>
      </c>
      <c r="D135" s="4">
        <v>149044</v>
      </c>
      <c r="E135" s="4" t="s">
        <v>39</v>
      </c>
      <c r="F135" s="4">
        <v>14</v>
      </c>
      <c r="G135" s="4" t="s">
        <v>29</v>
      </c>
      <c r="H135" s="4" t="s">
        <v>27</v>
      </c>
      <c r="I135" s="4" t="s">
        <v>32</v>
      </c>
      <c r="J135" s="4" t="s">
        <v>36</v>
      </c>
      <c r="K135" s="4" t="s">
        <v>18</v>
      </c>
      <c r="L135" s="4">
        <v>0</v>
      </c>
      <c r="M135" s="4">
        <v>2057</v>
      </c>
      <c r="N135" s="4">
        <v>60</v>
      </c>
      <c r="O135" s="4" t="s">
        <v>59</v>
      </c>
      <c r="P135" s="4" t="s">
        <v>8</v>
      </c>
      <c r="Q135" s="4" t="e">
        <f>IF(Tabela2[[#This Row],[sex]]="Female",Tabela2[[#This Row],[hours-per-week]],NA())</f>
        <v>#N/A</v>
      </c>
      <c r="R135" s="4">
        <f>IF(Tabela2[[#This Row],[sex]]="Male",Tabela2[[#This Row],[hours-per-week]],NA())</f>
        <v>60</v>
      </c>
    </row>
    <row r="136" spans="1:18">
      <c r="A136" s="3" t="s">
        <v>227</v>
      </c>
      <c r="B136" s="4">
        <v>33</v>
      </c>
      <c r="C136" s="4" t="s">
        <v>0</v>
      </c>
      <c r="D136" s="4">
        <v>67072</v>
      </c>
      <c r="E136" s="4" t="s">
        <v>28</v>
      </c>
      <c r="F136" s="4">
        <v>9</v>
      </c>
      <c r="G136" s="4" t="s">
        <v>29</v>
      </c>
      <c r="H136" s="4" t="s">
        <v>10</v>
      </c>
      <c r="I136" s="4" t="s">
        <v>32</v>
      </c>
      <c r="J136" s="4" t="s">
        <v>5</v>
      </c>
      <c r="K136" s="4" t="s">
        <v>18</v>
      </c>
      <c r="L136" s="4">
        <v>0</v>
      </c>
      <c r="M136" s="4">
        <v>0</v>
      </c>
      <c r="N136" s="4">
        <v>50</v>
      </c>
      <c r="O136" s="4" t="s">
        <v>7</v>
      </c>
      <c r="P136" s="4" t="s">
        <v>19</v>
      </c>
      <c r="Q136" s="4" t="e">
        <f>IF(Tabela2[[#This Row],[sex]]="Female",Tabela2[[#This Row],[hours-per-week]],NA())</f>
        <v>#N/A</v>
      </c>
      <c r="R136" s="4">
        <f>IF(Tabela2[[#This Row],[sex]]="Male",Tabela2[[#This Row],[hours-per-week]],NA())</f>
        <v>50</v>
      </c>
    </row>
    <row r="137" spans="1:18">
      <c r="A137" s="3" t="s">
        <v>228</v>
      </c>
      <c r="B137" s="4">
        <v>20</v>
      </c>
      <c r="C137" s="4" t="s">
        <v>0</v>
      </c>
      <c r="D137" s="4">
        <v>115824</v>
      </c>
      <c r="E137" s="4" t="s">
        <v>1</v>
      </c>
      <c r="F137" s="4">
        <v>7</v>
      </c>
      <c r="G137" s="4" t="s">
        <v>29</v>
      </c>
      <c r="H137" s="4" t="s">
        <v>34</v>
      </c>
      <c r="I137" s="4" t="s">
        <v>32</v>
      </c>
      <c r="J137" s="4" t="s">
        <v>5</v>
      </c>
      <c r="K137" s="4" t="s">
        <v>18</v>
      </c>
      <c r="L137" s="4">
        <v>0</v>
      </c>
      <c r="M137" s="4">
        <v>1573</v>
      </c>
      <c r="N137" s="4">
        <v>40</v>
      </c>
      <c r="O137" s="4" t="s">
        <v>7</v>
      </c>
      <c r="P137" s="4" t="s">
        <v>8</v>
      </c>
      <c r="Q137" s="4" t="e">
        <f>IF(Tabela2[[#This Row],[sex]]="Female",Tabela2[[#This Row],[hours-per-week]],NA())</f>
        <v>#N/A</v>
      </c>
      <c r="R137" s="4">
        <f>IF(Tabela2[[#This Row],[sex]]="Male",Tabela2[[#This Row],[hours-per-week]],NA())</f>
        <v>40</v>
      </c>
    </row>
    <row r="138" spans="1:18">
      <c r="A138" s="3" t="s">
        <v>229</v>
      </c>
      <c r="B138" s="4">
        <v>37</v>
      </c>
      <c r="C138" s="4" t="s">
        <v>25</v>
      </c>
      <c r="D138" s="4">
        <v>191779</v>
      </c>
      <c r="E138" s="4" t="s">
        <v>12</v>
      </c>
      <c r="F138" s="4">
        <v>10</v>
      </c>
      <c r="G138" s="4" t="s">
        <v>29</v>
      </c>
      <c r="H138" s="4" t="s">
        <v>16</v>
      </c>
      <c r="I138" s="4" t="s">
        <v>32</v>
      </c>
      <c r="J138" s="4" t="s">
        <v>5</v>
      </c>
      <c r="K138" s="4" t="s">
        <v>18</v>
      </c>
      <c r="L138" s="4">
        <v>0</v>
      </c>
      <c r="M138" s="4">
        <v>0</v>
      </c>
      <c r="N138" s="4">
        <v>40</v>
      </c>
      <c r="O138" s="4" t="s">
        <v>7</v>
      </c>
      <c r="P138" s="4" t="s">
        <v>8</v>
      </c>
      <c r="Q138" s="4" t="e">
        <f>IF(Tabela2[[#This Row],[sex]]="Female",Tabela2[[#This Row],[hours-per-week]],NA())</f>
        <v>#N/A</v>
      </c>
      <c r="R138" s="4">
        <f>IF(Tabela2[[#This Row],[sex]]="Male",Tabela2[[#This Row],[hours-per-week]],NA())</f>
        <v>40</v>
      </c>
    </row>
    <row r="139" spans="1:18">
      <c r="A139" s="3" t="s">
        <v>230</v>
      </c>
      <c r="B139" s="4">
        <v>23</v>
      </c>
      <c r="C139" s="4" t="s">
        <v>0</v>
      </c>
      <c r="D139" s="4">
        <v>33105</v>
      </c>
      <c r="E139" s="4" t="s">
        <v>12</v>
      </c>
      <c r="F139" s="4">
        <v>10</v>
      </c>
      <c r="G139" s="4" t="s">
        <v>2</v>
      </c>
      <c r="H139" s="4" t="s">
        <v>34</v>
      </c>
      <c r="I139" s="4" t="s">
        <v>4</v>
      </c>
      <c r="J139" s="4" t="s">
        <v>13</v>
      </c>
      <c r="K139" s="4" t="s">
        <v>18</v>
      </c>
      <c r="L139" s="4">
        <v>0</v>
      </c>
      <c r="M139" s="4">
        <v>0</v>
      </c>
      <c r="N139" s="4">
        <v>40</v>
      </c>
      <c r="O139" s="4" t="s">
        <v>7</v>
      </c>
      <c r="P139" s="4" t="s">
        <v>8</v>
      </c>
      <c r="Q139" s="4" t="e">
        <f>IF(Tabela2[[#This Row],[sex]]="Female",Tabela2[[#This Row],[hours-per-week]],NA())</f>
        <v>#N/A</v>
      </c>
      <c r="R139" s="4">
        <f>IF(Tabela2[[#This Row],[sex]]="Male",Tabela2[[#This Row],[hours-per-week]],NA())</f>
        <v>40</v>
      </c>
    </row>
    <row r="140" spans="1:18">
      <c r="A140" s="3" t="s">
        <v>231</v>
      </c>
      <c r="B140" s="4">
        <v>30</v>
      </c>
      <c r="C140" s="4" t="s">
        <v>37</v>
      </c>
      <c r="D140" s="4">
        <v>203834</v>
      </c>
      <c r="E140" s="4" t="s">
        <v>26</v>
      </c>
      <c r="F140" s="4">
        <v>13</v>
      </c>
      <c r="G140" s="4" t="s">
        <v>2</v>
      </c>
      <c r="H140" s="4" t="s">
        <v>37</v>
      </c>
      <c r="I140" s="4" t="s">
        <v>11</v>
      </c>
      <c r="J140" s="4" t="s">
        <v>36</v>
      </c>
      <c r="K140" s="4" t="s">
        <v>6</v>
      </c>
      <c r="L140" s="4">
        <v>0</v>
      </c>
      <c r="M140" s="4">
        <v>0</v>
      </c>
      <c r="N140" s="4">
        <v>50</v>
      </c>
      <c r="O140" s="4" t="s">
        <v>60</v>
      </c>
      <c r="P140" s="4" t="s">
        <v>8</v>
      </c>
      <c r="Q140" s="4">
        <f>IF(Tabela2[[#This Row],[sex]]="Female",Tabela2[[#This Row],[hours-per-week]],NA())</f>
        <v>50</v>
      </c>
      <c r="R140" s="4" t="e">
        <f>IF(Tabela2[[#This Row],[sex]]="Male",Tabela2[[#This Row],[hours-per-week]],NA())</f>
        <v>#N/A</v>
      </c>
    </row>
    <row r="141" spans="1:18">
      <c r="A141" s="3" t="s">
        <v>232</v>
      </c>
      <c r="B141" s="4">
        <v>45</v>
      </c>
      <c r="C141" s="4" t="s">
        <v>0</v>
      </c>
      <c r="D141" s="4">
        <v>110171</v>
      </c>
      <c r="E141" s="4" t="s">
        <v>28</v>
      </c>
      <c r="F141" s="4">
        <v>9</v>
      </c>
      <c r="G141" s="4" t="s">
        <v>2</v>
      </c>
      <c r="H141" s="4" t="s">
        <v>34</v>
      </c>
      <c r="I141" s="4" t="s">
        <v>11</v>
      </c>
      <c r="J141" s="4" t="s">
        <v>5</v>
      </c>
      <c r="K141" s="4" t="s">
        <v>18</v>
      </c>
      <c r="L141" s="4">
        <v>0</v>
      </c>
      <c r="M141" s="4">
        <v>0</v>
      </c>
      <c r="N141" s="4">
        <v>40</v>
      </c>
      <c r="O141" s="4" t="s">
        <v>7</v>
      </c>
      <c r="P141" s="4" t="s">
        <v>8</v>
      </c>
      <c r="Q141" s="4" t="e">
        <f>IF(Tabela2[[#This Row],[sex]]="Female",Tabela2[[#This Row],[hours-per-week]],NA())</f>
        <v>#N/A</v>
      </c>
      <c r="R141" s="4">
        <f>IF(Tabela2[[#This Row],[sex]]="Male",Tabela2[[#This Row],[hours-per-week]],NA())</f>
        <v>40</v>
      </c>
    </row>
    <row r="142" spans="1:18">
      <c r="A142" s="3" t="s">
        <v>233</v>
      </c>
      <c r="B142" s="4">
        <v>41</v>
      </c>
      <c r="C142" s="4" t="s">
        <v>0</v>
      </c>
      <c r="D142" s="4">
        <v>166813</v>
      </c>
      <c r="E142" s="4" t="s">
        <v>12</v>
      </c>
      <c r="F142" s="4">
        <v>10</v>
      </c>
      <c r="G142" s="4" t="s">
        <v>29</v>
      </c>
      <c r="H142" s="4" t="s">
        <v>10</v>
      </c>
      <c r="I142" s="4" t="s">
        <v>32</v>
      </c>
      <c r="J142" s="4" t="s">
        <v>5</v>
      </c>
      <c r="K142" s="4" t="s">
        <v>18</v>
      </c>
      <c r="L142" s="4">
        <v>0</v>
      </c>
      <c r="M142" s="4">
        <v>0</v>
      </c>
      <c r="N142" s="4">
        <v>55</v>
      </c>
      <c r="O142" s="4" t="s">
        <v>7</v>
      </c>
      <c r="P142" s="4" t="s">
        <v>8</v>
      </c>
      <c r="Q142" s="4" t="e">
        <f>IF(Tabela2[[#This Row],[sex]]="Female",Tabela2[[#This Row],[hours-per-week]],NA())</f>
        <v>#N/A</v>
      </c>
      <c r="R142" s="4">
        <f>IF(Tabela2[[#This Row],[sex]]="Male",Tabela2[[#This Row],[hours-per-week]],NA())</f>
        <v>55</v>
      </c>
    </row>
    <row r="143" spans="1:18">
      <c r="A143" s="3" t="s">
        <v>234</v>
      </c>
      <c r="B143" s="4">
        <v>32</v>
      </c>
      <c r="C143" s="4" t="s">
        <v>0</v>
      </c>
      <c r="D143" s="4">
        <v>32732</v>
      </c>
      <c r="E143" s="4" t="s">
        <v>28</v>
      </c>
      <c r="F143" s="4">
        <v>9</v>
      </c>
      <c r="G143" s="4" t="s">
        <v>29</v>
      </c>
      <c r="H143" s="4" t="s">
        <v>27</v>
      </c>
      <c r="I143" s="4" t="s">
        <v>32</v>
      </c>
      <c r="J143" s="4" t="s">
        <v>5</v>
      </c>
      <c r="K143" s="4" t="s">
        <v>18</v>
      </c>
      <c r="L143" s="4">
        <v>0</v>
      </c>
      <c r="M143" s="4">
        <v>0</v>
      </c>
      <c r="N143" s="4">
        <v>50</v>
      </c>
      <c r="O143" s="4" t="s">
        <v>7</v>
      </c>
      <c r="P143" s="4" t="s">
        <v>8</v>
      </c>
      <c r="Q143" s="4" t="e">
        <f>IF(Tabela2[[#This Row],[sex]]="Female",Tabela2[[#This Row],[hours-per-week]],NA())</f>
        <v>#N/A</v>
      </c>
      <c r="R143" s="4">
        <f>IF(Tabela2[[#This Row],[sex]]="Male",Tabela2[[#This Row],[hours-per-week]],NA())</f>
        <v>50</v>
      </c>
    </row>
    <row r="144" spans="1:18">
      <c r="A144" s="3" t="s">
        <v>235</v>
      </c>
      <c r="B144" s="4">
        <v>39</v>
      </c>
      <c r="C144" s="4" t="s">
        <v>0</v>
      </c>
      <c r="D144" s="4">
        <v>269722</v>
      </c>
      <c r="E144" s="4" t="s">
        <v>26</v>
      </c>
      <c r="F144" s="4">
        <v>13</v>
      </c>
      <c r="G144" s="4" t="s">
        <v>29</v>
      </c>
      <c r="H144" s="4" t="s">
        <v>46</v>
      </c>
      <c r="I144" s="4" t="s">
        <v>32</v>
      </c>
      <c r="J144" s="4" t="s">
        <v>5</v>
      </c>
      <c r="K144" s="4" t="s">
        <v>18</v>
      </c>
      <c r="L144" s="4">
        <v>0</v>
      </c>
      <c r="M144" s="4">
        <v>0</v>
      </c>
      <c r="N144" s="4">
        <v>70</v>
      </c>
      <c r="O144" s="4" t="s">
        <v>7</v>
      </c>
      <c r="P144" s="4" t="s">
        <v>8</v>
      </c>
      <c r="Q144" s="4" t="e">
        <f>IF(Tabela2[[#This Row],[sex]]="Female",Tabela2[[#This Row],[hours-per-week]],NA())</f>
        <v>#N/A</v>
      </c>
      <c r="R144" s="4">
        <f>IF(Tabela2[[#This Row],[sex]]="Male",Tabela2[[#This Row],[hours-per-week]],NA())</f>
        <v>70</v>
      </c>
    </row>
    <row r="145" spans="1:18">
      <c r="A145" s="3" t="s">
        <v>236</v>
      </c>
      <c r="B145" s="4">
        <v>45</v>
      </c>
      <c r="C145" s="4" t="s">
        <v>0</v>
      </c>
      <c r="D145" s="4">
        <v>327886</v>
      </c>
      <c r="E145" s="4" t="s">
        <v>50</v>
      </c>
      <c r="F145" s="4">
        <v>15</v>
      </c>
      <c r="G145" s="4" t="s">
        <v>2</v>
      </c>
      <c r="H145" s="4" t="s">
        <v>27</v>
      </c>
      <c r="I145" s="4" t="s">
        <v>11</v>
      </c>
      <c r="J145" s="4" t="s">
        <v>5</v>
      </c>
      <c r="K145" s="4" t="s">
        <v>18</v>
      </c>
      <c r="L145" s="4">
        <v>0</v>
      </c>
      <c r="M145" s="4">
        <v>0</v>
      </c>
      <c r="N145" s="4">
        <v>40</v>
      </c>
      <c r="O145" s="4" t="s">
        <v>7</v>
      </c>
      <c r="P145" s="4" t="s">
        <v>19</v>
      </c>
      <c r="Q145" s="4" t="e">
        <f>IF(Tabela2[[#This Row],[sex]]="Female",Tabela2[[#This Row],[hours-per-week]],NA())</f>
        <v>#N/A</v>
      </c>
      <c r="R145" s="4">
        <f>IF(Tabela2[[#This Row],[sex]]="Male",Tabela2[[#This Row],[hours-per-week]],NA())</f>
        <v>40</v>
      </c>
    </row>
    <row r="146" spans="1:18">
      <c r="A146" s="3" t="s">
        <v>237</v>
      </c>
      <c r="B146" s="4">
        <v>46</v>
      </c>
      <c r="C146" s="4" t="s">
        <v>0</v>
      </c>
      <c r="D146" s="4">
        <v>28419</v>
      </c>
      <c r="E146" s="4" t="s">
        <v>44</v>
      </c>
      <c r="F146" s="4">
        <v>11</v>
      </c>
      <c r="G146" s="4" t="s">
        <v>2</v>
      </c>
      <c r="H146" s="4" t="s">
        <v>38</v>
      </c>
      <c r="I146" s="4" t="s">
        <v>11</v>
      </c>
      <c r="J146" s="4" t="s">
        <v>5</v>
      </c>
      <c r="K146" s="4" t="s">
        <v>18</v>
      </c>
      <c r="L146" s="4">
        <v>0</v>
      </c>
      <c r="M146" s="4">
        <v>0</v>
      </c>
      <c r="N146" s="4">
        <v>50</v>
      </c>
      <c r="O146" s="4" t="s">
        <v>7</v>
      </c>
      <c r="P146" s="4" t="s">
        <v>8</v>
      </c>
      <c r="Q146" s="4" t="e">
        <f>IF(Tabela2[[#This Row],[sex]]="Female",Tabela2[[#This Row],[hours-per-week]],NA())</f>
        <v>#N/A</v>
      </c>
      <c r="R146" s="4">
        <f>IF(Tabela2[[#This Row],[sex]]="Male",Tabela2[[#This Row],[hours-per-week]],NA())</f>
        <v>50</v>
      </c>
    </row>
    <row r="147" spans="1:18">
      <c r="A147" s="3" t="s">
        <v>238</v>
      </c>
      <c r="B147" s="4">
        <v>34</v>
      </c>
      <c r="C147" s="4" t="s">
        <v>0</v>
      </c>
      <c r="D147" s="4">
        <v>213722</v>
      </c>
      <c r="E147" s="4" t="s">
        <v>28</v>
      </c>
      <c r="F147" s="4">
        <v>9</v>
      </c>
      <c r="G147" s="4" t="s">
        <v>2</v>
      </c>
      <c r="H147" s="4" t="s">
        <v>34</v>
      </c>
      <c r="I147" s="4" t="s">
        <v>4</v>
      </c>
      <c r="J147" s="4" t="s">
        <v>5</v>
      </c>
      <c r="K147" s="4" t="s">
        <v>18</v>
      </c>
      <c r="L147" s="4">
        <v>0</v>
      </c>
      <c r="M147" s="4">
        <v>0</v>
      </c>
      <c r="N147" s="4">
        <v>40</v>
      </c>
      <c r="O147" s="4" t="s">
        <v>7</v>
      </c>
      <c r="P147" s="4" t="s">
        <v>8</v>
      </c>
      <c r="Q147" s="4" t="e">
        <f>IF(Tabela2[[#This Row],[sex]]="Female",Tabela2[[#This Row],[hours-per-week]],NA())</f>
        <v>#N/A</v>
      </c>
      <c r="R147" s="4">
        <f>IF(Tabela2[[#This Row],[sex]]="Male",Tabela2[[#This Row],[hours-per-week]],NA())</f>
        <v>40</v>
      </c>
    </row>
    <row r="148" spans="1:18">
      <c r="A148" s="3" t="s">
        <v>239</v>
      </c>
      <c r="B148" s="4">
        <v>54</v>
      </c>
      <c r="C148" s="4" t="s">
        <v>0</v>
      </c>
      <c r="D148" s="4">
        <v>94055</v>
      </c>
      <c r="E148" s="4" t="s">
        <v>26</v>
      </c>
      <c r="F148" s="4">
        <v>13</v>
      </c>
      <c r="G148" s="4" t="s">
        <v>29</v>
      </c>
      <c r="H148" s="4" t="s">
        <v>3</v>
      </c>
      <c r="I148" s="4" t="s">
        <v>32</v>
      </c>
      <c r="J148" s="4" t="s">
        <v>5</v>
      </c>
      <c r="K148" s="4" t="s">
        <v>18</v>
      </c>
      <c r="L148" s="4">
        <v>0</v>
      </c>
      <c r="M148" s="4">
        <v>0</v>
      </c>
      <c r="N148" s="4">
        <v>40</v>
      </c>
      <c r="O148" s="4" t="s">
        <v>7</v>
      </c>
      <c r="P148" s="4" t="s">
        <v>8</v>
      </c>
      <c r="Q148" s="4" t="e">
        <f>IF(Tabela2[[#This Row],[sex]]="Female",Tabela2[[#This Row],[hours-per-week]],NA())</f>
        <v>#N/A</v>
      </c>
      <c r="R148" s="4">
        <f>IF(Tabela2[[#This Row],[sex]]="Male",Tabela2[[#This Row],[hours-per-week]],NA())</f>
        <v>40</v>
      </c>
    </row>
    <row r="149" spans="1:18">
      <c r="A149" s="3" t="s">
        <v>240</v>
      </c>
      <c r="B149" s="4">
        <v>64</v>
      </c>
      <c r="C149" s="4" t="s">
        <v>20</v>
      </c>
      <c r="D149" s="4">
        <v>202984</v>
      </c>
      <c r="E149" s="4" t="s">
        <v>28</v>
      </c>
      <c r="F149" s="4">
        <v>9</v>
      </c>
      <c r="G149" s="4" t="s">
        <v>29</v>
      </c>
      <c r="H149" s="4" t="s">
        <v>16</v>
      </c>
      <c r="I149" s="4" t="s">
        <v>32</v>
      </c>
      <c r="J149" s="4" t="s">
        <v>5</v>
      </c>
      <c r="K149" s="4" t="s">
        <v>18</v>
      </c>
      <c r="L149" s="4">
        <v>3137</v>
      </c>
      <c r="M149" s="4">
        <v>0</v>
      </c>
      <c r="N149" s="4">
        <v>40</v>
      </c>
      <c r="O149" s="4" t="s">
        <v>7</v>
      </c>
      <c r="P149" s="4" t="s">
        <v>8</v>
      </c>
      <c r="Q149" s="4" t="e">
        <f>IF(Tabela2[[#This Row],[sex]]="Female",Tabela2[[#This Row],[hours-per-week]],NA())</f>
        <v>#N/A</v>
      </c>
      <c r="R149" s="4">
        <f>IF(Tabela2[[#This Row],[sex]]="Male",Tabela2[[#This Row],[hours-per-week]],NA())</f>
        <v>40</v>
      </c>
    </row>
    <row r="150" spans="1:18">
      <c r="A150" s="3" t="s">
        <v>241</v>
      </c>
      <c r="B150" s="4">
        <v>36</v>
      </c>
      <c r="C150" s="4" t="s">
        <v>0</v>
      </c>
      <c r="D150" s="4">
        <v>128382</v>
      </c>
      <c r="E150" s="4" t="s">
        <v>12</v>
      </c>
      <c r="F150" s="4">
        <v>10</v>
      </c>
      <c r="G150" s="4" t="s">
        <v>2</v>
      </c>
      <c r="H150" s="4" t="s">
        <v>22</v>
      </c>
      <c r="I150" s="4" t="s">
        <v>35</v>
      </c>
      <c r="J150" s="4" t="s">
        <v>5</v>
      </c>
      <c r="K150" s="4" t="s">
        <v>18</v>
      </c>
      <c r="L150" s="4">
        <v>0</v>
      </c>
      <c r="M150" s="4">
        <v>0</v>
      </c>
      <c r="N150" s="4">
        <v>45</v>
      </c>
      <c r="O150" s="4" t="s">
        <v>7</v>
      </c>
      <c r="P150" s="4" t="s">
        <v>8</v>
      </c>
      <c r="Q150" s="4" t="e">
        <f>IF(Tabela2[[#This Row],[sex]]="Female",Tabela2[[#This Row],[hours-per-week]],NA())</f>
        <v>#N/A</v>
      </c>
      <c r="R150" s="4">
        <f>IF(Tabela2[[#This Row],[sex]]="Male",Tabela2[[#This Row],[hours-per-week]],NA())</f>
        <v>45</v>
      </c>
    </row>
    <row r="151" spans="1:18">
      <c r="A151" s="3" t="s">
        <v>242</v>
      </c>
      <c r="B151" s="4">
        <v>38</v>
      </c>
      <c r="C151" s="4" t="s">
        <v>0</v>
      </c>
      <c r="D151" s="4">
        <v>193026</v>
      </c>
      <c r="E151" s="4" t="s">
        <v>28</v>
      </c>
      <c r="F151" s="4">
        <v>9</v>
      </c>
      <c r="G151" s="4" t="s">
        <v>2</v>
      </c>
      <c r="H151" s="4" t="s">
        <v>3</v>
      </c>
      <c r="I151" s="4" t="s">
        <v>35</v>
      </c>
      <c r="J151" s="4" t="s">
        <v>5</v>
      </c>
      <c r="K151" s="4" t="s">
        <v>18</v>
      </c>
      <c r="L151" s="4">
        <v>0</v>
      </c>
      <c r="M151" s="4">
        <v>1408</v>
      </c>
      <c r="N151" s="4">
        <v>40</v>
      </c>
      <c r="O151" s="4" t="s">
        <v>37</v>
      </c>
      <c r="P151" s="4" t="s">
        <v>8</v>
      </c>
      <c r="Q151" s="4" t="e">
        <f>IF(Tabela2[[#This Row],[sex]]="Female",Tabela2[[#This Row],[hours-per-week]],NA())</f>
        <v>#N/A</v>
      </c>
      <c r="R151" s="4">
        <f>IF(Tabela2[[#This Row],[sex]]="Male",Tabela2[[#This Row],[hours-per-week]],NA())</f>
        <v>40</v>
      </c>
    </row>
    <row r="152" spans="1:18">
      <c r="A152" s="3" t="s">
        <v>243</v>
      </c>
      <c r="B152" s="4">
        <v>62</v>
      </c>
      <c r="C152" s="4" t="s">
        <v>37</v>
      </c>
      <c r="D152" s="4">
        <v>225657</v>
      </c>
      <c r="E152" s="4" t="s">
        <v>28</v>
      </c>
      <c r="F152" s="4">
        <v>9</v>
      </c>
      <c r="G152" s="4" t="s">
        <v>29</v>
      </c>
      <c r="H152" s="4" t="s">
        <v>37</v>
      </c>
      <c r="I152" s="4" t="s">
        <v>32</v>
      </c>
      <c r="J152" s="4" t="s">
        <v>5</v>
      </c>
      <c r="K152" s="4" t="s">
        <v>18</v>
      </c>
      <c r="L152" s="4">
        <v>0</v>
      </c>
      <c r="M152" s="4">
        <v>0</v>
      </c>
      <c r="N152" s="4">
        <v>24</v>
      </c>
      <c r="O152" s="4" t="s">
        <v>7</v>
      </c>
      <c r="P152" s="4" t="s">
        <v>8</v>
      </c>
      <c r="Q152" s="4" t="e">
        <f>IF(Tabela2[[#This Row],[sex]]="Female",Tabela2[[#This Row],[hours-per-week]],NA())</f>
        <v>#N/A</v>
      </c>
      <c r="R152" s="4">
        <f>IF(Tabela2[[#This Row],[sex]]="Male",Tabela2[[#This Row],[hours-per-week]],NA())</f>
        <v>24</v>
      </c>
    </row>
    <row r="153" spans="1:18">
      <c r="A153" s="3" t="s">
        <v>244</v>
      </c>
      <c r="B153" s="4">
        <v>56</v>
      </c>
      <c r="C153" s="4" t="s">
        <v>0</v>
      </c>
      <c r="D153" s="4">
        <v>85018</v>
      </c>
      <c r="E153" s="4" t="s">
        <v>28</v>
      </c>
      <c r="F153" s="4">
        <v>9</v>
      </c>
      <c r="G153" s="4" t="s">
        <v>2</v>
      </c>
      <c r="H153" s="4" t="s">
        <v>33</v>
      </c>
      <c r="I153" s="4" t="s">
        <v>11</v>
      </c>
      <c r="J153" s="4" t="s">
        <v>5</v>
      </c>
      <c r="K153" s="4" t="s">
        <v>6</v>
      </c>
      <c r="L153" s="4">
        <v>0</v>
      </c>
      <c r="M153" s="4">
        <v>0</v>
      </c>
      <c r="N153" s="4">
        <v>40</v>
      </c>
      <c r="O153" s="4" t="s">
        <v>7</v>
      </c>
      <c r="P153" s="4" t="s">
        <v>8</v>
      </c>
      <c r="Q153" s="4">
        <f>IF(Tabela2[[#This Row],[sex]]="Female",Tabela2[[#This Row],[hours-per-week]],NA())</f>
        <v>40</v>
      </c>
      <c r="R153" s="4" t="e">
        <f>IF(Tabela2[[#This Row],[sex]]="Male",Tabela2[[#This Row],[hours-per-week]],NA())</f>
        <v>#N/A</v>
      </c>
    </row>
    <row r="154" spans="1:18">
      <c r="A154" s="3" t="s">
        <v>245</v>
      </c>
      <c r="B154" s="4">
        <v>26</v>
      </c>
      <c r="C154" s="4" t="s">
        <v>0</v>
      </c>
      <c r="D154" s="4">
        <v>224361</v>
      </c>
      <c r="E154" s="4" t="s">
        <v>28</v>
      </c>
      <c r="F154" s="4">
        <v>9</v>
      </c>
      <c r="G154" s="4" t="s">
        <v>2</v>
      </c>
      <c r="H154" s="4" t="s">
        <v>46</v>
      </c>
      <c r="I154" s="4" t="s">
        <v>11</v>
      </c>
      <c r="J154" s="4" t="s">
        <v>5</v>
      </c>
      <c r="K154" s="4" t="s">
        <v>18</v>
      </c>
      <c r="L154" s="4">
        <v>0</v>
      </c>
      <c r="M154" s="4">
        <v>0</v>
      </c>
      <c r="N154" s="4">
        <v>40</v>
      </c>
      <c r="O154" s="4" t="s">
        <v>7</v>
      </c>
      <c r="P154" s="4" t="s">
        <v>8</v>
      </c>
      <c r="Q154" s="4" t="e">
        <f>IF(Tabela2[[#This Row],[sex]]="Female",Tabela2[[#This Row],[hours-per-week]],NA())</f>
        <v>#N/A</v>
      </c>
      <c r="R154" s="4">
        <f>IF(Tabela2[[#This Row],[sex]]="Male",Tabela2[[#This Row],[hours-per-week]],NA())</f>
        <v>40</v>
      </c>
    </row>
    <row r="155" spans="1:18">
      <c r="A155" s="3" t="s">
        <v>246</v>
      </c>
      <c r="B155" s="4">
        <v>63</v>
      </c>
      <c r="C155" s="4" t="s">
        <v>0</v>
      </c>
      <c r="D155" s="4">
        <v>118798</v>
      </c>
      <c r="E155" s="4" t="s">
        <v>28</v>
      </c>
      <c r="F155" s="4">
        <v>9</v>
      </c>
      <c r="G155" s="4" t="s">
        <v>29</v>
      </c>
      <c r="H155" s="4" t="s">
        <v>16</v>
      </c>
      <c r="I155" s="4" t="s">
        <v>32</v>
      </c>
      <c r="J155" s="4" t="s">
        <v>5</v>
      </c>
      <c r="K155" s="4" t="s">
        <v>18</v>
      </c>
      <c r="L155" s="4">
        <v>99999</v>
      </c>
      <c r="M155" s="4">
        <v>0</v>
      </c>
      <c r="N155" s="4">
        <v>40</v>
      </c>
      <c r="O155" s="4" t="s">
        <v>7</v>
      </c>
      <c r="P155" s="4" t="s">
        <v>19</v>
      </c>
      <c r="Q155" s="4" t="e">
        <f>IF(Tabela2[[#This Row],[sex]]="Female",Tabela2[[#This Row],[hours-per-week]],NA())</f>
        <v>#N/A</v>
      </c>
      <c r="R155" s="4">
        <f>IF(Tabela2[[#This Row],[sex]]="Male",Tabela2[[#This Row],[hours-per-week]],NA())</f>
        <v>40</v>
      </c>
    </row>
    <row r="156" spans="1:18">
      <c r="A156" s="3" t="s">
        <v>247</v>
      </c>
      <c r="B156" s="4">
        <v>38</v>
      </c>
      <c r="C156" s="4" t="s">
        <v>41</v>
      </c>
      <c r="D156" s="4">
        <v>122493</v>
      </c>
      <c r="E156" s="4" t="s">
        <v>26</v>
      </c>
      <c r="F156" s="4">
        <v>13</v>
      </c>
      <c r="G156" s="4" t="s">
        <v>29</v>
      </c>
      <c r="H156" s="4" t="s">
        <v>27</v>
      </c>
      <c r="I156" s="4" t="s">
        <v>32</v>
      </c>
      <c r="J156" s="4" t="s">
        <v>5</v>
      </c>
      <c r="K156" s="4" t="s">
        <v>18</v>
      </c>
      <c r="L156" s="4">
        <v>4064</v>
      </c>
      <c r="M156" s="4">
        <v>0</v>
      </c>
      <c r="N156" s="4">
        <v>40</v>
      </c>
      <c r="O156" s="4" t="s">
        <v>7</v>
      </c>
      <c r="P156" s="4" t="s">
        <v>8</v>
      </c>
      <c r="Q156" s="4" t="e">
        <f>IF(Tabela2[[#This Row],[sex]]="Female",Tabela2[[#This Row],[hours-per-week]],NA())</f>
        <v>#N/A</v>
      </c>
      <c r="R156" s="4">
        <f>IF(Tabela2[[#This Row],[sex]]="Male",Tabela2[[#This Row],[hours-per-week]],NA())</f>
        <v>40</v>
      </c>
    </row>
    <row r="157" spans="1:18">
      <c r="A157" s="3" t="s">
        <v>248</v>
      </c>
      <c r="B157" s="4">
        <v>43</v>
      </c>
      <c r="C157" s="4" t="s">
        <v>0</v>
      </c>
      <c r="D157" s="4">
        <v>59107</v>
      </c>
      <c r="E157" s="4" t="s">
        <v>28</v>
      </c>
      <c r="F157" s="4">
        <v>9</v>
      </c>
      <c r="G157" s="4" t="s">
        <v>21</v>
      </c>
      <c r="H157" s="4" t="s">
        <v>3</v>
      </c>
      <c r="I157" s="4" t="s">
        <v>11</v>
      </c>
      <c r="J157" s="4" t="s">
        <v>5</v>
      </c>
      <c r="K157" s="4" t="s">
        <v>6</v>
      </c>
      <c r="L157" s="4">
        <v>4101</v>
      </c>
      <c r="M157" s="4">
        <v>0</v>
      </c>
      <c r="N157" s="4">
        <v>40</v>
      </c>
      <c r="O157" s="4" t="s">
        <v>7</v>
      </c>
      <c r="P157" s="4" t="s">
        <v>8</v>
      </c>
      <c r="Q157" s="4">
        <f>IF(Tabela2[[#This Row],[sex]]="Female",Tabela2[[#This Row],[hours-per-week]],NA())</f>
        <v>40</v>
      </c>
      <c r="R157" s="4" t="e">
        <f>IF(Tabela2[[#This Row],[sex]]="Male",Tabela2[[#This Row],[hours-per-week]],NA())</f>
        <v>#N/A</v>
      </c>
    </row>
    <row r="158" spans="1:18">
      <c r="A158" s="3" t="s">
        <v>249</v>
      </c>
      <c r="B158" s="4">
        <v>30</v>
      </c>
      <c r="C158" s="4" t="s">
        <v>37</v>
      </c>
      <c r="D158" s="4">
        <v>186420</v>
      </c>
      <c r="E158" s="4" t="s">
        <v>26</v>
      </c>
      <c r="F158" s="4">
        <v>13</v>
      </c>
      <c r="G158" s="4" t="s">
        <v>2</v>
      </c>
      <c r="H158" s="4" t="s">
        <v>37</v>
      </c>
      <c r="I158" s="4" t="s">
        <v>11</v>
      </c>
      <c r="J158" s="4" t="s">
        <v>5</v>
      </c>
      <c r="K158" s="4" t="s">
        <v>6</v>
      </c>
      <c r="L158" s="4">
        <v>0</v>
      </c>
      <c r="M158" s="4">
        <v>0</v>
      </c>
      <c r="N158" s="4">
        <v>40</v>
      </c>
      <c r="O158" s="4" t="s">
        <v>7</v>
      </c>
      <c r="P158" s="4" t="s">
        <v>8</v>
      </c>
      <c r="Q158" s="4">
        <f>IF(Tabela2[[#This Row],[sex]]="Female",Tabela2[[#This Row],[hours-per-week]],NA())</f>
        <v>40</v>
      </c>
      <c r="R158" s="4" t="e">
        <f>IF(Tabela2[[#This Row],[sex]]="Male",Tabela2[[#This Row],[hours-per-week]],NA())</f>
        <v>#N/A</v>
      </c>
    </row>
    <row r="159" spans="1:18">
      <c r="A159" s="3" t="s">
        <v>250</v>
      </c>
      <c r="B159" s="4">
        <v>26</v>
      </c>
      <c r="C159" s="4" t="s">
        <v>0</v>
      </c>
      <c r="D159" s="4">
        <v>89648</v>
      </c>
      <c r="E159" s="4" t="s">
        <v>26</v>
      </c>
      <c r="F159" s="4">
        <v>13</v>
      </c>
      <c r="G159" s="4" t="s">
        <v>2</v>
      </c>
      <c r="H159" s="4" t="s">
        <v>46</v>
      </c>
      <c r="I159" s="4" t="s">
        <v>11</v>
      </c>
      <c r="J159" s="4" t="s">
        <v>5</v>
      </c>
      <c r="K159" s="4" t="s">
        <v>6</v>
      </c>
      <c r="L159" s="4">
        <v>0</v>
      </c>
      <c r="M159" s="4">
        <v>0</v>
      </c>
      <c r="N159" s="4">
        <v>50</v>
      </c>
      <c r="O159" s="4" t="s">
        <v>7</v>
      </c>
      <c r="P159" s="4" t="s">
        <v>8</v>
      </c>
      <c r="Q159" s="4">
        <f>IF(Tabela2[[#This Row],[sex]]="Female",Tabela2[[#This Row],[hours-per-week]],NA())</f>
        <v>50</v>
      </c>
      <c r="R159" s="4" t="e">
        <f>IF(Tabela2[[#This Row],[sex]]="Male",Tabela2[[#This Row],[hours-per-week]],NA())</f>
        <v>#N/A</v>
      </c>
    </row>
    <row r="160" spans="1:18">
      <c r="A160" s="3" t="s">
        <v>251</v>
      </c>
      <c r="B160" s="4">
        <v>42</v>
      </c>
      <c r="C160" s="4" t="s">
        <v>0</v>
      </c>
      <c r="D160" s="4">
        <v>57600</v>
      </c>
      <c r="E160" s="4" t="s">
        <v>28</v>
      </c>
      <c r="F160" s="4">
        <v>9</v>
      </c>
      <c r="G160" s="4" t="s">
        <v>15</v>
      </c>
      <c r="H160" s="4" t="s">
        <v>27</v>
      </c>
      <c r="I160" s="4" t="s">
        <v>11</v>
      </c>
      <c r="J160" s="4" t="s">
        <v>5</v>
      </c>
      <c r="K160" s="4" t="s">
        <v>6</v>
      </c>
      <c r="L160" s="4">
        <v>0</v>
      </c>
      <c r="M160" s="4">
        <v>0</v>
      </c>
      <c r="N160" s="4">
        <v>45</v>
      </c>
      <c r="O160" s="4" t="s">
        <v>7</v>
      </c>
      <c r="P160" s="4" t="s">
        <v>8</v>
      </c>
      <c r="Q160" s="4">
        <f>IF(Tabela2[[#This Row],[sex]]="Female",Tabela2[[#This Row],[hours-per-week]],NA())</f>
        <v>45</v>
      </c>
      <c r="R160" s="4" t="e">
        <f>IF(Tabela2[[#This Row],[sex]]="Male",Tabela2[[#This Row],[hours-per-week]],NA())</f>
        <v>#N/A</v>
      </c>
    </row>
    <row r="161" spans="1:18">
      <c r="A161" s="3" t="s">
        <v>252</v>
      </c>
      <c r="B161" s="4">
        <v>43</v>
      </c>
      <c r="C161" s="4" t="s">
        <v>0</v>
      </c>
      <c r="D161" s="4">
        <v>35910</v>
      </c>
      <c r="E161" s="4" t="s">
        <v>12</v>
      </c>
      <c r="F161" s="4">
        <v>10</v>
      </c>
      <c r="G161" s="4" t="s">
        <v>29</v>
      </c>
      <c r="H161" s="4" t="s">
        <v>10</v>
      </c>
      <c r="I161" s="4" t="s">
        <v>32</v>
      </c>
      <c r="J161" s="4" t="s">
        <v>5</v>
      </c>
      <c r="K161" s="4" t="s">
        <v>18</v>
      </c>
      <c r="L161" s="4">
        <v>0</v>
      </c>
      <c r="M161" s="4">
        <v>0</v>
      </c>
      <c r="N161" s="4">
        <v>43</v>
      </c>
      <c r="O161" s="4" t="s">
        <v>7</v>
      </c>
      <c r="P161" s="4" t="s">
        <v>19</v>
      </c>
      <c r="Q161" s="4" t="e">
        <f>IF(Tabela2[[#This Row],[sex]]="Female",Tabela2[[#This Row],[hours-per-week]],NA())</f>
        <v>#N/A</v>
      </c>
      <c r="R161" s="4">
        <f>IF(Tabela2[[#This Row],[sex]]="Male",Tabela2[[#This Row],[hours-per-week]],NA())</f>
        <v>43</v>
      </c>
    </row>
    <row r="162" spans="1:18">
      <c r="A162" s="3" t="s">
        <v>253</v>
      </c>
      <c r="B162" s="4">
        <v>29</v>
      </c>
      <c r="C162" s="4" t="s">
        <v>0</v>
      </c>
      <c r="D162" s="4">
        <v>161444</v>
      </c>
      <c r="E162" s="4" t="s">
        <v>28</v>
      </c>
      <c r="F162" s="4">
        <v>9</v>
      </c>
      <c r="G162" s="4" t="s">
        <v>29</v>
      </c>
      <c r="H162" s="4" t="s">
        <v>46</v>
      </c>
      <c r="I162" s="4" t="s">
        <v>32</v>
      </c>
      <c r="J162" s="4" t="s">
        <v>5</v>
      </c>
      <c r="K162" s="4" t="s">
        <v>18</v>
      </c>
      <c r="L162" s="4">
        <v>0</v>
      </c>
      <c r="M162" s="4">
        <v>0</v>
      </c>
      <c r="N162" s="4">
        <v>40</v>
      </c>
      <c r="O162" s="4" t="s">
        <v>61</v>
      </c>
      <c r="P162" s="4" t="s">
        <v>8</v>
      </c>
      <c r="Q162" s="4" t="e">
        <f>IF(Tabela2[[#This Row],[sex]]="Female",Tabela2[[#This Row],[hours-per-week]],NA())</f>
        <v>#N/A</v>
      </c>
      <c r="R162" s="4">
        <f>IF(Tabela2[[#This Row],[sex]]="Male",Tabela2[[#This Row],[hours-per-week]],NA())</f>
        <v>40</v>
      </c>
    </row>
    <row r="163" spans="1:18">
      <c r="A163" s="3" t="s">
        <v>254</v>
      </c>
      <c r="B163" s="4">
        <v>23</v>
      </c>
      <c r="C163" s="4" t="s">
        <v>0</v>
      </c>
      <c r="D163" s="4">
        <v>176486</v>
      </c>
      <c r="E163" s="4" t="s">
        <v>44</v>
      </c>
      <c r="F163" s="4">
        <v>11</v>
      </c>
      <c r="G163" s="4" t="s">
        <v>2</v>
      </c>
      <c r="H163" s="4" t="s">
        <v>33</v>
      </c>
      <c r="I163" s="4" t="s">
        <v>4</v>
      </c>
      <c r="J163" s="4" t="s">
        <v>5</v>
      </c>
      <c r="K163" s="4" t="s">
        <v>6</v>
      </c>
      <c r="L163" s="4">
        <v>0</v>
      </c>
      <c r="M163" s="4">
        <v>0</v>
      </c>
      <c r="N163" s="4">
        <v>36</v>
      </c>
      <c r="O163" s="4" t="s">
        <v>7</v>
      </c>
      <c r="P163" s="4" t="s">
        <v>8</v>
      </c>
      <c r="Q163" s="4">
        <f>IF(Tabela2[[#This Row],[sex]]="Female",Tabela2[[#This Row],[hours-per-week]],NA())</f>
        <v>36</v>
      </c>
      <c r="R163" s="4" t="e">
        <f>IF(Tabela2[[#This Row],[sex]]="Male",Tabela2[[#This Row],[hours-per-week]],NA())</f>
        <v>#N/A</v>
      </c>
    </row>
    <row r="164" spans="1:18">
      <c r="A164" s="3" t="s">
        <v>255</v>
      </c>
      <c r="B164" s="4">
        <v>31</v>
      </c>
      <c r="C164" s="4" t="s">
        <v>0</v>
      </c>
      <c r="D164" s="4">
        <v>31600</v>
      </c>
      <c r="E164" s="4" t="s">
        <v>26</v>
      </c>
      <c r="F164" s="4">
        <v>13</v>
      </c>
      <c r="G164" s="4" t="s">
        <v>2</v>
      </c>
      <c r="H164" s="4" t="s">
        <v>27</v>
      </c>
      <c r="I164" s="4" t="s">
        <v>11</v>
      </c>
      <c r="J164" s="4" t="s">
        <v>5</v>
      </c>
      <c r="K164" s="4" t="s">
        <v>6</v>
      </c>
      <c r="L164" s="4">
        <v>0</v>
      </c>
      <c r="M164" s="4">
        <v>0</v>
      </c>
      <c r="N164" s="4">
        <v>40</v>
      </c>
      <c r="O164" s="4" t="s">
        <v>7</v>
      </c>
      <c r="P164" s="4" t="s">
        <v>8</v>
      </c>
      <c r="Q164" s="4">
        <f>IF(Tabela2[[#This Row],[sex]]="Female",Tabela2[[#This Row],[hours-per-week]],NA())</f>
        <v>40</v>
      </c>
      <c r="R164" s="4" t="e">
        <f>IF(Tabela2[[#This Row],[sex]]="Male",Tabela2[[#This Row],[hours-per-week]],NA())</f>
        <v>#N/A</v>
      </c>
    </row>
    <row r="165" spans="1:18">
      <c r="A165" s="3" t="s">
        <v>256</v>
      </c>
      <c r="B165" s="4">
        <v>40</v>
      </c>
      <c r="C165" s="4" t="s">
        <v>0</v>
      </c>
      <c r="D165" s="4">
        <v>173858</v>
      </c>
      <c r="E165" s="4" t="s">
        <v>57</v>
      </c>
      <c r="F165" s="4">
        <v>4</v>
      </c>
      <c r="G165" s="4" t="s">
        <v>29</v>
      </c>
      <c r="H165" s="4" t="s">
        <v>3</v>
      </c>
      <c r="I165" s="4" t="s">
        <v>32</v>
      </c>
      <c r="J165" s="4" t="s">
        <v>36</v>
      </c>
      <c r="K165" s="4" t="s">
        <v>18</v>
      </c>
      <c r="L165" s="4">
        <v>0</v>
      </c>
      <c r="M165" s="4">
        <v>0</v>
      </c>
      <c r="N165" s="4">
        <v>42</v>
      </c>
      <c r="O165" s="4" t="s">
        <v>62</v>
      </c>
      <c r="P165" s="4" t="s">
        <v>8</v>
      </c>
      <c r="Q165" s="4" t="e">
        <f>IF(Tabela2[[#This Row],[sex]]="Female",Tabela2[[#This Row],[hours-per-week]],NA())</f>
        <v>#N/A</v>
      </c>
      <c r="R165" s="4">
        <f>IF(Tabela2[[#This Row],[sex]]="Male",Tabela2[[#This Row],[hours-per-week]],NA())</f>
        <v>42</v>
      </c>
    </row>
    <row r="166" spans="1:18">
      <c r="A166" s="3" t="s">
        <v>257</v>
      </c>
      <c r="B166" s="4">
        <v>50</v>
      </c>
      <c r="C166" s="4" t="s">
        <v>0</v>
      </c>
      <c r="D166" s="4">
        <v>210217</v>
      </c>
      <c r="E166" s="4" t="s">
        <v>26</v>
      </c>
      <c r="F166" s="4">
        <v>13</v>
      </c>
      <c r="G166" s="4" t="s">
        <v>15</v>
      </c>
      <c r="H166" s="4" t="s">
        <v>10</v>
      </c>
      <c r="I166" s="4" t="s">
        <v>35</v>
      </c>
      <c r="J166" s="4" t="s">
        <v>23</v>
      </c>
      <c r="K166" s="4" t="s">
        <v>18</v>
      </c>
      <c r="L166" s="4">
        <v>0</v>
      </c>
      <c r="M166" s="4">
        <v>0</v>
      </c>
      <c r="N166" s="4">
        <v>40</v>
      </c>
      <c r="O166" s="4" t="s">
        <v>7</v>
      </c>
      <c r="P166" s="4" t="s">
        <v>8</v>
      </c>
      <c r="Q166" s="4" t="e">
        <f>IF(Tabela2[[#This Row],[sex]]="Female",Tabela2[[#This Row],[hours-per-week]],NA())</f>
        <v>#N/A</v>
      </c>
      <c r="R166" s="4">
        <f>IF(Tabela2[[#This Row],[sex]]="Male",Tabela2[[#This Row],[hours-per-week]],NA())</f>
        <v>40</v>
      </c>
    </row>
    <row r="167" spans="1:18">
      <c r="A167" s="3" t="s">
        <v>258</v>
      </c>
      <c r="B167" s="4">
        <v>32</v>
      </c>
      <c r="C167" s="4" t="s">
        <v>49</v>
      </c>
      <c r="D167" s="4">
        <v>113543</v>
      </c>
      <c r="E167" s="4" t="s">
        <v>50</v>
      </c>
      <c r="F167" s="4">
        <v>15</v>
      </c>
      <c r="G167" s="4" t="s">
        <v>29</v>
      </c>
      <c r="H167" s="4" t="s">
        <v>27</v>
      </c>
      <c r="I167" s="4" t="s">
        <v>32</v>
      </c>
      <c r="J167" s="4" t="s">
        <v>5</v>
      </c>
      <c r="K167" s="4" t="s">
        <v>18</v>
      </c>
      <c r="L167" s="4">
        <v>0</v>
      </c>
      <c r="M167" s="4">
        <v>0</v>
      </c>
      <c r="N167" s="4">
        <v>40</v>
      </c>
      <c r="O167" s="4" t="s">
        <v>7</v>
      </c>
      <c r="P167" s="4" t="s">
        <v>19</v>
      </c>
      <c r="Q167" s="4" t="e">
        <f>IF(Tabela2[[#This Row],[sex]]="Female",Tabela2[[#This Row],[hours-per-week]],NA())</f>
        <v>#N/A</v>
      </c>
      <c r="R167" s="4">
        <f>IF(Tabela2[[#This Row],[sex]]="Male",Tabela2[[#This Row],[hours-per-week]],NA())</f>
        <v>40</v>
      </c>
    </row>
    <row r="168" spans="1:18">
      <c r="A168" s="3" t="s">
        <v>259</v>
      </c>
      <c r="B168" s="4">
        <v>17</v>
      </c>
      <c r="C168" s="4" t="s">
        <v>0</v>
      </c>
      <c r="D168" s="4">
        <v>111332</v>
      </c>
      <c r="E168" s="4" t="s">
        <v>1</v>
      </c>
      <c r="F168" s="4">
        <v>7</v>
      </c>
      <c r="G168" s="4" t="s">
        <v>2</v>
      </c>
      <c r="H168" s="4" t="s">
        <v>10</v>
      </c>
      <c r="I168" s="4" t="s">
        <v>4</v>
      </c>
      <c r="J168" s="4" t="s">
        <v>5</v>
      </c>
      <c r="K168" s="4" t="s">
        <v>6</v>
      </c>
      <c r="L168" s="4">
        <v>0</v>
      </c>
      <c r="M168" s="4">
        <v>0</v>
      </c>
      <c r="N168" s="4">
        <v>20</v>
      </c>
      <c r="O168" s="4" t="s">
        <v>7</v>
      </c>
      <c r="P168" s="4" t="s">
        <v>8</v>
      </c>
      <c r="Q168" s="4">
        <f>IF(Tabela2[[#This Row],[sex]]="Female",Tabela2[[#This Row],[hours-per-week]],NA())</f>
        <v>20</v>
      </c>
      <c r="R168" s="4" t="e">
        <f>IF(Tabela2[[#This Row],[sex]]="Male",Tabela2[[#This Row],[hours-per-week]],NA())</f>
        <v>#N/A</v>
      </c>
    </row>
    <row r="169" spans="1:18">
      <c r="A169" s="3" t="s">
        <v>260</v>
      </c>
      <c r="B169" s="4">
        <v>23</v>
      </c>
      <c r="C169" s="4" t="s">
        <v>0</v>
      </c>
      <c r="D169" s="4">
        <v>222925</v>
      </c>
      <c r="E169" s="4" t="s">
        <v>28</v>
      </c>
      <c r="F169" s="4">
        <v>9</v>
      </c>
      <c r="G169" s="4" t="s">
        <v>29</v>
      </c>
      <c r="H169" s="4" t="s">
        <v>22</v>
      </c>
      <c r="I169" s="4" t="s">
        <v>4</v>
      </c>
      <c r="J169" s="4" t="s">
        <v>5</v>
      </c>
      <c r="K169" s="4" t="s">
        <v>6</v>
      </c>
      <c r="L169" s="4">
        <v>2105</v>
      </c>
      <c r="M169" s="4">
        <v>0</v>
      </c>
      <c r="N169" s="4">
        <v>40</v>
      </c>
      <c r="O169" s="4" t="s">
        <v>7</v>
      </c>
      <c r="P169" s="4" t="s">
        <v>8</v>
      </c>
      <c r="Q169" s="4">
        <f>IF(Tabela2[[#This Row],[sex]]="Female",Tabela2[[#This Row],[hours-per-week]],NA())</f>
        <v>40</v>
      </c>
      <c r="R169" s="4" t="e">
        <f>IF(Tabela2[[#This Row],[sex]]="Male",Tabela2[[#This Row],[hours-per-week]],NA())</f>
        <v>#N/A</v>
      </c>
    </row>
    <row r="170" spans="1:18">
      <c r="A170" s="3" t="s">
        <v>261</v>
      </c>
      <c r="B170" s="4">
        <v>34</v>
      </c>
      <c r="C170" s="4" t="s">
        <v>37</v>
      </c>
      <c r="D170" s="4">
        <v>353881</v>
      </c>
      <c r="E170" s="4" t="s">
        <v>44</v>
      </c>
      <c r="F170" s="4">
        <v>11</v>
      </c>
      <c r="G170" s="4" t="s">
        <v>29</v>
      </c>
      <c r="H170" s="4" t="s">
        <v>37</v>
      </c>
      <c r="I170" s="4" t="s">
        <v>32</v>
      </c>
      <c r="J170" s="4" t="s">
        <v>5</v>
      </c>
      <c r="K170" s="4" t="s">
        <v>18</v>
      </c>
      <c r="L170" s="4">
        <v>3103</v>
      </c>
      <c r="M170" s="4">
        <v>0</v>
      </c>
      <c r="N170" s="4">
        <v>60</v>
      </c>
      <c r="O170" s="4" t="s">
        <v>7</v>
      </c>
      <c r="P170" s="4" t="s">
        <v>19</v>
      </c>
      <c r="Q170" s="4" t="e">
        <f>IF(Tabela2[[#This Row],[sex]]="Female",Tabela2[[#This Row],[hours-per-week]],NA())</f>
        <v>#N/A</v>
      </c>
      <c r="R170" s="4">
        <f>IF(Tabela2[[#This Row],[sex]]="Male",Tabela2[[#This Row],[hours-per-week]],NA())</f>
        <v>60</v>
      </c>
    </row>
    <row r="171" spans="1:18">
      <c r="A171" s="3" t="s">
        <v>262</v>
      </c>
      <c r="B171" s="4">
        <v>48</v>
      </c>
      <c r="C171" s="4" t="s">
        <v>0</v>
      </c>
      <c r="D171" s="4">
        <v>248164</v>
      </c>
      <c r="E171" s="4" t="s">
        <v>26</v>
      </c>
      <c r="F171" s="4">
        <v>13</v>
      </c>
      <c r="G171" s="4" t="s">
        <v>29</v>
      </c>
      <c r="H171" s="4" t="s">
        <v>10</v>
      </c>
      <c r="I171" s="4" t="s">
        <v>32</v>
      </c>
      <c r="J171" s="4" t="s">
        <v>5</v>
      </c>
      <c r="K171" s="4" t="s">
        <v>18</v>
      </c>
      <c r="L171" s="4">
        <v>4386</v>
      </c>
      <c r="M171" s="4">
        <v>0</v>
      </c>
      <c r="N171" s="4">
        <v>50</v>
      </c>
      <c r="O171" s="4" t="s">
        <v>7</v>
      </c>
      <c r="P171" s="4" t="s">
        <v>19</v>
      </c>
      <c r="Q171" s="4" t="e">
        <f>IF(Tabela2[[#This Row],[sex]]="Female",Tabela2[[#This Row],[hours-per-week]],NA())</f>
        <v>#N/A</v>
      </c>
      <c r="R171" s="4">
        <f>IF(Tabela2[[#This Row],[sex]]="Male",Tabela2[[#This Row],[hours-per-week]],NA())</f>
        <v>50</v>
      </c>
    </row>
    <row r="172" spans="1:18">
      <c r="A172" s="3" t="s">
        <v>263</v>
      </c>
      <c r="B172" s="4">
        <v>40</v>
      </c>
      <c r="C172" s="4" t="s">
        <v>40</v>
      </c>
      <c r="D172" s="4">
        <v>33068</v>
      </c>
      <c r="E172" s="4" t="s">
        <v>28</v>
      </c>
      <c r="F172" s="4">
        <v>9</v>
      </c>
      <c r="G172" s="4" t="s">
        <v>29</v>
      </c>
      <c r="H172" s="4" t="s">
        <v>24</v>
      </c>
      <c r="I172" s="4" t="s">
        <v>32</v>
      </c>
      <c r="J172" s="4" t="s">
        <v>5</v>
      </c>
      <c r="K172" s="4" t="s">
        <v>18</v>
      </c>
      <c r="L172" s="4">
        <v>0</v>
      </c>
      <c r="M172" s="4">
        <v>0</v>
      </c>
      <c r="N172" s="4">
        <v>50</v>
      </c>
      <c r="O172" s="4" t="s">
        <v>7</v>
      </c>
      <c r="P172" s="4" t="s">
        <v>8</v>
      </c>
      <c r="Q172" s="4" t="e">
        <f>IF(Tabela2[[#This Row],[sex]]="Female",Tabela2[[#This Row],[hours-per-week]],NA())</f>
        <v>#N/A</v>
      </c>
      <c r="R172" s="4">
        <f>IF(Tabela2[[#This Row],[sex]]="Male",Tabela2[[#This Row],[hours-per-week]],NA())</f>
        <v>50</v>
      </c>
    </row>
    <row r="173" spans="1:18">
      <c r="A173" s="3" t="s">
        <v>264</v>
      </c>
      <c r="B173" s="4">
        <v>21</v>
      </c>
      <c r="C173" s="4" t="s">
        <v>0</v>
      </c>
      <c r="D173" s="4">
        <v>222490</v>
      </c>
      <c r="E173" s="4" t="s">
        <v>12</v>
      </c>
      <c r="F173" s="4">
        <v>10</v>
      </c>
      <c r="G173" s="4" t="s">
        <v>2</v>
      </c>
      <c r="H173" s="4" t="s">
        <v>34</v>
      </c>
      <c r="I173" s="4" t="s">
        <v>4</v>
      </c>
      <c r="J173" s="4" t="s">
        <v>5</v>
      </c>
      <c r="K173" s="4" t="s">
        <v>6</v>
      </c>
      <c r="L173" s="4">
        <v>0</v>
      </c>
      <c r="M173" s="4">
        <v>0</v>
      </c>
      <c r="N173" s="4">
        <v>40</v>
      </c>
      <c r="O173" s="4" t="s">
        <v>7</v>
      </c>
      <c r="P173" s="4" t="s">
        <v>8</v>
      </c>
      <c r="Q173" s="4">
        <f>IF(Tabela2[[#This Row],[sex]]="Female",Tabela2[[#This Row],[hours-per-week]],NA())</f>
        <v>40</v>
      </c>
      <c r="R173" s="4" t="e">
        <f>IF(Tabela2[[#This Row],[sex]]="Male",Tabela2[[#This Row],[hours-per-week]],NA())</f>
        <v>#N/A</v>
      </c>
    </row>
    <row r="174" spans="1:18">
      <c r="A174" s="3" t="s">
        <v>265</v>
      </c>
      <c r="B174" s="4">
        <v>43</v>
      </c>
      <c r="C174" s="4" t="s">
        <v>0</v>
      </c>
      <c r="D174" s="4">
        <v>115323</v>
      </c>
      <c r="E174" s="4" t="s">
        <v>26</v>
      </c>
      <c r="F174" s="4">
        <v>13</v>
      </c>
      <c r="G174" s="4" t="s">
        <v>29</v>
      </c>
      <c r="H174" s="4" t="s">
        <v>46</v>
      </c>
      <c r="I174" s="4" t="s">
        <v>32</v>
      </c>
      <c r="J174" s="4" t="s">
        <v>5</v>
      </c>
      <c r="K174" s="4" t="s">
        <v>18</v>
      </c>
      <c r="L174" s="4">
        <v>3103</v>
      </c>
      <c r="M174" s="4">
        <v>0</v>
      </c>
      <c r="N174" s="4">
        <v>40</v>
      </c>
      <c r="O174" s="4" t="s">
        <v>7</v>
      </c>
      <c r="P174" s="4" t="s">
        <v>19</v>
      </c>
      <c r="Q174" s="4" t="e">
        <f>IF(Tabela2[[#This Row],[sex]]="Female",Tabela2[[#This Row],[hours-per-week]],NA())</f>
        <v>#N/A</v>
      </c>
      <c r="R174" s="4">
        <f>IF(Tabela2[[#This Row],[sex]]="Male",Tabela2[[#This Row],[hours-per-week]],NA())</f>
        <v>40</v>
      </c>
    </row>
    <row r="175" spans="1:18">
      <c r="A175" s="3" t="s">
        <v>266</v>
      </c>
      <c r="B175" s="4">
        <v>39</v>
      </c>
      <c r="C175" s="4" t="s">
        <v>25</v>
      </c>
      <c r="D175" s="4">
        <v>114055</v>
      </c>
      <c r="E175" s="4" t="s">
        <v>26</v>
      </c>
      <c r="F175" s="4">
        <v>13</v>
      </c>
      <c r="G175" s="4" t="s">
        <v>2</v>
      </c>
      <c r="H175" s="4" t="s">
        <v>46</v>
      </c>
      <c r="I175" s="4" t="s">
        <v>11</v>
      </c>
      <c r="J175" s="4" t="s">
        <v>5</v>
      </c>
      <c r="K175" s="4" t="s">
        <v>6</v>
      </c>
      <c r="L175" s="4">
        <v>0</v>
      </c>
      <c r="M175" s="4">
        <v>0</v>
      </c>
      <c r="N175" s="4">
        <v>40</v>
      </c>
      <c r="O175" s="4" t="s">
        <v>7</v>
      </c>
      <c r="P175" s="4" t="s">
        <v>8</v>
      </c>
      <c r="Q175" s="4">
        <f>IF(Tabela2[[#This Row],[sex]]="Female",Tabela2[[#This Row],[hours-per-week]],NA())</f>
        <v>40</v>
      </c>
      <c r="R175" s="4" t="e">
        <f>IF(Tabela2[[#This Row],[sex]]="Male",Tabela2[[#This Row],[hours-per-week]],NA())</f>
        <v>#N/A</v>
      </c>
    </row>
    <row r="176" spans="1:18">
      <c r="A176" s="3" t="s">
        <v>267</v>
      </c>
      <c r="B176" s="4">
        <v>27</v>
      </c>
      <c r="C176" s="4" t="s">
        <v>0</v>
      </c>
      <c r="D176" s="4">
        <v>302406</v>
      </c>
      <c r="E176" s="4" t="s">
        <v>12</v>
      </c>
      <c r="F176" s="4">
        <v>10</v>
      </c>
      <c r="G176" s="4" t="s">
        <v>29</v>
      </c>
      <c r="H176" s="4" t="s">
        <v>10</v>
      </c>
      <c r="I176" s="4" t="s">
        <v>32</v>
      </c>
      <c r="J176" s="4" t="s">
        <v>5</v>
      </c>
      <c r="K176" s="4" t="s">
        <v>18</v>
      </c>
      <c r="L176" s="4">
        <v>0</v>
      </c>
      <c r="M176" s="4">
        <v>0</v>
      </c>
      <c r="N176" s="4">
        <v>40</v>
      </c>
      <c r="O176" s="4" t="s">
        <v>7</v>
      </c>
      <c r="P176" s="4" t="s">
        <v>19</v>
      </c>
      <c r="Q176" s="4" t="e">
        <f>IF(Tabela2[[#This Row],[sex]]="Female",Tabela2[[#This Row],[hours-per-week]],NA())</f>
        <v>#N/A</v>
      </c>
      <c r="R176" s="4">
        <f>IF(Tabela2[[#This Row],[sex]]="Male",Tabela2[[#This Row],[hours-per-week]],NA())</f>
        <v>40</v>
      </c>
    </row>
    <row r="177" spans="1:18">
      <c r="A177" s="3" t="s">
        <v>268</v>
      </c>
      <c r="B177" s="4">
        <v>17</v>
      </c>
      <c r="C177" s="4" t="s">
        <v>0</v>
      </c>
      <c r="D177" s="4">
        <v>294485</v>
      </c>
      <c r="E177" s="4" t="s">
        <v>43</v>
      </c>
      <c r="F177" s="4">
        <v>6</v>
      </c>
      <c r="G177" s="4" t="s">
        <v>2</v>
      </c>
      <c r="H177" s="4" t="s">
        <v>3</v>
      </c>
      <c r="I177" s="4" t="s">
        <v>4</v>
      </c>
      <c r="J177" s="4" t="s">
        <v>5</v>
      </c>
      <c r="K177" s="4" t="s">
        <v>18</v>
      </c>
      <c r="L177" s="4">
        <v>0</v>
      </c>
      <c r="M177" s="4">
        <v>0</v>
      </c>
      <c r="N177" s="4">
        <v>30</v>
      </c>
      <c r="O177" s="4" t="s">
        <v>7</v>
      </c>
      <c r="P177" s="4" t="s">
        <v>8</v>
      </c>
      <c r="Q177" s="4" t="e">
        <f>IF(Tabela2[[#This Row],[sex]]="Female",Tabela2[[#This Row],[hours-per-week]],NA())</f>
        <v>#N/A</v>
      </c>
      <c r="R177" s="4">
        <f>IF(Tabela2[[#This Row],[sex]]="Male",Tabela2[[#This Row],[hours-per-week]],NA())</f>
        <v>30</v>
      </c>
    </row>
    <row r="178" spans="1:18">
      <c r="A178" s="3" t="s">
        <v>269</v>
      </c>
      <c r="B178" s="4">
        <v>25</v>
      </c>
      <c r="C178" s="4" t="s">
        <v>0</v>
      </c>
      <c r="D178" s="4">
        <v>177499</v>
      </c>
      <c r="E178" s="4" t="s">
        <v>26</v>
      </c>
      <c r="F178" s="4">
        <v>13</v>
      </c>
      <c r="G178" s="4" t="s">
        <v>2</v>
      </c>
      <c r="H178" s="4" t="s">
        <v>16</v>
      </c>
      <c r="I178" s="4" t="s">
        <v>4</v>
      </c>
      <c r="J178" s="4" t="s">
        <v>5</v>
      </c>
      <c r="K178" s="4" t="s">
        <v>18</v>
      </c>
      <c r="L178" s="4">
        <v>0</v>
      </c>
      <c r="M178" s="4">
        <v>1590</v>
      </c>
      <c r="N178" s="4">
        <v>35</v>
      </c>
      <c r="O178" s="4" t="s">
        <v>7</v>
      </c>
      <c r="P178" s="4" t="s">
        <v>8</v>
      </c>
      <c r="Q178" s="4" t="e">
        <f>IF(Tabela2[[#This Row],[sex]]="Female",Tabela2[[#This Row],[hours-per-week]],NA())</f>
        <v>#N/A</v>
      </c>
      <c r="R178" s="4">
        <f>IF(Tabela2[[#This Row],[sex]]="Male",Tabela2[[#This Row],[hours-per-week]],NA())</f>
        <v>35</v>
      </c>
    </row>
    <row r="179" spans="1:18">
      <c r="A179" s="3" t="s">
        <v>270</v>
      </c>
      <c r="B179" s="4">
        <v>33</v>
      </c>
      <c r="C179" s="4" t="s">
        <v>0</v>
      </c>
      <c r="D179" s="4">
        <v>323069</v>
      </c>
      <c r="E179" s="4" t="s">
        <v>44</v>
      </c>
      <c r="F179" s="4">
        <v>11</v>
      </c>
      <c r="G179" s="4" t="s">
        <v>15</v>
      </c>
      <c r="H179" s="4" t="s">
        <v>3</v>
      </c>
      <c r="I179" s="4" t="s">
        <v>35</v>
      </c>
      <c r="J179" s="4" t="s">
        <v>5</v>
      </c>
      <c r="K179" s="4" t="s">
        <v>6</v>
      </c>
      <c r="L179" s="4">
        <v>0</v>
      </c>
      <c r="M179" s="4">
        <v>0</v>
      </c>
      <c r="N179" s="4">
        <v>40</v>
      </c>
      <c r="O179" s="4" t="s">
        <v>7</v>
      </c>
      <c r="P179" s="4" t="s">
        <v>8</v>
      </c>
      <c r="Q179" s="4">
        <f>IF(Tabela2[[#This Row],[sex]]="Female",Tabela2[[#This Row],[hours-per-week]],NA())</f>
        <v>40</v>
      </c>
      <c r="R179" s="4" t="e">
        <f>IF(Tabela2[[#This Row],[sex]]="Male",Tabela2[[#This Row],[hours-per-week]],NA())</f>
        <v>#N/A</v>
      </c>
    </row>
    <row r="180" spans="1:18">
      <c r="A180" s="3" t="s">
        <v>271</v>
      </c>
      <c r="B180" s="4">
        <v>51</v>
      </c>
      <c r="C180" s="4" t="s">
        <v>41</v>
      </c>
      <c r="D180" s="4">
        <v>45487</v>
      </c>
      <c r="E180" s="4" t="s">
        <v>28</v>
      </c>
      <c r="F180" s="4">
        <v>9</v>
      </c>
      <c r="G180" s="4" t="s">
        <v>29</v>
      </c>
      <c r="H180" s="4" t="s">
        <v>38</v>
      </c>
      <c r="I180" s="4" t="s">
        <v>32</v>
      </c>
      <c r="J180" s="4" t="s">
        <v>5</v>
      </c>
      <c r="K180" s="4" t="s">
        <v>18</v>
      </c>
      <c r="L180" s="4">
        <v>0</v>
      </c>
      <c r="M180" s="4">
        <v>0</v>
      </c>
      <c r="N180" s="4">
        <v>80</v>
      </c>
      <c r="O180" s="4" t="s">
        <v>7</v>
      </c>
      <c r="P180" s="4" t="s">
        <v>8</v>
      </c>
      <c r="Q180" s="4" t="e">
        <f>IF(Tabela2[[#This Row],[sex]]="Female",Tabela2[[#This Row],[hours-per-week]],NA())</f>
        <v>#N/A</v>
      </c>
      <c r="R180" s="4">
        <f>IF(Tabela2[[#This Row],[sex]]="Male",Tabela2[[#This Row],[hours-per-week]],NA())</f>
        <v>80</v>
      </c>
    </row>
    <row r="181" spans="1:18">
      <c r="A181" s="3" t="s">
        <v>272</v>
      </c>
      <c r="B181" s="4">
        <v>27</v>
      </c>
      <c r="C181" s="4" t="s">
        <v>40</v>
      </c>
      <c r="D181" s="4">
        <v>442612</v>
      </c>
      <c r="E181" s="4" t="s">
        <v>28</v>
      </c>
      <c r="F181" s="4">
        <v>9</v>
      </c>
      <c r="G181" s="4" t="s">
        <v>29</v>
      </c>
      <c r="H181" s="4" t="s">
        <v>10</v>
      </c>
      <c r="I181" s="4" t="s">
        <v>32</v>
      </c>
      <c r="J181" s="4" t="s">
        <v>5</v>
      </c>
      <c r="K181" s="4" t="s">
        <v>18</v>
      </c>
      <c r="L181" s="4">
        <v>0</v>
      </c>
      <c r="M181" s="4">
        <v>0</v>
      </c>
      <c r="N181" s="4">
        <v>65</v>
      </c>
      <c r="O181" s="4" t="s">
        <v>7</v>
      </c>
      <c r="P181" s="4" t="s">
        <v>19</v>
      </c>
      <c r="Q181" s="4" t="e">
        <f>IF(Tabela2[[#This Row],[sex]]="Female",Tabela2[[#This Row],[hours-per-week]],NA())</f>
        <v>#N/A</v>
      </c>
      <c r="R181" s="4">
        <f>IF(Tabela2[[#This Row],[sex]]="Male",Tabela2[[#This Row],[hours-per-week]],NA())</f>
        <v>65</v>
      </c>
    </row>
    <row r="182" spans="1:18">
      <c r="A182" s="3" t="s">
        <v>273</v>
      </c>
      <c r="B182" s="4">
        <v>36</v>
      </c>
      <c r="C182" s="4" t="s">
        <v>0</v>
      </c>
      <c r="D182" s="4">
        <v>308945</v>
      </c>
      <c r="E182" s="4" t="s">
        <v>28</v>
      </c>
      <c r="F182" s="4">
        <v>9</v>
      </c>
      <c r="G182" s="4" t="s">
        <v>29</v>
      </c>
      <c r="H182" s="4" t="s">
        <v>22</v>
      </c>
      <c r="I182" s="4" t="s">
        <v>32</v>
      </c>
      <c r="J182" s="4" t="s">
        <v>5</v>
      </c>
      <c r="K182" s="4" t="s">
        <v>18</v>
      </c>
      <c r="L182" s="4">
        <v>0</v>
      </c>
      <c r="M182" s="4">
        <v>0</v>
      </c>
      <c r="N182" s="4">
        <v>40</v>
      </c>
      <c r="O182" s="4" t="s">
        <v>7</v>
      </c>
      <c r="P182" s="4" t="s">
        <v>8</v>
      </c>
      <c r="Q182" s="4" t="e">
        <f>IF(Tabela2[[#This Row],[sex]]="Female",Tabela2[[#This Row],[hours-per-week]],NA())</f>
        <v>#N/A</v>
      </c>
      <c r="R182" s="4">
        <f>IF(Tabela2[[#This Row],[sex]]="Male",Tabela2[[#This Row],[hours-per-week]],NA())</f>
        <v>40</v>
      </c>
    </row>
    <row r="183" spans="1:18">
      <c r="A183" s="3" t="s">
        <v>274</v>
      </c>
      <c r="B183" s="4">
        <v>52</v>
      </c>
      <c r="C183" s="4" t="s">
        <v>0</v>
      </c>
      <c r="D183" s="4">
        <v>245275</v>
      </c>
      <c r="E183" s="4" t="s">
        <v>43</v>
      </c>
      <c r="F183" s="4">
        <v>6</v>
      </c>
      <c r="G183" s="4" t="s">
        <v>29</v>
      </c>
      <c r="H183" s="4" t="s">
        <v>3</v>
      </c>
      <c r="I183" s="4" t="s">
        <v>31</v>
      </c>
      <c r="J183" s="4" t="s">
        <v>5</v>
      </c>
      <c r="K183" s="4" t="s">
        <v>6</v>
      </c>
      <c r="L183" s="4">
        <v>0</v>
      </c>
      <c r="M183" s="4">
        <v>0</v>
      </c>
      <c r="N183" s="4">
        <v>35</v>
      </c>
      <c r="O183" s="4" t="s">
        <v>7</v>
      </c>
      <c r="P183" s="4" t="s">
        <v>8</v>
      </c>
      <c r="Q183" s="4">
        <f>IF(Tabela2[[#This Row],[sex]]="Female",Tabela2[[#This Row],[hours-per-week]],NA())</f>
        <v>35</v>
      </c>
      <c r="R183" s="4" t="e">
        <f>IF(Tabela2[[#This Row],[sex]]="Male",Tabela2[[#This Row],[hours-per-week]],NA())</f>
        <v>#N/A</v>
      </c>
    </row>
    <row r="184" spans="1:18">
      <c r="A184" s="3" t="s">
        <v>275</v>
      </c>
      <c r="B184" s="4">
        <v>43</v>
      </c>
      <c r="C184" s="4" t="s">
        <v>0</v>
      </c>
      <c r="D184" s="4">
        <v>177905</v>
      </c>
      <c r="E184" s="4" t="s">
        <v>28</v>
      </c>
      <c r="F184" s="4">
        <v>9</v>
      </c>
      <c r="G184" s="4" t="s">
        <v>29</v>
      </c>
      <c r="H184" s="4" t="s">
        <v>34</v>
      </c>
      <c r="I184" s="4" t="s">
        <v>32</v>
      </c>
      <c r="J184" s="4" t="s">
        <v>5</v>
      </c>
      <c r="K184" s="4" t="s">
        <v>18</v>
      </c>
      <c r="L184" s="4">
        <v>3908</v>
      </c>
      <c r="M184" s="4">
        <v>0</v>
      </c>
      <c r="N184" s="4">
        <v>40</v>
      </c>
      <c r="O184" s="4" t="s">
        <v>7</v>
      </c>
      <c r="P184" s="4" t="s">
        <v>8</v>
      </c>
      <c r="Q184" s="4" t="e">
        <f>IF(Tabela2[[#This Row],[sex]]="Female",Tabela2[[#This Row],[hours-per-week]],NA())</f>
        <v>#N/A</v>
      </c>
      <c r="R184" s="4">
        <f>IF(Tabela2[[#This Row],[sex]]="Male",Tabela2[[#This Row],[hours-per-week]],NA())</f>
        <v>40</v>
      </c>
    </row>
    <row r="185" spans="1:18">
      <c r="A185" s="3" t="s">
        <v>276</v>
      </c>
      <c r="B185" s="4">
        <v>56</v>
      </c>
      <c r="C185" s="4" t="s">
        <v>0</v>
      </c>
      <c r="D185" s="4">
        <v>132026</v>
      </c>
      <c r="E185" s="4" t="s">
        <v>26</v>
      </c>
      <c r="F185" s="4">
        <v>13</v>
      </c>
      <c r="G185" s="4" t="s">
        <v>29</v>
      </c>
      <c r="H185" s="4" t="s">
        <v>10</v>
      </c>
      <c r="I185" s="4" t="s">
        <v>32</v>
      </c>
      <c r="J185" s="4" t="s">
        <v>23</v>
      </c>
      <c r="K185" s="4" t="s">
        <v>18</v>
      </c>
      <c r="L185" s="4">
        <v>7688</v>
      </c>
      <c r="M185" s="4">
        <v>0</v>
      </c>
      <c r="N185" s="4">
        <v>45</v>
      </c>
      <c r="O185" s="4" t="s">
        <v>7</v>
      </c>
      <c r="P185" s="4" t="s">
        <v>19</v>
      </c>
      <c r="Q185" s="4" t="e">
        <f>IF(Tabela2[[#This Row],[sex]]="Female",Tabela2[[#This Row],[hours-per-week]],NA())</f>
        <v>#N/A</v>
      </c>
      <c r="R185" s="4">
        <f>IF(Tabela2[[#This Row],[sex]]="Male",Tabela2[[#This Row],[hours-per-week]],NA())</f>
        <v>45</v>
      </c>
    </row>
    <row r="186" spans="1:18">
      <c r="A186" s="3" t="s">
        <v>277</v>
      </c>
      <c r="B186" s="4">
        <v>25</v>
      </c>
      <c r="C186" s="4" t="s">
        <v>0</v>
      </c>
      <c r="D186" s="4">
        <v>75759</v>
      </c>
      <c r="E186" s="4" t="s">
        <v>28</v>
      </c>
      <c r="F186" s="4">
        <v>9</v>
      </c>
      <c r="G186" s="4" t="s">
        <v>29</v>
      </c>
      <c r="H186" s="4" t="s">
        <v>38</v>
      </c>
      <c r="I186" s="4" t="s">
        <v>32</v>
      </c>
      <c r="J186" s="4" t="s">
        <v>5</v>
      </c>
      <c r="K186" s="4" t="s">
        <v>18</v>
      </c>
      <c r="L186" s="4">
        <v>0</v>
      </c>
      <c r="M186" s="4">
        <v>0</v>
      </c>
      <c r="N186" s="4">
        <v>44</v>
      </c>
      <c r="O186" s="4" t="s">
        <v>7</v>
      </c>
      <c r="P186" s="4" t="s">
        <v>19</v>
      </c>
      <c r="Q186" s="4" t="e">
        <f>IF(Tabela2[[#This Row],[sex]]="Female",Tabela2[[#This Row],[hours-per-week]],NA())</f>
        <v>#N/A</v>
      </c>
      <c r="R186" s="4">
        <f>IF(Tabela2[[#This Row],[sex]]="Male",Tabela2[[#This Row],[hours-per-week]],NA())</f>
        <v>44</v>
      </c>
    </row>
    <row r="187" spans="1:18">
      <c r="A187" s="3" t="s">
        <v>278</v>
      </c>
      <c r="B187" s="4">
        <v>55</v>
      </c>
      <c r="C187" s="4" t="s">
        <v>0</v>
      </c>
      <c r="D187" s="4">
        <v>201112</v>
      </c>
      <c r="E187" s="4" t="s">
        <v>28</v>
      </c>
      <c r="F187" s="4">
        <v>9</v>
      </c>
      <c r="G187" s="4" t="s">
        <v>15</v>
      </c>
      <c r="H187" s="4" t="s">
        <v>27</v>
      </c>
      <c r="I187" s="4" t="s">
        <v>35</v>
      </c>
      <c r="J187" s="4" t="s">
        <v>23</v>
      </c>
      <c r="K187" s="4" t="s">
        <v>6</v>
      </c>
      <c r="L187" s="4">
        <v>0</v>
      </c>
      <c r="M187" s="4">
        <v>0</v>
      </c>
      <c r="N187" s="4">
        <v>40</v>
      </c>
      <c r="O187" s="4" t="s">
        <v>7</v>
      </c>
      <c r="P187" s="4" t="s">
        <v>8</v>
      </c>
      <c r="Q187" s="4">
        <f>IF(Tabela2[[#This Row],[sex]]="Female",Tabela2[[#This Row],[hours-per-week]],NA())</f>
        <v>40</v>
      </c>
      <c r="R187" s="4" t="e">
        <f>IF(Tabela2[[#This Row],[sex]]="Male",Tabela2[[#This Row],[hours-per-week]],NA())</f>
        <v>#N/A</v>
      </c>
    </row>
    <row r="188" spans="1:18">
      <c r="A188" s="3" t="s">
        <v>279</v>
      </c>
      <c r="B188" s="4">
        <v>37</v>
      </c>
      <c r="C188" s="4" t="s">
        <v>0</v>
      </c>
      <c r="D188" s="4">
        <v>108913</v>
      </c>
      <c r="E188" s="4" t="s">
        <v>28</v>
      </c>
      <c r="F188" s="4">
        <v>9</v>
      </c>
      <c r="G188" s="4" t="s">
        <v>2</v>
      </c>
      <c r="H188" s="4" t="s">
        <v>3</v>
      </c>
      <c r="I188" s="4" t="s">
        <v>11</v>
      </c>
      <c r="J188" s="4" t="s">
        <v>5</v>
      </c>
      <c r="K188" s="4" t="s">
        <v>18</v>
      </c>
      <c r="L188" s="4">
        <v>0</v>
      </c>
      <c r="M188" s="4">
        <v>0</v>
      </c>
      <c r="N188" s="4">
        <v>40</v>
      </c>
      <c r="O188" s="4" t="s">
        <v>7</v>
      </c>
      <c r="P188" s="4" t="s">
        <v>8</v>
      </c>
      <c r="Q188" s="4" t="e">
        <f>IF(Tabela2[[#This Row],[sex]]="Female",Tabela2[[#This Row],[hours-per-week]],NA())</f>
        <v>#N/A</v>
      </c>
      <c r="R188" s="4">
        <f>IF(Tabela2[[#This Row],[sex]]="Male",Tabela2[[#This Row],[hours-per-week]],NA())</f>
        <v>40</v>
      </c>
    </row>
    <row r="189" spans="1:18">
      <c r="A189" s="3" t="s">
        <v>280</v>
      </c>
      <c r="B189" s="4">
        <v>34</v>
      </c>
      <c r="C189" s="4" t="s">
        <v>0</v>
      </c>
      <c r="D189" s="4">
        <v>207668</v>
      </c>
      <c r="E189" s="4" t="s">
        <v>12</v>
      </c>
      <c r="F189" s="4">
        <v>10</v>
      </c>
      <c r="G189" s="4" t="s">
        <v>29</v>
      </c>
      <c r="H189" s="4" t="s">
        <v>34</v>
      </c>
      <c r="I189" s="4" t="s">
        <v>32</v>
      </c>
      <c r="J189" s="4" t="s">
        <v>5</v>
      </c>
      <c r="K189" s="4" t="s">
        <v>18</v>
      </c>
      <c r="L189" s="4">
        <v>0</v>
      </c>
      <c r="M189" s="4">
        <v>1887</v>
      </c>
      <c r="N189" s="4">
        <v>40</v>
      </c>
      <c r="O189" s="4" t="s">
        <v>7</v>
      </c>
      <c r="P189" s="4" t="s">
        <v>19</v>
      </c>
      <c r="Q189" s="4" t="e">
        <f>IF(Tabela2[[#This Row],[sex]]="Female",Tabela2[[#This Row],[hours-per-week]],NA())</f>
        <v>#N/A</v>
      </c>
      <c r="R189" s="4">
        <f>IF(Tabela2[[#This Row],[sex]]="Male",Tabela2[[#This Row],[hours-per-week]],NA())</f>
        <v>40</v>
      </c>
    </row>
    <row r="190" spans="1:18">
      <c r="A190" s="3" t="s">
        <v>281</v>
      </c>
      <c r="B190" s="4">
        <v>27</v>
      </c>
      <c r="C190" s="4" t="s">
        <v>0</v>
      </c>
      <c r="D190" s="4">
        <v>119170</v>
      </c>
      <c r="E190" s="4" t="s">
        <v>1</v>
      </c>
      <c r="F190" s="4">
        <v>7</v>
      </c>
      <c r="G190" s="4" t="s">
        <v>2</v>
      </c>
      <c r="H190" s="4" t="s">
        <v>46</v>
      </c>
      <c r="I190" s="4" t="s">
        <v>35</v>
      </c>
      <c r="J190" s="4" t="s">
        <v>5</v>
      </c>
      <c r="K190" s="4" t="s">
        <v>6</v>
      </c>
      <c r="L190" s="4">
        <v>0</v>
      </c>
      <c r="M190" s="4">
        <v>0</v>
      </c>
      <c r="N190" s="4">
        <v>45</v>
      </c>
      <c r="O190" s="4" t="s">
        <v>7</v>
      </c>
      <c r="P190" s="4" t="s">
        <v>8</v>
      </c>
      <c r="Q190" s="4">
        <f>IF(Tabela2[[#This Row],[sex]]="Female",Tabela2[[#This Row],[hours-per-week]],NA())</f>
        <v>45</v>
      </c>
      <c r="R190" s="4" t="e">
        <f>IF(Tabela2[[#This Row],[sex]]="Male",Tabela2[[#This Row],[hours-per-week]],NA())</f>
        <v>#N/A</v>
      </c>
    </row>
    <row r="191" spans="1:18">
      <c r="A191" s="3" t="s">
        <v>282</v>
      </c>
      <c r="B191" s="4">
        <v>50</v>
      </c>
      <c r="C191" s="4" t="s">
        <v>0</v>
      </c>
      <c r="D191" s="4">
        <v>258819</v>
      </c>
      <c r="E191" s="4" t="s">
        <v>28</v>
      </c>
      <c r="F191" s="4">
        <v>9</v>
      </c>
      <c r="G191" s="4" t="s">
        <v>15</v>
      </c>
      <c r="H191" s="4" t="s">
        <v>16</v>
      </c>
      <c r="I191" s="4" t="s">
        <v>11</v>
      </c>
      <c r="J191" s="4" t="s">
        <v>5</v>
      </c>
      <c r="K191" s="4" t="s">
        <v>18</v>
      </c>
      <c r="L191" s="4">
        <v>0</v>
      </c>
      <c r="M191" s="4">
        <v>0</v>
      </c>
      <c r="N191" s="4">
        <v>40</v>
      </c>
      <c r="O191" s="4" t="s">
        <v>7</v>
      </c>
      <c r="P191" s="4" t="s">
        <v>19</v>
      </c>
      <c r="Q191" s="4" t="e">
        <f>IF(Tabela2[[#This Row],[sex]]="Female",Tabela2[[#This Row],[hours-per-week]],NA())</f>
        <v>#N/A</v>
      </c>
      <c r="R191" s="4">
        <f>IF(Tabela2[[#This Row],[sex]]="Male",Tabela2[[#This Row],[hours-per-week]],NA())</f>
        <v>40</v>
      </c>
    </row>
    <row r="192" spans="1:18">
      <c r="A192" s="3" t="s">
        <v>283</v>
      </c>
      <c r="B192" s="4">
        <v>34</v>
      </c>
      <c r="C192" s="4" t="s">
        <v>40</v>
      </c>
      <c r="D192" s="4">
        <v>123429</v>
      </c>
      <c r="E192" s="4" t="s">
        <v>28</v>
      </c>
      <c r="F192" s="4">
        <v>9</v>
      </c>
      <c r="G192" s="4" t="s">
        <v>29</v>
      </c>
      <c r="H192" s="4" t="s">
        <v>10</v>
      </c>
      <c r="I192" s="4" t="s">
        <v>32</v>
      </c>
      <c r="J192" s="4" t="s">
        <v>5</v>
      </c>
      <c r="K192" s="4" t="s">
        <v>18</v>
      </c>
      <c r="L192" s="4">
        <v>0</v>
      </c>
      <c r="M192" s="4">
        <v>0</v>
      </c>
      <c r="N192" s="4">
        <v>60</v>
      </c>
      <c r="O192" s="4" t="s">
        <v>7</v>
      </c>
      <c r="P192" s="4" t="s">
        <v>8</v>
      </c>
      <c r="Q192" s="4" t="e">
        <f>IF(Tabela2[[#This Row],[sex]]="Female",Tabela2[[#This Row],[hours-per-week]],NA())</f>
        <v>#N/A</v>
      </c>
      <c r="R192" s="4">
        <f>IF(Tabela2[[#This Row],[sex]]="Male",Tabela2[[#This Row],[hours-per-week]],NA())</f>
        <v>60</v>
      </c>
    </row>
    <row r="193" spans="1:18">
      <c r="A193" s="3" t="s">
        <v>284</v>
      </c>
      <c r="B193" s="4">
        <v>20</v>
      </c>
      <c r="C193" s="4" t="s">
        <v>0</v>
      </c>
      <c r="D193" s="4">
        <v>120572</v>
      </c>
      <c r="E193" s="4" t="s">
        <v>12</v>
      </c>
      <c r="F193" s="4">
        <v>10</v>
      </c>
      <c r="G193" s="4" t="s">
        <v>2</v>
      </c>
      <c r="H193" s="4" t="s">
        <v>3</v>
      </c>
      <c r="I193" s="4" t="s">
        <v>11</v>
      </c>
      <c r="J193" s="4" t="s">
        <v>5</v>
      </c>
      <c r="K193" s="4" t="s">
        <v>6</v>
      </c>
      <c r="L193" s="4">
        <v>0</v>
      </c>
      <c r="M193" s="4">
        <v>0</v>
      </c>
      <c r="N193" s="4">
        <v>12</v>
      </c>
      <c r="O193" s="4" t="s">
        <v>7</v>
      </c>
      <c r="P193" s="4" t="s">
        <v>8</v>
      </c>
      <c r="Q193" s="4">
        <f>IF(Tabela2[[#This Row],[sex]]="Female",Tabela2[[#This Row],[hours-per-week]],NA())</f>
        <v>12</v>
      </c>
      <c r="R193" s="4" t="e">
        <f>IF(Tabela2[[#This Row],[sex]]="Male",Tabela2[[#This Row],[hours-per-week]],NA())</f>
        <v>#N/A</v>
      </c>
    </row>
    <row r="194" spans="1:18">
      <c r="A194" s="3" t="s">
        <v>285</v>
      </c>
      <c r="B194" s="4">
        <v>41</v>
      </c>
      <c r="C194" s="4" t="s">
        <v>25</v>
      </c>
      <c r="D194" s="4">
        <v>116520</v>
      </c>
      <c r="E194" s="4" t="s">
        <v>63</v>
      </c>
      <c r="F194" s="4">
        <v>16</v>
      </c>
      <c r="G194" s="4" t="s">
        <v>29</v>
      </c>
      <c r="H194" s="4" t="s">
        <v>27</v>
      </c>
      <c r="I194" s="4" t="s">
        <v>32</v>
      </c>
      <c r="J194" s="4" t="s">
        <v>5</v>
      </c>
      <c r="K194" s="4" t="s">
        <v>18</v>
      </c>
      <c r="L194" s="4">
        <v>0</v>
      </c>
      <c r="M194" s="4">
        <v>0</v>
      </c>
      <c r="N194" s="4">
        <v>40</v>
      </c>
      <c r="O194" s="4" t="s">
        <v>7</v>
      </c>
      <c r="P194" s="4" t="s">
        <v>19</v>
      </c>
      <c r="Q194" s="4" t="e">
        <f>IF(Tabela2[[#This Row],[sex]]="Female",Tabela2[[#This Row],[hours-per-week]],NA())</f>
        <v>#N/A</v>
      </c>
      <c r="R194" s="4">
        <f>IF(Tabela2[[#This Row],[sex]]="Male",Tabela2[[#This Row],[hours-per-week]],NA())</f>
        <v>40</v>
      </c>
    </row>
    <row r="195" spans="1:18">
      <c r="A195" s="3" t="s">
        <v>286</v>
      </c>
      <c r="B195" s="4">
        <v>38</v>
      </c>
      <c r="C195" s="4" t="s">
        <v>40</v>
      </c>
      <c r="D195" s="4">
        <v>201328</v>
      </c>
      <c r="E195" s="4" t="s">
        <v>57</v>
      </c>
      <c r="F195" s="4">
        <v>4</v>
      </c>
      <c r="G195" s="4" t="s">
        <v>29</v>
      </c>
      <c r="H195" s="4" t="s">
        <v>24</v>
      </c>
      <c r="I195" s="4" t="s">
        <v>32</v>
      </c>
      <c r="J195" s="4" t="s">
        <v>5</v>
      </c>
      <c r="K195" s="4" t="s">
        <v>18</v>
      </c>
      <c r="L195" s="4">
        <v>0</v>
      </c>
      <c r="M195" s="4">
        <v>0</v>
      </c>
      <c r="N195" s="4">
        <v>56</v>
      </c>
      <c r="O195" s="4" t="s">
        <v>7</v>
      </c>
      <c r="P195" s="4" t="s">
        <v>8</v>
      </c>
      <c r="Q195" s="4" t="e">
        <f>IF(Tabela2[[#This Row],[sex]]="Female",Tabela2[[#This Row],[hours-per-week]],NA())</f>
        <v>#N/A</v>
      </c>
      <c r="R195" s="4">
        <f>IF(Tabela2[[#This Row],[sex]]="Male",Tabela2[[#This Row],[hours-per-week]],NA())</f>
        <v>56</v>
      </c>
    </row>
    <row r="196" spans="1:18">
      <c r="A196" s="3" t="s">
        <v>287</v>
      </c>
      <c r="B196" s="4">
        <v>39</v>
      </c>
      <c r="C196" s="4" t="s">
        <v>0</v>
      </c>
      <c r="D196" s="4">
        <v>188069</v>
      </c>
      <c r="E196" s="4" t="s">
        <v>64</v>
      </c>
      <c r="F196" s="4">
        <v>5</v>
      </c>
      <c r="G196" s="4" t="s">
        <v>29</v>
      </c>
      <c r="H196" s="4" t="s">
        <v>38</v>
      </c>
      <c r="I196" s="4" t="s">
        <v>32</v>
      </c>
      <c r="J196" s="4" t="s">
        <v>5</v>
      </c>
      <c r="K196" s="4" t="s">
        <v>18</v>
      </c>
      <c r="L196" s="4">
        <v>0</v>
      </c>
      <c r="M196" s="4">
        <v>0</v>
      </c>
      <c r="N196" s="4">
        <v>25</v>
      </c>
      <c r="O196" s="4" t="s">
        <v>7</v>
      </c>
      <c r="P196" s="4" t="s">
        <v>8</v>
      </c>
      <c r="Q196" s="4" t="e">
        <f>IF(Tabela2[[#This Row],[sex]]="Female",Tabela2[[#This Row],[hours-per-week]],NA())</f>
        <v>#N/A</v>
      </c>
      <c r="R196" s="4">
        <f>IF(Tabela2[[#This Row],[sex]]="Male",Tabela2[[#This Row],[hours-per-week]],NA())</f>
        <v>25</v>
      </c>
    </row>
    <row r="197" spans="1:18">
      <c r="A197" s="3" t="s">
        <v>288</v>
      </c>
      <c r="B197" s="4">
        <v>36</v>
      </c>
      <c r="C197" s="4" t="s">
        <v>0</v>
      </c>
      <c r="D197" s="4">
        <v>272944</v>
      </c>
      <c r="E197" s="4" t="s">
        <v>28</v>
      </c>
      <c r="F197" s="4">
        <v>9</v>
      </c>
      <c r="G197" s="4" t="s">
        <v>2</v>
      </c>
      <c r="H197" s="4" t="s">
        <v>38</v>
      </c>
      <c r="I197" s="4" t="s">
        <v>11</v>
      </c>
      <c r="J197" s="4" t="s">
        <v>5</v>
      </c>
      <c r="K197" s="4" t="s">
        <v>18</v>
      </c>
      <c r="L197" s="4">
        <v>0</v>
      </c>
      <c r="M197" s="4">
        <v>0</v>
      </c>
      <c r="N197" s="4">
        <v>45</v>
      </c>
      <c r="O197" s="4" t="s">
        <v>7</v>
      </c>
      <c r="P197" s="4" t="s">
        <v>8</v>
      </c>
      <c r="Q197" s="4" t="e">
        <f>IF(Tabela2[[#This Row],[sex]]="Female",Tabela2[[#This Row],[hours-per-week]],NA())</f>
        <v>#N/A</v>
      </c>
      <c r="R197" s="4">
        <f>IF(Tabela2[[#This Row],[sex]]="Male",Tabela2[[#This Row],[hours-per-week]],NA())</f>
        <v>45</v>
      </c>
    </row>
    <row r="198" spans="1:18">
      <c r="A198" s="3" t="s">
        <v>289</v>
      </c>
      <c r="B198" s="4">
        <v>64</v>
      </c>
      <c r="C198" s="4" t="s">
        <v>20</v>
      </c>
      <c r="D198" s="4">
        <v>202738</v>
      </c>
      <c r="E198" s="4" t="s">
        <v>28</v>
      </c>
      <c r="F198" s="4">
        <v>9</v>
      </c>
      <c r="G198" s="4" t="s">
        <v>29</v>
      </c>
      <c r="H198" s="4" t="s">
        <v>33</v>
      </c>
      <c r="I198" s="4" t="s">
        <v>31</v>
      </c>
      <c r="J198" s="4" t="s">
        <v>5</v>
      </c>
      <c r="K198" s="4" t="s">
        <v>6</v>
      </c>
      <c r="L198" s="4">
        <v>0</v>
      </c>
      <c r="M198" s="4">
        <v>0</v>
      </c>
      <c r="N198" s="4">
        <v>35</v>
      </c>
      <c r="O198" s="4" t="s">
        <v>7</v>
      </c>
      <c r="P198" s="4" t="s">
        <v>8</v>
      </c>
      <c r="Q198" s="4">
        <f>IF(Tabela2[[#This Row],[sex]]="Female",Tabela2[[#This Row],[hours-per-week]],NA())</f>
        <v>35</v>
      </c>
      <c r="R198" s="4" t="e">
        <f>IF(Tabela2[[#This Row],[sex]]="Male",Tabela2[[#This Row],[hours-per-week]],NA())</f>
        <v>#N/A</v>
      </c>
    </row>
    <row r="199" spans="1:18">
      <c r="A199" s="3" t="s">
        <v>290</v>
      </c>
      <c r="B199" s="4">
        <v>18</v>
      </c>
      <c r="C199" s="4" t="s">
        <v>0</v>
      </c>
      <c r="D199" s="4">
        <v>374969</v>
      </c>
      <c r="E199" s="4" t="s">
        <v>43</v>
      </c>
      <c r="F199" s="4">
        <v>6</v>
      </c>
      <c r="G199" s="4" t="s">
        <v>2</v>
      </c>
      <c r="H199" s="4" t="s">
        <v>38</v>
      </c>
      <c r="I199" s="4" t="s">
        <v>11</v>
      </c>
      <c r="J199" s="4" t="s">
        <v>5</v>
      </c>
      <c r="K199" s="4" t="s">
        <v>18</v>
      </c>
      <c r="L199" s="4">
        <v>0</v>
      </c>
      <c r="M199" s="4">
        <v>0</v>
      </c>
      <c r="N199" s="4">
        <v>56</v>
      </c>
      <c r="O199" s="4" t="s">
        <v>7</v>
      </c>
      <c r="P199" s="4" t="s">
        <v>8</v>
      </c>
      <c r="Q199" s="4" t="e">
        <f>IF(Tabela2[[#This Row],[sex]]="Female",Tabela2[[#This Row],[hours-per-week]],NA())</f>
        <v>#N/A</v>
      </c>
      <c r="R199" s="4">
        <f>IF(Tabela2[[#This Row],[sex]]="Male",Tabela2[[#This Row],[hours-per-week]],NA())</f>
        <v>56</v>
      </c>
    </row>
    <row r="200" spans="1:18">
      <c r="A200" s="3" t="s">
        <v>291</v>
      </c>
      <c r="B200" s="4">
        <v>46</v>
      </c>
      <c r="C200" s="4" t="s">
        <v>0</v>
      </c>
      <c r="D200" s="4">
        <v>179869</v>
      </c>
      <c r="E200" s="4" t="s">
        <v>28</v>
      </c>
      <c r="F200" s="4">
        <v>9</v>
      </c>
      <c r="G200" s="4" t="s">
        <v>29</v>
      </c>
      <c r="H200" s="4" t="s">
        <v>16</v>
      </c>
      <c r="I200" s="4" t="s">
        <v>32</v>
      </c>
      <c r="J200" s="4" t="s">
        <v>5</v>
      </c>
      <c r="K200" s="4" t="s">
        <v>18</v>
      </c>
      <c r="L200" s="4">
        <v>0</v>
      </c>
      <c r="M200" s="4">
        <v>0</v>
      </c>
      <c r="N200" s="4">
        <v>40</v>
      </c>
      <c r="O200" s="4" t="s">
        <v>7</v>
      </c>
      <c r="P200" s="4" t="s">
        <v>8</v>
      </c>
      <c r="Q200" s="4" t="e">
        <f>IF(Tabela2[[#This Row],[sex]]="Female",Tabela2[[#This Row],[hours-per-week]],NA())</f>
        <v>#N/A</v>
      </c>
      <c r="R200" s="4">
        <f>IF(Tabela2[[#This Row],[sex]]="Male",Tabela2[[#This Row],[hours-per-week]],NA())</f>
        <v>40</v>
      </c>
    </row>
    <row r="201" spans="1:18">
      <c r="A201" s="3" t="s">
        <v>292</v>
      </c>
      <c r="B201" s="4">
        <v>18</v>
      </c>
      <c r="C201" s="4" t="s">
        <v>0</v>
      </c>
      <c r="D201" s="4">
        <v>120691</v>
      </c>
      <c r="E201" s="4" t="s">
        <v>12</v>
      </c>
      <c r="F201" s="4">
        <v>10</v>
      </c>
      <c r="G201" s="4" t="s">
        <v>2</v>
      </c>
      <c r="H201" s="4" t="s">
        <v>3</v>
      </c>
      <c r="I201" s="4" t="s">
        <v>4</v>
      </c>
      <c r="J201" s="4" t="s">
        <v>23</v>
      </c>
      <c r="K201" s="4" t="s">
        <v>18</v>
      </c>
      <c r="L201" s="4">
        <v>0</v>
      </c>
      <c r="M201" s="4">
        <v>0</v>
      </c>
      <c r="N201" s="4">
        <v>35</v>
      </c>
      <c r="O201" s="4" t="s">
        <v>37</v>
      </c>
      <c r="P201" s="4" t="s">
        <v>8</v>
      </c>
      <c r="Q201" s="4" t="e">
        <f>IF(Tabela2[[#This Row],[sex]]="Female",Tabela2[[#This Row],[hours-per-week]],NA())</f>
        <v>#N/A</v>
      </c>
      <c r="R201" s="4">
        <f>IF(Tabela2[[#This Row],[sex]]="Male",Tabela2[[#This Row],[hours-per-week]],NA())</f>
        <v>35</v>
      </c>
    </row>
    <row r="202" spans="1:18">
      <c r="A202" s="3" t="s">
        <v>293</v>
      </c>
      <c r="B202" s="4">
        <v>63</v>
      </c>
      <c r="C202" s="4" t="s">
        <v>0</v>
      </c>
      <c r="D202" s="4">
        <v>100099</v>
      </c>
      <c r="E202" s="4" t="s">
        <v>28</v>
      </c>
      <c r="F202" s="4">
        <v>9</v>
      </c>
      <c r="G202" s="4" t="s">
        <v>56</v>
      </c>
      <c r="H202" s="4" t="s">
        <v>16</v>
      </c>
      <c r="I202" s="4" t="s">
        <v>11</v>
      </c>
      <c r="J202" s="4" t="s">
        <v>5</v>
      </c>
      <c r="K202" s="4" t="s">
        <v>18</v>
      </c>
      <c r="L202" s="4">
        <v>0</v>
      </c>
      <c r="M202" s="4">
        <v>0</v>
      </c>
      <c r="N202" s="4">
        <v>40</v>
      </c>
      <c r="O202" s="4" t="s">
        <v>7</v>
      </c>
      <c r="P202" s="4" t="s">
        <v>8</v>
      </c>
      <c r="Q202" s="4" t="e">
        <f>IF(Tabela2[[#This Row],[sex]]="Female",Tabela2[[#This Row],[hours-per-week]],NA())</f>
        <v>#N/A</v>
      </c>
      <c r="R202" s="4">
        <f>IF(Tabela2[[#This Row],[sex]]="Male",Tabela2[[#This Row],[hours-per-week]],NA())</f>
        <v>40</v>
      </c>
    </row>
    <row r="203" spans="1:18">
      <c r="A203" s="3" t="s">
        <v>294</v>
      </c>
      <c r="B203" s="4">
        <v>56</v>
      </c>
      <c r="C203" s="4" t="s">
        <v>25</v>
      </c>
      <c r="D203" s="4">
        <v>143931</v>
      </c>
      <c r="E203" s="4" t="s">
        <v>26</v>
      </c>
      <c r="F203" s="4">
        <v>13</v>
      </c>
      <c r="G203" s="4" t="s">
        <v>47</v>
      </c>
      <c r="H203" s="4" t="s">
        <v>27</v>
      </c>
      <c r="I203" s="4" t="s">
        <v>11</v>
      </c>
      <c r="J203" s="4" t="s">
        <v>5</v>
      </c>
      <c r="K203" s="4" t="s">
        <v>6</v>
      </c>
      <c r="L203" s="4">
        <v>0</v>
      </c>
      <c r="M203" s="4">
        <v>0</v>
      </c>
      <c r="N203" s="4">
        <v>40</v>
      </c>
      <c r="O203" s="4" t="s">
        <v>7</v>
      </c>
      <c r="P203" s="4" t="s">
        <v>8</v>
      </c>
      <c r="Q203" s="4">
        <f>IF(Tabela2[[#This Row],[sex]]="Female",Tabela2[[#This Row],[hours-per-week]],NA())</f>
        <v>40</v>
      </c>
      <c r="R203" s="4" t="e">
        <f>IF(Tabela2[[#This Row],[sex]]="Male",Tabela2[[#This Row],[hours-per-week]],NA())</f>
        <v>#N/A</v>
      </c>
    </row>
    <row r="204" spans="1:18">
      <c r="A204" s="3" t="s">
        <v>295</v>
      </c>
      <c r="B204" s="4">
        <v>59</v>
      </c>
      <c r="C204" s="4" t="s">
        <v>0</v>
      </c>
      <c r="D204" s="4">
        <v>271571</v>
      </c>
      <c r="E204" s="4" t="s">
        <v>12</v>
      </c>
      <c r="F204" s="4">
        <v>10</v>
      </c>
      <c r="G204" s="4" t="s">
        <v>29</v>
      </c>
      <c r="H204" s="4" t="s">
        <v>16</v>
      </c>
      <c r="I204" s="4" t="s">
        <v>32</v>
      </c>
      <c r="J204" s="4" t="s">
        <v>5</v>
      </c>
      <c r="K204" s="4" t="s">
        <v>18</v>
      </c>
      <c r="L204" s="4">
        <v>15024</v>
      </c>
      <c r="M204" s="4">
        <v>0</v>
      </c>
      <c r="N204" s="4">
        <v>50</v>
      </c>
      <c r="O204" s="4" t="s">
        <v>7</v>
      </c>
      <c r="P204" s="4" t="s">
        <v>19</v>
      </c>
      <c r="Q204" s="4" t="e">
        <f>IF(Tabela2[[#This Row],[sex]]="Female",Tabela2[[#This Row],[hours-per-week]],NA())</f>
        <v>#N/A</v>
      </c>
      <c r="R204" s="4">
        <f>IF(Tabela2[[#This Row],[sex]]="Male",Tabela2[[#This Row],[hours-per-week]],NA())</f>
        <v>50</v>
      </c>
    </row>
    <row r="205" spans="1:18">
      <c r="A205" s="3" t="s">
        <v>296</v>
      </c>
      <c r="B205" s="4">
        <v>37</v>
      </c>
      <c r="C205" s="4" t="s">
        <v>0</v>
      </c>
      <c r="D205" s="4">
        <v>126743</v>
      </c>
      <c r="E205" s="4" t="s">
        <v>65</v>
      </c>
      <c r="F205" s="4">
        <v>2</v>
      </c>
      <c r="G205" s="4" t="s">
        <v>29</v>
      </c>
      <c r="H205" s="4" t="s">
        <v>3</v>
      </c>
      <c r="I205" s="4" t="s">
        <v>32</v>
      </c>
      <c r="J205" s="4" t="s">
        <v>5</v>
      </c>
      <c r="K205" s="4" t="s">
        <v>18</v>
      </c>
      <c r="L205" s="4">
        <v>0</v>
      </c>
      <c r="M205" s="4">
        <v>0</v>
      </c>
      <c r="N205" s="4">
        <v>53</v>
      </c>
      <c r="O205" s="4" t="s">
        <v>54</v>
      </c>
      <c r="P205" s="4" t="s">
        <v>8</v>
      </c>
      <c r="Q205" s="4" t="e">
        <f>IF(Tabela2[[#This Row],[sex]]="Female",Tabela2[[#This Row],[hours-per-week]],NA())</f>
        <v>#N/A</v>
      </c>
      <c r="R205" s="4">
        <f>IF(Tabela2[[#This Row],[sex]]="Male",Tabela2[[#This Row],[hours-per-week]],NA())</f>
        <v>53</v>
      </c>
    </row>
    <row r="206" spans="1:18">
      <c r="A206" s="3" t="s">
        <v>297</v>
      </c>
      <c r="B206" s="4">
        <v>21</v>
      </c>
      <c r="C206" s="4" t="s">
        <v>0</v>
      </c>
      <c r="D206" s="4">
        <v>232569</v>
      </c>
      <c r="E206" s="4" t="s">
        <v>28</v>
      </c>
      <c r="F206" s="4">
        <v>9</v>
      </c>
      <c r="G206" s="4" t="s">
        <v>2</v>
      </c>
      <c r="H206" s="4" t="s">
        <v>34</v>
      </c>
      <c r="I206" s="4" t="s">
        <v>11</v>
      </c>
      <c r="J206" s="4" t="s">
        <v>5</v>
      </c>
      <c r="K206" s="4" t="s">
        <v>18</v>
      </c>
      <c r="L206" s="4">
        <v>0</v>
      </c>
      <c r="M206" s="4">
        <v>0</v>
      </c>
      <c r="N206" s="4">
        <v>40</v>
      </c>
      <c r="O206" s="4" t="s">
        <v>7</v>
      </c>
      <c r="P206" s="4" t="s">
        <v>8</v>
      </c>
      <c r="Q206" s="4" t="e">
        <f>IF(Tabela2[[#This Row],[sex]]="Female",Tabela2[[#This Row],[hours-per-week]],NA())</f>
        <v>#N/A</v>
      </c>
      <c r="R206" s="4">
        <f>IF(Tabela2[[#This Row],[sex]]="Male",Tabela2[[#This Row],[hours-per-week]],NA())</f>
        <v>40</v>
      </c>
    </row>
    <row r="207" spans="1:18">
      <c r="A207" s="3" t="s">
        <v>298</v>
      </c>
      <c r="B207" s="4">
        <v>23</v>
      </c>
      <c r="C207" s="4" t="s">
        <v>37</v>
      </c>
      <c r="D207" s="4">
        <v>164574</v>
      </c>
      <c r="E207" s="4" t="s">
        <v>9</v>
      </c>
      <c r="F207" s="4">
        <v>12</v>
      </c>
      <c r="G207" s="4" t="s">
        <v>2</v>
      </c>
      <c r="H207" s="4" t="s">
        <v>37</v>
      </c>
      <c r="I207" s="4" t="s">
        <v>4</v>
      </c>
      <c r="J207" s="4" t="s">
        <v>5</v>
      </c>
      <c r="K207" s="4" t="s">
        <v>18</v>
      </c>
      <c r="L207" s="4">
        <v>0</v>
      </c>
      <c r="M207" s="4">
        <v>0</v>
      </c>
      <c r="N207" s="4">
        <v>40</v>
      </c>
      <c r="O207" s="4" t="s">
        <v>7</v>
      </c>
      <c r="P207" s="4" t="s">
        <v>8</v>
      </c>
      <c r="Q207" s="4" t="e">
        <f>IF(Tabela2[[#This Row],[sex]]="Female",Tabela2[[#This Row],[hours-per-week]],NA())</f>
        <v>#N/A</v>
      </c>
      <c r="R207" s="4">
        <f>IF(Tabela2[[#This Row],[sex]]="Male",Tabela2[[#This Row],[hours-per-week]],NA())</f>
        <v>40</v>
      </c>
    </row>
    <row r="208" spans="1:18">
      <c r="A208" s="3" t="s">
        <v>299</v>
      </c>
      <c r="B208" s="4">
        <v>30</v>
      </c>
      <c r="C208" s="4" t="s">
        <v>0</v>
      </c>
      <c r="D208" s="4">
        <v>349148</v>
      </c>
      <c r="E208" s="4" t="s">
        <v>26</v>
      </c>
      <c r="F208" s="4">
        <v>13</v>
      </c>
      <c r="G208" s="4" t="s">
        <v>2</v>
      </c>
      <c r="H208" s="4" t="s">
        <v>27</v>
      </c>
      <c r="I208" s="4" t="s">
        <v>11</v>
      </c>
      <c r="J208" s="4" t="s">
        <v>5</v>
      </c>
      <c r="K208" s="4" t="s">
        <v>18</v>
      </c>
      <c r="L208" s="4">
        <v>0</v>
      </c>
      <c r="M208" s="4">
        <v>0</v>
      </c>
      <c r="N208" s="4">
        <v>70</v>
      </c>
      <c r="O208" s="4" t="s">
        <v>7</v>
      </c>
      <c r="P208" s="4" t="s">
        <v>8</v>
      </c>
      <c r="Q208" s="4" t="e">
        <f>IF(Tabela2[[#This Row],[sex]]="Female",Tabela2[[#This Row],[hours-per-week]],NA())</f>
        <v>#N/A</v>
      </c>
      <c r="R208" s="4">
        <f>IF(Tabela2[[#This Row],[sex]]="Male",Tabela2[[#This Row],[hours-per-week]],NA())</f>
        <v>70</v>
      </c>
    </row>
    <row r="209" spans="1:18">
      <c r="A209" s="3" t="s">
        <v>300</v>
      </c>
      <c r="B209" s="4">
        <v>42</v>
      </c>
      <c r="C209" s="4" t="s">
        <v>0</v>
      </c>
      <c r="D209" s="4">
        <v>156580</v>
      </c>
      <c r="E209" s="4" t="s">
        <v>26</v>
      </c>
      <c r="F209" s="4">
        <v>13</v>
      </c>
      <c r="G209" s="4" t="s">
        <v>29</v>
      </c>
      <c r="H209" s="4" t="s">
        <v>10</v>
      </c>
      <c r="I209" s="4" t="s">
        <v>31</v>
      </c>
      <c r="J209" s="4" t="s">
        <v>5</v>
      </c>
      <c r="K209" s="4" t="s">
        <v>6</v>
      </c>
      <c r="L209" s="4">
        <v>0</v>
      </c>
      <c r="M209" s="4">
        <v>0</v>
      </c>
      <c r="N209" s="4">
        <v>40</v>
      </c>
      <c r="O209" s="4" t="s">
        <v>58</v>
      </c>
      <c r="P209" s="4" t="s">
        <v>8</v>
      </c>
      <c r="Q209" s="4">
        <f>IF(Tabela2[[#This Row],[sex]]="Female",Tabela2[[#This Row],[hours-per-week]],NA())</f>
        <v>40</v>
      </c>
      <c r="R209" s="4" t="e">
        <f>IF(Tabela2[[#This Row],[sex]]="Male",Tabela2[[#This Row],[hours-per-week]],NA())</f>
        <v>#N/A</v>
      </c>
    </row>
    <row r="210" spans="1:18">
      <c r="A210" s="3" t="s">
        <v>301</v>
      </c>
      <c r="B210" s="4">
        <v>48</v>
      </c>
      <c r="C210" s="4" t="s">
        <v>40</v>
      </c>
      <c r="D210" s="4">
        <v>164582</v>
      </c>
      <c r="E210" s="4" t="s">
        <v>12</v>
      </c>
      <c r="F210" s="4">
        <v>10</v>
      </c>
      <c r="G210" s="4" t="s">
        <v>29</v>
      </c>
      <c r="H210" s="4" t="s">
        <v>24</v>
      </c>
      <c r="I210" s="4" t="s">
        <v>32</v>
      </c>
      <c r="J210" s="4" t="s">
        <v>5</v>
      </c>
      <c r="K210" s="4" t="s">
        <v>18</v>
      </c>
      <c r="L210" s="4">
        <v>7298</v>
      </c>
      <c r="M210" s="4">
        <v>0</v>
      </c>
      <c r="N210" s="4">
        <v>60</v>
      </c>
      <c r="O210" s="4" t="s">
        <v>7</v>
      </c>
      <c r="P210" s="4" t="s">
        <v>19</v>
      </c>
      <c r="Q210" s="4" t="e">
        <f>IF(Tabela2[[#This Row],[sex]]="Female",Tabela2[[#This Row],[hours-per-week]],NA())</f>
        <v>#N/A</v>
      </c>
      <c r="R210" s="4">
        <f>IF(Tabela2[[#This Row],[sex]]="Male",Tabela2[[#This Row],[hours-per-week]],NA())</f>
        <v>60</v>
      </c>
    </row>
    <row r="211" spans="1:18">
      <c r="A211" s="3" t="s">
        <v>302</v>
      </c>
      <c r="B211" s="4">
        <v>56</v>
      </c>
      <c r="C211" s="4" t="s">
        <v>49</v>
      </c>
      <c r="D211" s="4">
        <v>184598</v>
      </c>
      <c r="E211" s="4" t="s">
        <v>64</v>
      </c>
      <c r="F211" s="4">
        <v>5</v>
      </c>
      <c r="G211" s="4" t="s">
        <v>29</v>
      </c>
      <c r="H211" s="4" t="s">
        <v>38</v>
      </c>
      <c r="I211" s="4" t="s">
        <v>32</v>
      </c>
      <c r="J211" s="4" t="s">
        <v>5</v>
      </c>
      <c r="K211" s="4" t="s">
        <v>18</v>
      </c>
      <c r="L211" s="4">
        <v>0</v>
      </c>
      <c r="M211" s="4">
        <v>0</v>
      </c>
      <c r="N211" s="4">
        <v>99</v>
      </c>
      <c r="O211" s="4" t="s">
        <v>7</v>
      </c>
      <c r="P211" s="4" t="s">
        <v>8</v>
      </c>
      <c r="Q211" s="4" t="e">
        <f>IF(Tabela2[[#This Row],[sex]]="Female",Tabela2[[#This Row],[hours-per-week]],NA())</f>
        <v>#N/A</v>
      </c>
      <c r="R211" s="4">
        <f>IF(Tabela2[[#This Row],[sex]]="Male",Tabela2[[#This Row],[hours-per-week]],NA())</f>
        <v>99</v>
      </c>
    </row>
    <row r="212" spans="1:18">
      <c r="A212" s="3" t="s">
        <v>303</v>
      </c>
      <c r="B212" s="4">
        <v>25</v>
      </c>
      <c r="C212" s="4" t="s">
        <v>0</v>
      </c>
      <c r="D212" s="4">
        <v>182866</v>
      </c>
      <c r="E212" s="4" t="s">
        <v>28</v>
      </c>
      <c r="F212" s="4">
        <v>9</v>
      </c>
      <c r="G212" s="4" t="s">
        <v>2</v>
      </c>
      <c r="H212" s="4" t="s">
        <v>34</v>
      </c>
      <c r="I212" s="4" t="s">
        <v>4</v>
      </c>
      <c r="J212" s="4" t="s">
        <v>5</v>
      </c>
      <c r="K212" s="4" t="s">
        <v>18</v>
      </c>
      <c r="L212" s="4">
        <v>0</v>
      </c>
      <c r="M212" s="4">
        <v>0</v>
      </c>
      <c r="N212" s="4">
        <v>40</v>
      </c>
      <c r="O212" s="4" t="s">
        <v>7</v>
      </c>
      <c r="P212" s="4" t="s">
        <v>8</v>
      </c>
      <c r="Q212" s="4" t="e">
        <f>IF(Tabela2[[#This Row],[sex]]="Female",Tabela2[[#This Row],[hours-per-week]],NA())</f>
        <v>#N/A</v>
      </c>
      <c r="R212" s="4">
        <f>IF(Tabela2[[#This Row],[sex]]="Male",Tabela2[[#This Row],[hours-per-week]],NA())</f>
        <v>40</v>
      </c>
    </row>
    <row r="213" spans="1:18">
      <c r="A213" s="3" t="s">
        <v>304</v>
      </c>
      <c r="B213" s="4">
        <v>46</v>
      </c>
      <c r="C213" s="4" t="s">
        <v>20</v>
      </c>
      <c r="D213" s="4">
        <v>344172</v>
      </c>
      <c r="E213" s="4" t="s">
        <v>9</v>
      </c>
      <c r="F213" s="4">
        <v>12</v>
      </c>
      <c r="G213" s="4" t="s">
        <v>29</v>
      </c>
      <c r="H213" s="4" t="s">
        <v>55</v>
      </c>
      <c r="I213" s="4" t="s">
        <v>32</v>
      </c>
      <c r="J213" s="4" t="s">
        <v>5</v>
      </c>
      <c r="K213" s="4" t="s">
        <v>18</v>
      </c>
      <c r="L213" s="4">
        <v>0</v>
      </c>
      <c r="M213" s="4">
        <v>0</v>
      </c>
      <c r="N213" s="4">
        <v>49</v>
      </c>
      <c r="O213" s="4" t="s">
        <v>7</v>
      </c>
      <c r="P213" s="4" t="s">
        <v>19</v>
      </c>
      <c r="Q213" s="4" t="e">
        <f>IF(Tabela2[[#This Row],[sex]]="Female",Tabela2[[#This Row],[hours-per-week]],NA())</f>
        <v>#N/A</v>
      </c>
      <c r="R213" s="4">
        <f>IF(Tabela2[[#This Row],[sex]]="Male",Tabela2[[#This Row],[hours-per-week]],NA())</f>
        <v>49</v>
      </c>
    </row>
    <row r="214" spans="1:18">
      <c r="A214" s="3" t="s">
        <v>305</v>
      </c>
      <c r="B214" s="4">
        <v>18</v>
      </c>
      <c r="C214" s="4" t="s">
        <v>0</v>
      </c>
      <c r="D214" s="4">
        <v>243900</v>
      </c>
      <c r="E214" s="4" t="s">
        <v>28</v>
      </c>
      <c r="F214" s="4">
        <v>9</v>
      </c>
      <c r="G214" s="4" t="s">
        <v>2</v>
      </c>
      <c r="H214" s="4" t="s">
        <v>33</v>
      </c>
      <c r="I214" s="4" t="s">
        <v>4</v>
      </c>
      <c r="J214" s="4" t="s">
        <v>5</v>
      </c>
      <c r="K214" s="4" t="s">
        <v>6</v>
      </c>
      <c r="L214" s="4">
        <v>0</v>
      </c>
      <c r="M214" s="4">
        <v>0</v>
      </c>
      <c r="N214" s="4">
        <v>15</v>
      </c>
      <c r="O214" s="4" t="s">
        <v>7</v>
      </c>
      <c r="P214" s="4" t="s">
        <v>8</v>
      </c>
      <c r="Q214" s="4">
        <f>IF(Tabela2[[#This Row],[sex]]="Female",Tabela2[[#This Row],[hours-per-week]],NA())</f>
        <v>15</v>
      </c>
      <c r="R214" s="4" t="e">
        <f>IF(Tabela2[[#This Row],[sex]]="Male",Tabela2[[#This Row],[hours-per-week]],NA())</f>
        <v>#N/A</v>
      </c>
    </row>
    <row r="215" spans="1:18">
      <c r="A215" s="3" t="s">
        <v>306</v>
      </c>
      <c r="B215" s="4">
        <v>74</v>
      </c>
      <c r="C215" s="4" t="s">
        <v>40</v>
      </c>
      <c r="D215" s="4">
        <v>119129</v>
      </c>
      <c r="E215" s="4" t="s">
        <v>28</v>
      </c>
      <c r="F215" s="4">
        <v>9</v>
      </c>
      <c r="G215" s="4" t="s">
        <v>29</v>
      </c>
      <c r="H215" s="4" t="s">
        <v>10</v>
      </c>
      <c r="I215" s="4" t="s">
        <v>32</v>
      </c>
      <c r="J215" s="4" t="s">
        <v>5</v>
      </c>
      <c r="K215" s="4" t="s">
        <v>18</v>
      </c>
      <c r="L215" s="4">
        <v>0</v>
      </c>
      <c r="M215" s="4">
        <v>2149</v>
      </c>
      <c r="N215" s="4">
        <v>20</v>
      </c>
      <c r="O215" s="4" t="s">
        <v>7</v>
      </c>
      <c r="P215" s="4" t="s">
        <v>8</v>
      </c>
      <c r="Q215" s="4" t="e">
        <f>IF(Tabela2[[#This Row],[sex]]="Female",Tabela2[[#This Row],[hours-per-week]],NA())</f>
        <v>#N/A</v>
      </c>
      <c r="R215" s="4">
        <f>IF(Tabela2[[#This Row],[sex]]="Male",Tabela2[[#This Row],[hours-per-week]],NA())</f>
        <v>20</v>
      </c>
    </row>
    <row r="216" spans="1:18">
      <c r="A216" s="3" t="s">
        <v>307</v>
      </c>
      <c r="B216" s="4">
        <v>32</v>
      </c>
      <c r="C216" s="4" t="s">
        <v>0</v>
      </c>
      <c r="D216" s="4">
        <v>188048</v>
      </c>
      <c r="E216" s="4" t="s">
        <v>26</v>
      </c>
      <c r="F216" s="4">
        <v>13</v>
      </c>
      <c r="G216" s="4" t="s">
        <v>2</v>
      </c>
      <c r="H216" s="4" t="s">
        <v>33</v>
      </c>
      <c r="I216" s="4" t="s">
        <v>4</v>
      </c>
      <c r="J216" s="4" t="s">
        <v>5</v>
      </c>
      <c r="K216" s="4" t="s">
        <v>6</v>
      </c>
      <c r="L216" s="4">
        <v>0</v>
      </c>
      <c r="M216" s="4">
        <v>0</v>
      </c>
      <c r="N216" s="4">
        <v>40</v>
      </c>
      <c r="O216" s="4" t="s">
        <v>7</v>
      </c>
      <c r="P216" s="4" t="s">
        <v>8</v>
      </c>
      <c r="Q216" s="4">
        <f>IF(Tabela2[[#This Row],[sex]]="Female",Tabela2[[#This Row],[hours-per-week]],NA())</f>
        <v>40</v>
      </c>
      <c r="R216" s="4" t="e">
        <f>IF(Tabela2[[#This Row],[sex]]="Male",Tabela2[[#This Row],[hours-per-week]],NA())</f>
        <v>#N/A</v>
      </c>
    </row>
    <row r="217" spans="1:18">
      <c r="A217" s="3" t="s">
        <v>308</v>
      </c>
      <c r="B217" s="4">
        <v>20</v>
      </c>
      <c r="C217" s="4" t="s">
        <v>0</v>
      </c>
      <c r="D217" s="4">
        <v>366929</v>
      </c>
      <c r="E217" s="4" t="s">
        <v>12</v>
      </c>
      <c r="F217" s="4">
        <v>10</v>
      </c>
      <c r="G217" s="4" t="s">
        <v>2</v>
      </c>
      <c r="H217" s="4" t="s">
        <v>33</v>
      </c>
      <c r="I217" s="4" t="s">
        <v>4</v>
      </c>
      <c r="J217" s="4" t="s">
        <v>5</v>
      </c>
      <c r="K217" s="4" t="s">
        <v>6</v>
      </c>
      <c r="L217" s="4">
        <v>0</v>
      </c>
      <c r="M217" s="4">
        <v>0</v>
      </c>
      <c r="N217" s="4">
        <v>35</v>
      </c>
      <c r="O217" s="4" t="s">
        <v>7</v>
      </c>
      <c r="P217" s="4" t="s">
        <v>8</v>
      </c>
      <c r="Q217" s="4">
        <f>IF(Tabela2[[#This Row],[sex]]="Female",Tabela2[[#This Row],[hours-per-week]],NA())</f>
        <v>35</v>
      </c>
      <c r="R217" s="4" t="e">
        <f>IF(Tabela2[[#This Row],[sex]]="Male",Tabela2[[#This Row],[hours-per-week]],NA())</f>
        <v>#N/A</v>
      </c>
    </row>
    <row r="218" spans="1:18">
      <c r="A218" s="3" t="s">
        <v>309</v>
      </c>
      <c r="B218" s="4">
        <v>23</v>
      </c>
      <c r="C218" s="4" t="s">
        <v>0</v>
      </c>
      <c r="D218" s="4">
        <v>107801</v>
      </c>
      <c r="E218" s="4" t="s">
        <v>12</v>
      </c>
      <c r="F218" s="4">
        <v>10</v>
      </c>
      <c r="G218" s="4" t="s">
        <v>2</v>
      </c>
      <c r="H218" s="4" t="s">
        <v>33</v>
      </c>
      <c r="I218" s="4" t="s">
        <v>4</v>
      </c>
      <c r="J218" s="4" t="s">
        <v>5</v>
      </c>
      <c r="K218" s="4" t="s">
        <v>6</v>
      </c>
      <c r="L218" s="4">
        <v>0</v>
      </c>
      <c r="M218" s="4">
        <v>1617</v>
      </c>
      <c r="N218" s="4">
        <v>25</v>
      </c>
      <c r="O218" s="4" t="s">
        <v>7</v>
      </c>
      <c r="P218" s="4" t="s">
        <v>8</v>
      </c>
      <c r="Q218" s="4">
        <f>IF(Tabela2[[#This Row],[sex]]="Female",Tabela2[[#This Row],[hours-per-week]],NA())</f>
        <v>25</v>
      </c>
      <c r="R218" s="4" t="e">
        <f>IF(Tabela2[[#This Row],[sex]]="Male",Tabela2[[#This Row],[hours-per-week]],NA())</f>
        <v>#N/A</v>
      </c>
    </row>
    <row r="219" spans="1:18">
      <c r="A219" s="3" t="s">
        <v>310</v>
      </c>
      <c r="B219" s="4">
        <v>57</v>
      </c>
      <c r="C219" s="4" t="s">
        <v>41</v>
      </c>
      <c r="D219" s="4">
        <v>199114</v>
      </c>
      <c r="E219" s="4" t="s">
        <v>26</v>
      </c>
      <c r="F219" s="4">
        <v>13</v>
      </c>
      <c r="G219" s="4" t="s">
        <v>2</v>
      </c>
      <c r="H219" s="4" t="s">
        <v>33</v>
      </c>
      <c r="I219" s="4" t="s">
        <v>11</v>
      </c>
      <c r="J219" s="4" t="s">
        <v>5</v>
      </c>
      <c r="K219" s="4" t="s">
        <v>18</v>
      </c>
      <c r="L219" s="4">
        <v>0</v>
      </c>
      <c r="M219" s="4">
        <v>2258</v>
      </c>
      <c r="N219" s="4">
        <v>40</v>
      </c>
      <c r="O219" s="4" t="s">
        <v>7</v>
      </c>
      <c r="P219" s="4" t="s">
        <v>8</v>
      </c>
      <c r="Q219" s="4" t="e">
        <f>IF(Tabela2[[#This Row],[sex]]="Female",Tabela2[[#This Row],[hours-per-week]],NA())</f>
        <v>#N/A</v>
      </c>
      <c r="R219" s="4">
        <f>IF(Tabela2[[#This Row],[sex]]="Male",Tabela2[[#This Row],[hours-per-week]],NA())</f>
        <v>40</v>
      </c>
    </row>
    <row r="220" spans="1:18">
      <c r="A220" s="3" t="s">
        <v>311</v>
      </c>
      <c r="B220" s="4">
        <v>47</v>
      </c>
      <c r="C220" s="4" t="s">
        <v>0</v>
      </c>
      <c r="D220" s="4">
        <v>216999</v>
      </c>
      <c r="E220" s="4" t="s">
        <v>28</v>
      </c>
      <c r="F220" s="4">
        <v>9</v>
      </c>
      <c r="G220" s="4" t="s">
        <v>29</v>
      </c>
      <c r="H220" s="4" t="s">
        <v>10</v>
      </c>
      <c r="I220" s="4" t="s">
        <v>32</v>
      </c>
      <c r="J220" s="4" t="s">
        <v>5</v>
      </c>
      <c r="K220" s="4" t="s">
        <v>18</v>
      </c>
      <c r="L220" s="4">
        <v>0</v>
      </c>
      <c r="M220" s="4">
        <v>0</v>
      </c>
      <c r="N220" s="4">
        <v>45</v>
      </c>
      <c r="O220" s="4" t="s">
        <v>7</v>
      </c>
      <c r="P220" s="4" t="s">
        <v>8</v>
      </c>
      <c r="Q220" s="4" t="e">
        <f>IF(Tabela2[[#This Row],[sex]]="Female",Tabela2[[#This Row],[hours-per-week]],NA())</f>
        <v>#N/A</v>
      </c>
      <c r="R220" s="4">
        <f>IF(Tabela2[[#This Row],[sex]]="Male",Tabela2[[#This Row],[hours-per-week]],NA())</f>
        <v>45</v>
      </c>
    </row>
    <row r="221" spans="1:18">
      <c r="A221" s="3" t="s">
        <v>312</v>
      </c>
      <c r="B221" s="4">
        <v>55</v>
      </c>
      <c r="C221" s="4" t="s">
        <v>0</v>
      </c>
      <c r="D221" s="4">
        <v>208311</v>
      </c>
      <c r="E221" s="4" t="s">
        <v>39</v>
      </c>
      <c r="F221" s="4">
        <v>14</v>
      </c>
      <c r="G221" s="4" t="s">
        <v>29</v>
      </c>
      <c r="H221" s="4" t="s">
        <v>30</v>
      </c>
      <c r="I221" s="4" t="s">
        <v>32</v>
      </c>
      <c r="J221" s="4" t="s">
        <v>5</v>
      </c>
      <c r="K221" s="4" t="s">
        <v>18</v>
      </c>
      <c r="L221" s="4">
        <v>0</v>
      </c>
      <c r="M221" s="4">
        <v>1977</v>
      </c>
      <c r="N221" s="4">
        <v>20</v>
      </c>
      <c r="O221" s="4" t="s">
        <v>7</v>
      </c>
      <c r="P221" s="4" t="s">
        <v>19</v>
      </c>
      <c r="Q221" s="4" t="e">
        <f>IF(Tabela2[[#This Row],[sex]]="Female",Tabela2[[#This Row],[hours-per-week]],NA())</f>
        <v>#N/A</v>
      </c>
      <c r="R221" s="4">
        <f>IF(Tabela2[[#This Row],[sex]]="Male",Tabela2[[#This Row],[hours-per-week]],NA())</f>
        <v>20</v>
      </c>
    </row>
    <row r="222" spans="1:18">
      <c r="A222" s="3" t="s">
        <v>313</v>
      </c>
      <c r="B222" s="4">
        <v>26</v>
      </c>
      <c r="C222" s="4" t="s">
        <v>0</v>
      </c>
      <c r="D222" s="4">
        <v>227489</v>
      </c>
      <c r="E222" s="4" t="s">
        <v>28</v>
      </c>
      <c r="F222" s="4">
        <v>9</v>
      </c>
      <c r="G222" s="4" t="s">
        <v>2</v>
      </c>
      <c r="H222" s="4" t="s">
        <v>30</v>
      </c>
      <c r="I222" s="4" t="s">
        <v>45</v>
      </c>
      <c r="J222" s="4" t="s">
        <v>23</v>
      </c>
      <c r="K222" s="4" t="s">
        <v>18</v>
      </c>
      <c r="L222" s="4">
        <v>0</v>
      </c>
      <c r="M222" s="4">
        <v>0</v>
      </c>
      <c r="N222" s="4">
        <v>40</v>
      </c>
      <c r="O222" s="4" t="s">
        <v>37</v>
      </c>
      <c r="P222" s="4" t="s">
        <v>8</v>
      </c>
      <c r="Q222" s="4" t="e">
        <f>IF(Tabela2[[#This Row],[sex]]="Female",Tabela2[[#This Row],[hours-per-week]],NA())</f>
        <v>#N/A</v>
      </c>
      <c r="R222" s="4">
        <f>IF(Tabela2[[#This Row],[sex]]="Male",Tabela2[[#This Row],[hours-per-week]],NA())</f>
        <v>40</v>
      </c>
    </row>
    <row r="223" spans="1:18">
      <c r="A223" s="3" t="s">
        <v>314</v>
      </c>
      <c r="B223" s="4">
        <v>47</v>
      </c>
      <c r="C223" s="4" t="s">
        <v>0</v>
      </c>
      <c r="D223" s="4">
        <v>152073</v>
      </c>
      <c r="E223" s="4" t="s">
        <v>28</v>
      </c>
      <c r="F223" s="4">
        <v>9</v>
      </c>
      <c r="G223" s="4" t="s">
        <v>15</v>
      </c>
      <c r="H223" s="4" t="s">
        <v>22</v>
      </c>
      <c r="I223" s="4" t="s">
        <v>35</v>
      </c>
      <c r="J223" s="4" t="s">
        <v>5</v>
      </c>
      <c r="K223" s="4" t="s">
        <v>6</v>
      </c>
      <c r="L223" s="4">
        <v>0</v>
      </c>
      <c r="M223" s="4">
        <v>0</v>
      </c>
      <c r="N223" s="4">
        <v>40</v>
      </c>
      <c r="O223" s="4" t="s">
        <v>7</v>
      </c>
      <c r="P223" s="4" t="s">
        <v>8</v>
      </c>
      <c r="Q223" s="4">
        <f>IF(Tabela2[[#This Row],[sex]]="Female",Tabela2[[#This Row],[hours-per-week]],NA())</f>
        <v>40</v>
      </c>
      <c r="R223" s="4" t="e">
        <f>IF(Tabela2[[#This Row],[sex]]="Male",Tabela2[[#This Row],[hours-per-week]],NA())</f>
        <v>#N/A</v>
      </c>
    </row>
    <row r="224" spans="1:18">
      <c r="A224" s="3" t="s">
        <v>315</v>
      </c>
      <c r="B224" s="4">
        <v>24</v>
      </c>
      <c r="C224" s="4" t="s">
        <v>0</v>
      </c>
      <c r="D224" s="4">
        <v>441700</v>
      </c>
      <c r="E224" s="4" t="s">
        <v>26</v>
      </c>
      <c r="F224" s="4">
        <v>13</v>
      </c>
      <c r="G224" s="4" t="s">
        <v>2</v>
      </c>
      <c r="H224" s="4" t="s">
        <v>30</v>
      </c>
      <c r="I224" s="4" t="s">
        <v>4</v>
      </c>
      <c r="J224" s="4" t="s">
        <v>5</v>
      </c>
      <c r="K224" s="4" t="s">
        <v>18</v>
      </c>
      <c r="L224" s="4">
        <v>0</v>
      </c>
      <c r="M224" s="4">
        <v>0</v>
      </c>
      <c r="N224" s="4">
        <v>40</v>
      </c>
      <c r="O224" s="4" t="s">
        <v>7</v>
      </c>
      <c r="P224" s="4" t="s">
        <v>8</v>
      </c>
      <c r="Q224" s="4" t="e">
        <f>IF(Tabela2[[#This Row],[sex]]="Female",Tabela2[[#This Row],[hours-per-week]],NA())</f>
        <v>#N/A</v>
      </c>
      <c r="R224" s="4">
        <f>IF(Tabela2[[#This Row],[sex]]="Male",Tabela2[[#This Row],[hours-per-week]],NA())</f>
        <v>40</v>
      </c>
    </row>
    <row r="225" spans="1:18">
      <c r="A225" s="3" t="s">
        <v>316</v>
      </c>
      <c r="B225" s="4">
        <v>28</v>
      </c>
      <c r="C225" s="4" t="s">
        <v>37</v>
      </c>
      <c r="D225" s="4">
        <v>147471</v>
      </c>
      <c r="E225" s="4" t="s">
        <v>28</v>
      </c>
      <c r="F225" s="4">
        <v>9</v>
      </c>
      <c r="G225" s="4" t="s">
        <v>15</v>
      </c>
      <c r="H225" s="4" t="s">
        <v>37</v>
      </c>
      <c r="I225" s="4" t="s">
        <v>4</v>
      </c>
      <c r="J225" s="4" t="s">
        <v>5</v>
      </c>
      <c r="K225" s="4" t="s">
        <v>6</v>
      </c>
      <c r="L225" s="4">
        <v>0</v>
      </c>
      <c r="M225" s="4">
        <v>0</v>
      </c>
      <c r="N225" s="4">
        <v>10</v>
      </c>
      <c r="O225" s="4" t="s">
        <v>7</v>
      </c>
      <c r="P225" s="4" t="s">
        <v>8</v>
      </c>
      <c r="Q225" s="4">
        <f>IF(Tabela2[[#This Row],[sex]]="Female",Tabela2[[#This Row],[hours-per-week]],NA())</f>
        <v>10</v>
      </c>
      <c r="R225" s="4" t="e">
        <f>IF(Tabela2[[#This Row],[sex]]="Male",Tabela2[[#This Row],[hours-per-week]],NA())</f>
        <v>#N/A</v>
      </c>
    </row>
    <row r="226" spans="1:18">
      <c r="A226" s="3" t="s">
        <v>317</v>
      </c>
      <c r="B226" s="4">
        <v>23</v>
      </c>
      <c r="C226" s="4" t="s">
        <v>0</v>
      </c>
      <c r="D226" s="4">
        <v>289982</v>
      </c>
      <c r="E226" s="4" t="s">
        <v>28</v>
      </c>
      <c r="F226" s="4">
        <v>9</v>
      </c>
      <c r="G226" s="4" t="s">
        <v>2</v>
      </c>
      <c r="H226" s="4" t="s">
        <v>10</v>
      </c>
      <c r="I226" s="4" t="s">
        <v>11</v>
      </c>
      <c r="J226" s="4" t="s">
        <v>5</v>
      </c>
      <c r="K226" s="4" t="s">
        <v>6</v>
      </c>
      <c r="L226" s="4">
        <v>0</v>
      </c>
      <c r="M226" s="4">
        <v>0</v>
      </c>
      <c r="N226" s="4">
        <v>40</v>
      </c>
      <c r="O226" s="4" t="s">
        <v>7</v>
      </c>
      <c r="P226" s="4" t="s">
        <v>8</v>
      </c>
      <c r="Q226" s="4">
        <f>IF(Tabela2[[#This Row],[sex]]="Female",Tabela2[[#This Row],[hours-per-week]],NA())</f>
        <v>40</v>
      </c>
      <c r="R226" s="4" t="e">
        <f>IF(Tabela2[[#This Row],[sex]]="Male",Tabela2[[#This Row],[hours-per-week]],NA())</f>
        <v>#N/A</v>
      </c>
    </row>
    <row r="227" spans="1:18">
      <c r="A227" s="3" t="s">
        <v>318</v>
      </c>
      <c r="B227" s="4">
        <v>40</v>
      </c>
      <c r="C227" s="4" t="s">
        <v>0</v>
      </c>
      <c r="D227" s="4">
        <v>191544</v>
      </c>
      <c r="E227" s="4" t="s">
        <v>28</v>
      </c>
      <c r="F227" s="4">
        <v>9</v>
      </c>
      <c r="G227" s="4" t="s">
        <v>2</v>
      </c>
      <c r="H227" s="4" t="s">
        <v>3</v>
      </c>
      <c r="I227" s="4" t="s">
        <v>11</v>
      </c>
      <c r="J227" s="4" t="s">
        <v>5</v>
      </c>
      <c r="K227" s="4" t="s">
        <v>6</v>
      </c>
      <c r="L227" s="4">
        <v>0</v>
      </c>
      <c r="M227" s="4">
        <v>0</v>
      </c>
      <c r="N227" s="4">
        <v>35</v>
      </c>
      <c r="O227" s="4" t="s">
        <v>7</v>
      </c>
      <c r="P227" s="4" t="s">
        <v>8</v>
      </c>
      <c r="Q227" s="4">
        <f>IF(Tabela2[[#This Row],[sex]]="Female",Tabela2[[#This Row],[hours-per-week]],NA())</f>
        <v>35</v>
      </c>
      <c r="R227" s="4" t="e">
        <f>IF(Tabela2[[#This Row],[sex]]="Male",Tabela2[[#This Row],[hours-per-week]],NA())</f>
        <v>#N/A</v>
      </c>
    </row>
    <row r="228" spans="1:18">
      <c r="A228" s="3" t="s">
        <v>319</v>
      </c>
      <c r="B228" s="4">
        <v>60</v>
      </c>
      <c r="C228" s="4" t="s">
        <v>41</v>
      </c>
      <c r="D228" s="4">
        <v>165630</v>
      </c>
      <c r="E228" s="4" t="s">
        <v>28</v>
      </c>
      <c r="F228" s="4">
        <v>9</v>
      </c>
      <c r="G228" s="4" t="s">
        <v>29</v>
      </c>
      <c r="H228" s="4" t="s">
        <v>30</v>
      </c>
      <c r="I228" s="4" t="s">
        <v>32</v>
      </c>
      <c r="J228" s="4" t="s">
        <v>5</v>
      </c>
      <c r="K228" s="4" t="s">
        <v>18</v>
      </c>
      <c r="L228" s="4">
        <v>0</v>
      </c>
      <c r="M228" s="4">
        <v>1977</v>
      </c>
      <c r="N228" s="4">
        <v>40</v>
      </c>
      <c r="O228" s="4" t="s">
        <v>7</v>
      </c>
      <c r="P228" s="4" t="s">
        <v>19</v>
      </c>
      <c r="Q228" s="4" t="e">
        <f>IF(Tabela2[[#This Row],[sex]]="Female",Tabela2[[#This Row],[hours-per-week]],NA())</f>
        <v>#N/A</v>
      </c>
      <c r="R228" s="4">
        <f>IF(Tabela2[[#This Row],[sex]]="Male",Tabela2[[#This Row],[hours-per-week]],NA())</f>
        <v>40</v>
      </c>
    </row>
    <row r="229" spans="1:18">
      <c r="A229" s="3" t="s">
        <v>320</v>
      </c>
      <c r="B229" s="4">
        <v>28</v>
      </c>
      <c r="C229" s="4" t="s">
        <v>0</v>
      </c>
      <c r="D229" s="4">
        <v>263614</v>
      </c>
      <c r="E229" s="4" t="s">
        <v>26</v>
      </c>
      <c r="F229" s="4">
        <v>13</v>
      </c>
      <c r="G229" s="4" t="s">
        <v>29</v>
      </c>
      <c r="H229" s="4" t="s">
        <v>46</v>
      </c>
      <c r="I229" s="4" t="s">
        <v>32</v>
      </c>
      <c r="J229" s="4" t="s">
        <v>5</v>
      </c>
      <c r="K229" s="4" t="s">
        <v>18</v>
      </c>
      <c r="L229" s="4">
        <v>0</v>
      </c>
      <c r="M229" s="4">
        <v>0</v>
      </c>
      <c r="N229" s="4">
        <v>40</v>
      </c>
      <c r="O229" s="4" t="s">
        <v>7</v>
      </c>
      <c r="P229" s="4" t="s">
        <v>19</v>
      </c>
      <c r="Q229" s="4" t="e">
        <f>IF(Tabela2[[#This Row],[sex]]="Female",Tabela2[[#This Row],[hours-per-week]],NA())</f>
        <v>#N/A</v>
      </c>
      <c r="R229" s="4">
        <f>IF(Tabela2[[#This Row],[sex]]="Male",Tabela2[[#This Row],[hours-per-week]],NA())</f>
        <v>40</v>
      </c>
    </row>
    <row r="230" spans="1:18">
      <c r="A230" s="3" t="s">
        <v>321</v>
      </c>
      <c r="B230" s="4">
        <v>43</v>
      </c>
      <c r="C230" s="4" t="s">
        <v>0</v>
      </c>
      <c r="D230" s="4">
        <v>184099</v>
      </c>
      <c r="E230" s="4" t="s">
        <v>9</v>
      </c>
      <c r="F230" s="4">
        <v>12</v>
      </c>
      <c r="G230" s="4" t="s">
        <v>29</v>
      </c>
      <c r="H230" s="4" t="s">
        <v>38</v>
      </c>
      <c r="I230" s="4" t="s">
        <v>32</v>
      </c>
      <c r="J230" s="4" t="s">
        <v>5</v>
      </c>
      <c r="K230" s="4" t="s">
        <v>18</v>
      </c>
      <c r="L230" s="4">
        <v>0</v>
      </c>
      <c r="M230" s="4">
        <v>0</v>
      </c>
      <c r="N230" s="4">
        <v>40</v>
      </c>
      <c r="O230" s="4" t="s">
        <v>7</v>
      </c>
      <c r="P230" s="4" t="s">
        <v>8</v>
      </c>
      <c r="Q230" s="4" t="e">
        <f>IF(Tabela2[[#This Row],[sex]]="Female",Tabela2[[#This Row],[hours-per-week]],NA())</f>
        <v>#N/A</v>
      </c>
      <c r="R230" s="4">
        <f>IF(Tabela2[[#This Row],[sex]]="Male",Tabela2[[#This Row],[hours-per-week]],NA())</f>
        <v>40</v>
      </c>
    </row>
    <row r="231" spans="1:18">
      <c r="A231" s="3" t="s">
        <v>322</v>
      </c>
      <c r="B231" s="4">
        <v>42</v>
      </c>
      <c r="C231" s="4" t="s">
        <v>0</v>
      </c>
      <c r="D231" s="4">
        <v>135056</v>
      </c>
      <c r="E231" s="4" t="s">
        <v>12</v>
      </c>
      <c r="F231" s="4">
        <v>10</v>
      </c>
      <c r="G231" s="4" t="s">
        <v>29</v>
      </c>
      <c r="H231" s="4" t="s">
        <v>33</v>
      </c>
      <c r="I231" s="4" t="s">
        <v>31</v>
      </c>
      <c r="J231" s="4" t="s">
        <v>5</v>
      </c>
      <c r="K231" s="4" t="s">
        <v>6</v>
      </c>
      <c r="L231" s="4">
        <v>0</v>
      </c>
      <c r="M231" s="4">
        <v>0</v>
      </c>
      <c r="N231" s="4">
        <v>40</v>
      </c>
      <c r="O231" s="4" t="s">
        <v>7</v>
      </c>
      <c r="P231" s="4" t="s">
        <v>8</v>
      </c>
      <c r="Q231" s="4">
        <f>IF(Tabela2[[#This Row],[sex]]="Female",Tabela2[[#This Row],[hours-per-week]],NA())</f>
        <v>40</v>
      </c>
      <c r="R231" s="4" t="e">
        <f>IF(Tabela2[[#This Row],[sex]]="Male",Tabela2[[#This Row],[hours-per-week]],NA())</f>
        <v>#N/A</v>
      </c>
    </row>
    <row r="232" spans="1:18">
      <c r="A232" s="3" t="s">
        <v>323</v>
      </c>
      <c r="B232" s="4">
        <v>67</v>
      </c>
      <c r="C232" s="4" t="s">
        <v>0</v>
      </c>
      <c r="D232" s="4">
        <v>174603</v>
      </c>
      <c r="E232" s="4" t="s">
        <v>28</v>
      </c>
      <c r="F232" s="4">
        <v>9</v>
      </c>
      <c r="G232" s="4" t="s">
        <v>2</v>
      </c>
      <c r="H232" s="4" t="s">
        <v>46</v>
      </c>
      <c r="I232" s="4" t="s">
        <v>11</v>
      </c>
      <c r="J232" s="4" t="s">
        <v>5</v>
      </c>
      <c r="K232" s="4" t="s">
        <v>6</v>
      </c>
      <c r="L232" s="4">
        <v>0</v>
      </c>
      <c r="M232" s="4">
        <v>0</v>
      </c>
      <c r="N232" s="4">
        <v>35</v>
      </c>
      <c r="O232" s="4" t="s">
        <v>7</v>
      </c>
      <c r="P232" s="4" t="s">
        <v>8</v>
      </c>
      <c r="Q232" s="4">
        <f>IF(Tabela2[[#This Row],[sex]]="Female",Tabela2[[#This Row],[hours-per-week]],NA())</f>
        <v>35</v>
      </c>
      <c r="R232" s="4" t="e">
        <f>IF(Tabela2[[#This Row],[sex]]="Male",Tabela2[[#This Row],[hours-per-week]],NA())</f>
        <v>#N/A</v>
      </c>
    </row>
    <row r="233" spans="1:18">
      <c r="A233" s="3" t="s">
        <v>324</v>
      </c>
      <c r="B233" s="4">
        <v>25</v>
      </c>
      <c r="C233" s="4" t="s">
        <v>0</v>
      </c>
      <c r="D233" s="4">
        <v>247006</v>
      </c>
      <c r="E233" s="4" t="s">
        <v>9</v>
      </c>
      <c r="F233" s="4">
        <v>12</v>
      </c>
      <c r="G233" s="4" t="s">
        <v>29</v>
      </c>
      <c r="H233" s="4" t="s">
        <v>46</v>
      </c>
      <c r="I233" s="4" t="s">
        <v>32</v>
      </c>
      <c r="J233" s="4" t="s">
        <v>5</v>
      </c>
      <c r="K233" s="4" t="s">
        <v>18</v>
      </c>
      <c r="L233" s="4">
        <v>0</v>
      </c>
      <c r="M233" s="4">
        <v>0</v>
      </c>
      <c r="N233" s="4">
        <v>45</v>
      </c>
      <c r="O233" s="4" t="s">
        <v>7</v>
      </c>
      <c r="P233" s="4" t="s">
        <v>8</v>
      </c>
      <c r="Q233" s="4" t="e">
        <f>IF(Tabela2[[#This Row],[sex]]="Female",Tabela2[[#This Row],[hours-per-week]],NA())</f>
        <v>#N/A</v>
      </c>
      <c r="R233" s="4">
        <f>IF(Tabela2[[#This Row],[sex]]="Male",Tabela2[[#This Row],[hours-per-week]],NA())</f>
        <v>45</v>
      </c>
    </row>
    <row r="234" spans="1:18">
      <c r="A234" s="3" t="s">
        <v>325</v>
      </c>
      <c r="B234" s="4">
        <v>30</v>
      </c>
      <c r="C234" s="4" t="s">
        <v>0</v>
      </c>
      <c r="D234" s="4">
        <v>148524</v>
      </c>
      <c r="E234" s="4" t="s">
        <v>28</v>
      </c>
      <c r="F234" s="4">
        <v>9</v>
      </c>
      <c r="G234" s="4" t="s">
        <v>29</v>
      </c>
      <c r="H234" s="4" t="s">
        <v>38</v>
      </c>
      <c r="I234" s="4" t="s">
        <v>32</v>
      </c>
      <c r="J234" s="4" t="s">
        <v>5</v>
      </c>
      <c r="K234" s="4" t="s">
        <v>18</v>
      </c>
      <c r="L234" s="4">
        <v>0</v>
      </c>
      <c r="M234" s="4">
        <v>2057</v>
      </c>
      <c r="N234" s="4">
        <v>40</v>
      </c>
      <c r="O234" s="4" t="s">
        <v>7</v>
      </c>
      <c r="P234" s="4" t="s">
        <v>8</v>
      </c>
      <c r="Q234" s="4" t="e">
        <f>IF(Tabela2[[#This Row],[sex]]="Female",Tabela2[[#This Row],[hours-per-week]],NA())</f>
        <v>#N/A</v>
      </c>
      <c r="R234" s="4">
        <f>IF(Tabela2[[#This Row],[sex]]="Male",Tabela2[[#This Row],[hours-per-week]],NA())</f>
        <v>40</v>
      </c>
    </row>
    <row r="235" spans="1:18">
      <c r="A235" s="3" t="s">
        <v>326</v>
      </c>
      <c r="B235" s="4">
        <v>37</v>
      </c>
      <c r="C235" s="4" t="s">
        <v>20</v>
      </c>
      <c r="D235" s="4">
        <v>102936</v>
      </c>
      <c r="E235" s="4" t="s">
        <v>26</v>
      </c>
      <c r="F235" s="4">
        <v>13</v>
      </c>
      <c r="G235" s="4" t="s">
        <v>15</v>
      </c>
      <c r="H235" s="4" t="s">
        <v>27</v>
      </c>
      <c r="I235" s="4" t="s">
        <v>35</v>
      </c>
      <c r="J235" s="4" t="s">
        <v>5</v>
      </c>
      <c r="K235" s="4" t="s">
        <v>6</v>
      </c>
      <c r="L235" s="4">
        <v>0</v>
      </c>
      <c r="M235" s="4">
        <v>0</v>
      </c>
      <c r="N235" s="4">
        <v>55</v>
      </c>
      <c r="O235" s="4" t="s">
        <v>7</v>
      </c>
      <c r="P235" s="4" t="s">
        <v>8</v>
      </c>
      <c r="Q235" s="4">
        <f>IF(Tabela2[[#This Row],[sex]]="Female",Tabela2[[#This Row],[hours-per-week]],NA())</f>
        <v>55</v>
      </c>
      <c r="R235" s="4" t="e">
        <f>IF(Tabela2[[#This Row],[sex]]="Male",Tabela2[[#This Row],[hours-per-week]],NA())</f>
        <v>#N/A</v>
      </c>
    </row>
    <row r="236" spans="1:18">
      <c r="A236" s="3" t="s">
        <v>327</v>
      </c>
      <c r="B236" s="4">
        <v>62</v>
      </c>
      <c r="C236" s="4" t="s">
        <v>0</v>
      </c>
      <c r="D236" s="4">
        <v>208711</v>
      </c>
      <c r="E236" s="4" t="s">
        <v>26</v>
      </c>
      <c r="F236" s="4">
        <v>13</v>
      </c>
      <c r="G236" s="4" t="s">
        <v>29</v>
      </c>
      <c r="H236" s="4" t="s">
        <v>16</v>
      </c>
      <c r="I236" s="4" t="s">
        <v>32</v>
      </c>
      <c r="J236" s="4" t="s">
        <v>5</v>
      </c>
      <c r="K236" s="4" t="s">
        <v>18</v>
      </c>
      <c r="L236" s="4">
        <v>7688</v>
      </c>
      <c r="M236" s="4">
        <v>0</v>
      </c>
      <c r="N236" s="4">
        <v>50</v>
      </c>
      <c r="O236" s="4" t="s">
        <v>7</v>
      </c>
      <c r="P236" s="4" t="s">
        <v>19</v>
      </c>
      <c r="Q236" s="4" t="e">
        <f>IF(Tabela2[[#This Row],[sex]]="Female",Tabela2[[#This Row],[hours-per-week]],NA())</f>
        <v>#N/A</v>
      </c>
      <c r="R236" s="4">
        <f>IF(Tabela2[[#This Row],[sex]]="Male",Tabela2[[#This Row],[hours-per-week]],NA())</f>
        <v>50</v>
      </c>
    </row>
    <row r="237" spans="1:18">
      <c r="A237" s="3" t="s">
        <v>328</v>
      </c>
      <c r="B237" s="4">
        <v>41</v>
      </c>
      <c r="C237" s="4" t="s">
        <v>37</v>
      </c>
      <c r="D237" s="4">
        <v>27187</v>
      </c>
      <c r="E237" s="4" t="s">
        <v>44</v>
      </c>
      <c r="F237" s="4">
        <v>11</v>
      </c>
      <c r="G237" s="4" t="s">
        <v>29</v>
      </c>
      <c r="H237" s="4" t="s">
        <v>37</v>
      </c>
      <c r="I237" s="4" t="s">
        <v>32</v>
      </c>
      <c r="J237" s="4" t="s">
        <v>5</v>
      </c>
      <c r="K237" s="4" t="s">
        <v>18</v>
      </c>
      <c r="L237" s="4">
        <v>0</v>
      </c>
      <c r="M237" s="4">
        <v>2415</v>
      </c>
      <c r="N237" s="4">
        <v>12</v>
      </c>
      <c r="O237" s="4" t="s">
        <v>7</v>
      </c>
      <c r="P237" s="4" t="s">
        <v>19</v>
      </c>
      <c r="Q237" s="4" t="e">
        <f>IF(Tabela2[[#This Row],[sex]]="Female",Tabela2[[#This Row],[hours-per-week]],NA())</f>
        <v>#N/A</v>
      </c>
      <c r="R237" s="4">
        <f>IF(Tabela2[[#This Row],[sex]]="Male",Tabela2[[#This Row],[hours-per-week]],NA())</f>
        <v>12</v>
      </c>
    </row>
    <row r="238" spans="1:18">
      <c r="A238" s="3" t="s">
        <v>329</v>
      </c>
      <c r="B238" s="4">
        <v>40</v>
      </c>
      <c r="C238" s="4" t="s">
        <v>0</v>
      </c>
      <c r="D238" s="4">
        <v>119101</v>
      </c>
      <c r="E238" s="4" t="s">
        <v>12</v>
      </c>
      <c r="F238" s="4">
        <v>10</v>
      </c>
      <c r="G238" s="4" t="s">
        <v>29</v>
      </c>
      <c r="H238" s="4" t="s">
        <v>16</v>
      </c>
      <c r="I238" s="4" t="s">
        <v>32</v>
      </c>
      <c r="J238" s="4" t="s">
        <v>5</v>
      </c>
      <c r="K238" s="4" t="s">
        <v>18</v>
      </c>
      <c r="L238" s="4">
        <v>5178</v>
      </c>
      <c r="M238" s="4">
        <v>0</v>
      </c>
      <c r="N238" s="4">
        <v>40</v>
      </c>
      <c r="O238" s="4" t="s">
        <v>7</v>
      </c>
      <c r="P238" s="4" t="s">
        <v>19</v>
      </c>
      <c r="Q238" s="4" t="e">
        <f>IF(Tabela2[[#This Row],[sex]]="Female",Tabela2[[#This Row],[hours-per-week]],NA())</f>
        <v>#N/A</v>
      </c>
      <c r="R238" s="4">
        <f>IF(Tabela2[[#This Row],[sex]]="Male",Tabela2[[#This Row],[hours-per-week]],NA())</f>
        <v>40</v>
      </c>
    </row>
    <row r="239" spans="1:18">
      <c r="A239" s="3" t="s">
        <v>330</v>
      </c>
      <c r="B239" s="4">
        <v>58</v>
      </c>
      <c r="C239" s="4" t="s">
        <v>37</v>
      </c>
      <c r="D239" s="4">
        <v>347692</v>
      </c>
      <c r="E239" s="4" t="s">
        <v>1</v>
      </c>
      <c r="F239" s="4">
        <v>7</v>
      </c>
      <c r="G239" s="4" t="s">
        <v>15</v>
      </c>
      <c r="H239" s="4" t="s">
        <v>37</v>
      </c>
      <c r="I239" s="4" t="s">
        <v>11</v>
      </c>
      <c r="J239" s="4" t="s">
        <v>23</v>
      </c>
      <c r="K239" s="4" t="s">
        <v>18</v>
      </c>
      <c r="L239" s="4">
        <v>0</v>
      </c>
      <c r="M239" s="4">
        <v>0</v>
      </c>
      <c r="N239" s="4">
        <v>15</v>
      </c>
      <c r="O239" s="4" t="s">
        <v>7</v>
      </c>
      <c r="P239" s="4" t="s">
        <v>8</v>
      </c>
      <c r="Q239" s="4" t="e">
        <f>IF(Tabela2[[#This Row],[sex]]="Female",Tabela2[[#This Row],[hours-per-week]],NA())</f>
        <v>#N/A</v>
      </c>
      <c r="R239" s="4">
        <f>IF(Tabela2[[#This Row],[sex]]="Male",Tabela2[[#This Row],[hours-per-week]],NA())</f>
        <v>15</v>
      </c>
    </row>
    <row r="240" spans="1:18">
      <c r="A240" s="3" t="s">
        <v>331</v>
      </c>
      <c r="B240" s="4">
        <v>35</v>
      </c>
      <c r="C240" s="4" t="s">
        <v>0</v>
      </c>
      <c r="D240" s="4">
        <v>31023</v>
      </c>
      <c r="E240" s="4" t="s">
        <v>26</v>
      </c>
      <c r="F240" s="4">
        <v>13</v>
      </c>
      <c r="G240" s="4" t="s">
        <v>29</v>
      </c>
      <c r="H240" s="4" t="s">
        <v>10</v>
      </c>
      <c r="I240" s="4" t="s">
        <v>32</v>
      </c>
      <c r="J240" s="4" t="s">
        <v>5</v>
      </c>
      <c r="K240" s="4" t="s">
        <v>18</v>
      </c>
      <c r="L240" s="4">
        <v>0</v>
      </c>
      <c r="M240" s="4">
        <v>0</v>
      </c>
      <c r="N240" s="4">
        <v>45</v>
      </c>
      <c r="O240" s="4" t="s">
        <v>7</v>
      </c>
      <c r="P240" s="4" t="s">
        <v>8</v>
      </c>
      <c r="Q240" s="4" t="e">
        <f>IF(Tabela2[[#This Row],[sex]]="Female",Tabela2[[#This Row],[hours-per-week]],NA())</f>
        <v>#N/A</v>
      </c>
      <c r="R240" s="4">
        <f>IF(Tabela2[[#This Row],[sex]]="Male",Tabela2[[#This Row],[hours-per-week]],NA())</f>
        <v>45</v>
      </c>
    </row>
    <row r="241" spans="1:18">
      <c r="A241" s="3" t="s">
        <v>332</v>
      </c>
      <c r="B241" s="4">
        <v>49</v>
      </c>
      <c r="C241" s="4" t="s">
        <v>0</v>
      </c>
      <c r="D241" s="4">
        <v>30219</v>
      </c>
      <c r="E241" s="4" t="s">
        <v>28</v>
      </c>
      <c r="F241" s="4">
        <v>9</v>
      </c>
      <c r="G241" s="4" t="s">
        <v>15</v>
      </c>
      <c r="H241" s="4" t="s">
        <v>16</v>
      </c>
      <c r="I241" s="4" t="s">
        <v>11</v>
      </c>
      <c r="J241" s="4" t="s">
        <v>5</v>
      </c>
      <c r="K241" s="4" t="s">
        <v>18</v>
      </c>
      <c r="L241" s="4">
        <v>0</v>
      </c>
      <c r="M241" s="4">
        <v>1669</v>
      </c>
      <c r="N241" s="4">
        <v>40</v>
      </c>
      <c r="O241" s="4" t="s">
        <v>7</v>
      </c>
      <c r="P241" s="4" t="s">
        <v>8</v>
      </c>
      <c r="Q241" s="4" t="e">
        <f>IF(Tabela2[[#This Row],[sex]]="Female",Tabela2[[#This Row],[hours-per-week]],NA())</f>
        <v>#N/A</v>
      </c>
      <c r="R241" s="4">
        <f>IF(Tabela2[[#This Row],[sex]]="Male",Tabela2[[#This Row],[hours-per-week]],NA())</f>
        <v>40</v>
      </c>
    </row>
    <row r="242" spans="1:18">
      <c r="A242" s="3" t="s">
        <v>333</v>
      </c>
      <c r="B242" s="4">
        <v>90</v>
      </c>
      <c r="C242" s="4" t="s">
        <v>37</v>
      </c>
      <c r="D242" s="4">
        <v>39824</v>
      </c>
      <c r="E242" s="4" t="s">
        <v>28</v>
      </c>
      <c r="F242" s="4">
        <v>9</v>
      </c>
      <c r="G242" s="4" t="s">
        <v>47</v>
      </c>
      <c r="H242" s="4" t="s">
        <v>37</v>
      </c>
      <c r="I242" s="4" t="s">
        <v>11</v>
      </c>
      <c r="J242" s="4" t="s">
        <v>5</v>
      </c>
      <c r="K242" s="4" t="s">
        <v>18</v>
      </c>
      <c r="L242" s="4">
        <v>401</v>
      </c>
      <c r="M242" s="4">
        <v>0</v>
      </c>
      <c r="N242" s="4">
        <v>4</v>
      </c>
      <c r="O242" s="4" t="s">
        <v>7</v>
      </c>
      <c r="P242" s="4" t="s">
        <v>8</v>
      </c>
      <c r="Q242" s="4" t="e">
        <f>IF(Tabela2[[#This Row],[sex]]="Female",Tabela2[[#This Row],[hours-per-week]],NA())</f>
        <v>#N/A</v>
      </c>
      <c r="R242" s="4">
        <f>IF(Tabela2[[#This Row],[sex]]="Male",Tabela2[[#This Row],[hours-per-week]],NA())</f>
        <v>4</v>
      </c>
    </row>
    <row r="243" spans="1:18">
      <c r="A243" s="3" t="s">
        <v>334</v>
      </c>
      <c r="B243" s="4">
        <v>54</v>
      </c>
      <c r="C243" s="4" t="s">
        <v>0</v>
      </c>
      <c r="D243" s="4">
        <v>326156</v>
      </c>
      <c r="E243" s="4" t="s">
        <v>12</v>
      </c>
      <c r="F243" s="4">
        <v>10</v>
      </c>
      <c r="G243" s="4" t="s">
        <v>29</v>
      </c>
      <c r="H243" s="4" t="s">
        <v>16</v>
      </c>
      <c r="I243" s="4" t="s">
        <v>32</v>
      </c>
      <c r="J243" s="4" t="s">
        <v>5</v>
      </c>
      <c r="K243" s="4" t="s">
        <v>18</v>
      </c>
      <c r="L243" s="4">
        <v>0</v>
      </c>
      <c r="M243" s="4">
        <v>0</v>
      </c>
      <c r="N243" s="4">
        <v>40</v>
      </c>
      <c r="O243" s="4" t="s">
        <v>7</v>
      </c>
      <c r="P243" s="4" t="s">
        <v>19</v>
      </c>
      <c r="Q243" s="4" t="e">
        <f>IF(Tabela2[[#This Row],[sex]]="Female",Tabela2[[#This Row],[hours-per-week]],NA())</f>
        <v>#N/A</v>
      </c>
      <c r="R243" s="4">
        <f>IF(Tabela2[[#This Row],[sex]]="Male",Tabela2[[#This Row],[hours-per-week]],NA())</f>
        <v>40</v>
      </c>
    </row>
    <row r="244" spans="1:18">
      <c r="A244" s="3" t="s">
        <v>335</v>
      </c>
      <c r="B244" s="4">
        <v>18</v>
      </c>
      <c r="C244" s="4" t="s">
        <v>0</v>
      </c>
      <c r="D244" s="4">
        <v>36251</v>
      </c>
      <c r="E244" s="4" t="s">
        <v>43</v>
      </c>
      <c r="F244" s="4">
        <v>6</v>
      </c>
      <c r="G244" s="4" t="s">
        <v>2</v>
      </c>
      <c r="H244" s="4" t="s">
        <v>3</v>
      </c>
      <c r="I244" s="4" t="s">
        <v>4</v>
      </c>
      <c r="J244" s="4" t="s">
        <v>5</v>
      </c>
      <c r="K244" s="4" t="s">
        <v>6</v>
      </c>
      <c r="L244" s="4">
        <v>0</v>
      </c>
      <c r="M244" s="4">
        <v>0</v>
      </c>
      <c r="N244" s="4">
        <v>15</v>
      </c>
      <c r="O244" s="4" t="s">
        <v>7</v>
      </c>
      <c r="P244" s="4" t="s">
        <v>8</v>
      </c>
      <c r="Q244" s="4">
        <f>IF(Tabela2[[#This Row],[sex]]="Female",Tabela2[[#This Row],[hours-per-week]],NA())</f>
        <v>15</v>
      </c>
      <c r="R244" s="4" t="e">
        <f>IF(Tabela2[[#This Row],[sex]]="Male",Tabela2[[#This Row],[hours-per-week]],NA())</f>
        <v>#N/A</v>
      </c>
    </row>
    <row r="245" spans="1:18">
      <c r="A245" s="3" t="s">
        <v>336</v>
      </c>
      <c r="B245" s="4">
        <v>25</v>
      </c>
      <c r="C245" s="4" t="s">
        <v>0</v>
      </c>
      <c r="D245" s="4">
        <v>361307</v>
      </c>
      <c r="E245" s="4" t="s">
        <v>26</v>
      </c>
      <c r="F245" s="4">
        <v>13</v>
      </c>
      <c r="G245" s="4" t="s">
        <v>2</v>
      </c>
      <c r="H245" s="4" t="s">
        <v>10</v>
      </c>
      <c r="I245" s="4" t="s">
        <v>4</v>
      </c>
      <c r="J245" s="4" t="s">
        <v>5</v>
      </c>
      <c r="K245" s="4" t="s">
        <v>6</v>
      </c>
      <c r="L245" s="4">
        <v>0</v>
      </c>
      <c r="M245" s="4">
        <v>0</v>
      </c>
      <c r="N245" s="4">
        <v>40</v>
      </c>
      <c r="O245" s="4" t="s">
        <v>7</v>
      </c>
      <c r="P245" s="4" t="s">
        <v>8</v>
      </c>
      <c r="Q245" s="4">
        <f>IF(Tabela2[[#This Row],[sex]]="Female",Tabela2[[#This Row],[hours-per-week]],NA())</f>
        <v>40</v>
      </c>
      <c r="R245" s="4" t="e">
        <f>IF(Tabela2[[#This Row],[sex]]="Male",Tabela2[[#This Row],[hours-per-week]],NA())</f>
        <v>#N/A</v>
      </c>
    </row>
    <row r="246" spans="1:18">
      <c r="A246" s="3" t="s">
        <v>337</v>
      </c>
      <c r="B246" s="4">
        <v>31</v>
      </c>
      <c r="C246" s="4" t="s">
        <v>0</v>
      </c>
      <c r="D246" s="4">
        <v>142038</v>
      </c>
      <c r="E246" s="4" t="s">
        <v>28</v>
      </c>
      <c r="F246" s="4">
        <v>9</v>
      </c>
      <c r="G246" s="4" t="s">
        <v>29</v>
      </c>
      <c r="H246" s="4" t="s">
        <v>16</v>
      </c>
      <c r="I246" s="4" t="s">
        <v>31</v>
      </c>
      <c r="J246" s="4" t="s">
        <v>5</v>
      </c>
      <c r="K246" s="4" t="s">
        <v>6</v>
      </c>
      <c r="L246" s="4">
        <v>0</v>
      </c>
      <c r="M246" s="4">
        <v>0</v>
      </c>
      <c r="N246" s="4">
        <v>45</v>
      </c>
      <c r="O246" s="4" t="s">
        <v>7</v>
      </c>
      <c r="P246" s="4" t="s">
        <v>8</v>
      </c>
      <c r="Q246" s="4">
        <f>IF(Tabela2[[#This Row],[sex]]="Female",Tabela2[[#This Row],[hours-per-week]],NA())</f>
        <v>45</v>
      </c>
      <c r="R246" s="4" t="e">
        <f>IF(Tabela2[[#This Row],[sex]]="Male",Tabela2[[#This Row],[hours-per-week]],NA())</f>
        <v>#N/A</v>
      </c>
    </row>
    <row r="247" spans="1:18">
      <c r="A247" s="3" t="s">
        <v>338</v>
      </c>
      <c r="B247" s="4">
        <v>22</v>
      </c>
      <c r="C247" s="4" t="s">
        <v>0</v>
      </c>
      <c r="D247" s="4">
        <v>188274</v>
      </c>
      <c r="E247" s="4" t="s">
        <v>28</v>
      </c>
      <c r="F247" s="4">
        <v>9</v>
      </c>
      <c r="G247" s="4" t="s">
        <v>2</v>
      </c>
      <c r="H247" s="4" t="s">
        <v>38</v>
      </c>
      <c r="I247" s="4" t="s">
        <v>4</v>
      </c>
      <c r="J247" s="4" t="s">
        <v>5</v>
      </c>
      <c r="K247" s="4" t="s">
        <v>18</v>
      </c>
      <c r="L247" s="4">
        <v>0</v>
      </c>
      <c r="M247" s="4">
        <v>0</v>
      </c>
      <c r="N247" s="4">
        <v>40</v>
      </c>
      <c r="O247" s="4" t="s">
        <v>7</v>
      </c>
      <c r="P247" s="4" t="s">
        <v>8</v>
      </c>
      <c r="Q247" s="4" t="e">
        <f>IF(Tabela2[[#This Row],[sex]]="Female",Tabela2[[#This Row],[hours-per-week]],NA())</f>
        <v>#N/A</v>
      </c>
      <c r="R247" s="4">
        <f>IF(Tabela2[[#This Row],[sex]]="Male",Tabela2[[#This Row],[hours-per-week]],NA())</f>
        <v>40</v>
      </c>
    </row>
    <row r="248" spans="1:18">
      <c r="A248" s="3" t="s">
        <v>339</v>
      </c>
      <c r="B248" s="4">
        <v>25</v>
      </c>
      <c r="C248" s="4" t="s">
        <v>0</v>
      </c>
      <c r="D248" s="4">
        <v>211497</v>
      </c>
      <c r="E248" s="4" t="s">
        <v>12</v>
      </c>
      <c r="F248" s="4">
        <v>10</v>
      </c>
      <c r="G248" s="4" t="s">
        <v>29</v>
      </c>
      <c r="H248" s="4" t="s">
        <v>46</v>
      </c>
      <c r="I248" s="4" t="s">
        <v>32</v>
      </c>
      <c r="J248" s="4" t="s">
        <v>5</v>
      </c>
      <c r="K248" s="4" t="s">
        <v>18</v>
      </c>
      <c r="L248" s="4">
        <v>0</v>
      </c>
      <c r="M248" s="4">
        <v>0</v>
      </c>
      <c r="N248" s="4">
        <v>40</v>
      </c>
      <c r="O248" s="4" t="s">
        <v>7</v>
      </c>
      <c r="P248" s="4" t="s">
        <v>8</v>
      </c>
      <c r="Q248" s="4" t="e">
        <f>IF(Tabela2[[#This Row],[sex]]="Female",Tabela2[[#This Row],[hours-per-week]],NA())</f>
        <v>#N/A</v>
      </c>
      <c r="R248" s="4">
        <f>IF(Tabela2[[#This Row],[sex]]="Male",Tabela2[[#This Row],[hours-per-week]],NA())</f>
        <v>40</v>
      </c>
    </row>
    <row r="249" spans="1:18">
      <c r="A249" s="3" t="s">
        <v>340</v>
      </c>
      <c r="B249" s="4">
        <v>36</v>
      </c>
      <c r="C249" s="4" t="s">
        <v>0</v>
      </c>
      <c r="D249" s="4">
        <v>592930</v>
      </c>
      <c r="E249" s="4" t="s">
        <v>28</v>
      </c>
      <c r="F249" s="4">
        <v>9</v>
      </c>
      <c r="G249" s="4" t="s">
        <v>29</v>
      </c>
      <c r="H249" s="4" t="s">
        <v>38</v>
      </c>
      <c r="I249" s="4" t="s">
        <v>32</v>
      </c>
      <c r="J249" s="4" t="s">
        <v>23</v>
      </c>
      <c r="K249" s="4" t="s">
        <v>18</v>
      </c>
      <c r="L249" s="4">
        <v>0</v>
      </c>
      <c r="M249" s="4">
        <v>0</v>
      </c>
      <c r="N249" s="4">
        <v>50</v>
      </c>
      <c r="O249" s="4" t="s">
        <v>7</v>
      </c>
      <c r="P249" s="4" t="s">
        <v>19</v>
      </c>
      <c r="Q249" s="4" t="e">
        <f>IF(Tabela2[[#This Row],[sex]]="Female",Tabela2[[#This Row],[hours-per-week]],NA())</f>
        <v>#N/A</v>
      </c>
      <c r="R249" s="4">
        <f>IF(Tabela2[[#This Row],[sex]]="Male",Tabela2[[#This Row],[hours-per-week]],NA())</f>
        <v>50</v>
      </c>
    </row>
    <row r="250" spans="1:18">
      <c r="A250" s="3" t="s">
        <v>341</v>
      </c>
      <c r="B250" s="4">
        <v>26</v>
      </c>
      <c r="C250" s="4" t="s">
        <v>0</v>
      </c>
      <c r="D250" s="4">
        <v>179772</v>
      </c>
      <c r="E250" s="4" t="s">
        <v>26</v>
      </c>
      <c r="F250" s="4">
        <v>13</v>
      </c>
      <c r="G250" s="4" t="s">
        <v>2</v>
      </c>
      <c r="H250" s="4" t="s">
        <v>46</v>
      </c>
      <c r="I250" s="4" t="s">
        <v>11</v>
      </c>
      <c r="J250" s="4" t="s">
        <v>5</v>
      </c>
      <c r="K250" s="4" t="s">
        <v>6</v>
      </c>
      <c r="L250" s="4">
        <v>0</v>
      </c>
      <c r="M250" s="4">
        <v>0</v>
      </c>
      <c r="N250" s="4">
        <v>45</v>
      </c>
      <c r="O250" s="4" t="s">
        <v>7</v>
      </c>
      <c r="P250" s="4" t="s">
        <v>8</v>
      </c>
      <c r="Q250" s="4">
        <f>IF(Tabela2[[#This Row],[sex]]="Female",Tabela2[[#This Row],[hours-per-week]],NA())</f>
        <v>45</v>
      </c>
      <c r="R250" s="4" t="e">
        <f>IF(Tabela2[[#This Row],[sex]]="Male",Tabela2[[#This Row],[hours-per-week]],NA())</f>
        <v>#N/A</v>
      </c>
    </row>
    <row r="251" spans="1:18">
      <c r="A251" s="3" t="s">
        <v>342</v>
      </c>
      <c r="B251" s="4">
        <v>37</v>
      </c>
      <c r="C251" s="4" t="s">
        <v>0</v>
      </c>
      <c r="D251" s="4">
        <v>179731</v>
      </c>
      <c r="E251" s="4" t="s">
        <v>28</v>
      </c>
      <c r="F251" s="4">
        <v>9</v>
      </c>
      <c r="G251" s="4" t="s">
        <v>2</v>
      </c>
      <c r="H251" s="4" t="s">
        <v>3</v>
      </c>
      <c r="I251" s="4" t="s">
        <v>35</v>
      </c>
      <c r="J251" s="4" t="s">
        <v>5</v>
      </c>
      <c r="K251" s="4" t="s">
        <v>6</v>
      </c>
      <c r="L251" s="4">
        <v>0</v>
      </c>
      <c r="M251" s="4">
        <v>0</v>
      </c>
      <c r="N251" s="4">
        <v>35</v>
      </c>
      <c r="O251" s="4" t="s">
        <v>7</v>
      </c>
      <c r="P251" s="4" t="s">
        <v>8</v>
      </c>
      <c r="Q251" s="4">
        <f>IF(Tabela2[[#This Row],[sex]]="Female",Tabela2[[#This Row],[hours-per-week]],NA())</f>
        <v>35</v>
      </c>
      <c r="R251" s="4" t="e">
        <f>IF(Tabela2[[#This Row],[sex]]="Male",Tabela2[[#This Row],[hours-per-week]],NA())</f>
        <v>#N/A</v>
      </c>
    </row>
    <row r="252" spans="1:18">
      <c r="A252" s="3" t="s">
        <v>343</v>
      </c>
      <c r="B252" s="4">
        <v>27</v>
      </c>
      <c r="C252" s="4" t="s">
        <v>0</v>
      </c>
      <c r="D252" s="4">
        <v>104457</v>
      </c>
      <c r="E252" s="4" t="s">
        <v>26</v>
      </c>
      <c r="F252" s="4">
        <v>13</v>
      </c>
      <c r="G252" s="4" t="s">
        <v>2</v>
      </c>
      <c r="H252" s="4" t="s">
        <v>22</v>
      </c>
      <c r="I252" s="4" t="s">
        <v>11</v>
      </c>
      <c r="J252" s="4" t="s">
        <v>36</v>
      </c>
      <c r="K252" s="4" t="s">
        <v>18</v>
      </c>
      <c r="L252" s="4">
        <v>0</v>
      </c>
      <c r="M252" s="4">
        <v>0</v>
      </c>
      <c r="N252" s="4">
        <v>40</v>
      </c>
      <c r="O252" s="4" t="s">
        <v>37</v>
      </c>
      <c r="P252" s="4" t="s">
        <v>8</v>
      </c>
      <c r="Q252" s="4" t="e">
        <f>IF(Tabela2[[#This Row],[sex]]="Female",Tabela2[[#This Row],[hours-per-week]],NA())</f>
        <v>#N/A</v>
      </c>
      <c r="R252" s="4">
        <f>IF(Tabela2[[#This Row],[sex]]="Male",Tabela2[[#This Row],[hours-per-week]],NA())</f>
        <v>40</v>
      </c>
    </row>
    <row r="253" spans="1:18">
      <c r="A253" s="3" t="s">
        <v>344</v>
      </c>
      <c r="B253" s="4">
        <v>18</v>
      </c>
      <c r="C253" s="4" t="s">
        <v>37</v>
      </c>
      <c r="D253" s="4">
        <v>343161</v>
      </c>
      <c r="E253" s="4" t="s">
        <v>1</v>
      </c>
      <c r="F253" s="4">
        <v>7</v>
      </c>
      <c r="G253" s="4" t="s">
        <v>2</v>
      </c>
      <c r="H253" s="4" t="s">
        <v>37</v>
      </c>
      <c r="I253" s="4" t="s">
        <v>4</v>
      </c>
      <c r="J253" s="4" t="s">
        <v>5</v>
      </c>
      <c r="K253" s="4" t="s">
        <v>18</v>
      </c>
      <c r="L253" s="4">
        <v>0</v>
      </c>
      <c r="M253" s="4">
        <v>0</v>
      </c>
      <c r="N253" s="4">
        <v>16</v>
      </c>
      <c r="O253" s="4" t="s">
        <v>7</v>
      </c>
      <c r="P253" s="4" t="s">
        <v>8</v>
      </c>
      <c r="Q253" s="4" t="e">
        <f>IF(Tabela2[[#This Row],[sex]]="Female",Tabela2[[#This Row],[hours-per-week]],NA())</f>
        <v>#N/A</v>
      </c>
      <c r="R253" s="4">
        <f>IF(Tabela2[[#This Row],[sex]]="Male",Tabela2[[#This Row],[hours-per-week]],NA())</f>
        <v>16</v>
      </c>
    </row>
    <row r="254" spans="1:18">
      <c r="A254" s="3" t="s">
        <v>345</v>
      </c>
      <c r="B254" s="4">
        <v>24</v>
      </c>
      <c r="C254" s="4" t="s">
        <v>0</v>
      </c>
      <c r="D254" s="4">
        <v>122234</v>
      </c>
      <c r="E254" s="4" t="s">
        <v>12</v>
      </c>
      <c r="F254" s="4">
        <v>10</v>
      </c>
      <c r="G254" s="4" t="s">
        <v>2</v>
      </c>
      <c r="H254" s="4" t="s">
        <v>33</v>
      </c>
      <c r="I254" s="4" t="s">
        <v>11</v>
      </c>
      <c r="J254" s="4" t="s">
        <v>23</v>
      </c>
      <c r="K254" s="4" t="s">
        <v>6</v>
      </c>
      <c r="L254" s="4">
        <v>0</v>
      </c>
      <c r="M254" s="4">
        <v>0</v>
      </c>
      <c r="N254" s="4">
        <v>20</v>
      </c>
      <c r="O254" s="4" t="s">
        <v>37</v>
      </c>
      <c r="P254" s="4" t="s">
        <v>8</v>
      </c>
      <c r="Q254" s="4">
        <f>IF(Tabela2[[#This Row],[sex]]="Female",Tabela2[[#This Row],[hours-per-week]],NA())</f>
        <v>20</v>
      </c>
      <c r="R254" s="4" t="e">
        <f>IF(Tabela2[[#This Row],[sex]]="Male",Tabela2[[#This Row],[hours-per-week]],NA())</f>
        <v>#N/A</v>
      </c>
    </row>
    <row r="255" spans="1:18">
      <c r="A255" s="3" t="s">
        <v>346</v>
      </c>
      <c r="B255" s="4">
        <v>47</v>
      </c>
      <c r="C255" s="4" t="s">
        <v>40</v>
      </c>
      <c r="D255" s="4">
        <v>160045</v>
      </c>
      <c r="E255" s="4" t="s">
        <v>12</v>
      </c>
      <c r="F255" s="4">
        <v>10</v>
      </c>
      <c r="G255" s="4" t="s">
        <v>47</v>
      </c>
      <c r="H255" s="4" t="s">
        <v>3</v>
      </c>
      <c r="I255" s="4" t="s">
        <v>35</v>
      </c>
      <c r="J255" s="4" t="s">
        <v>5</v>
      </c>
      <c r="K255" s="4" t="s">
        <v>6</v>
      </c>
      <c r="L255" s="4">
        <v>0</v>
      </c>
      <c r="M255" s="4">
        <v>0</v>
      </c>
      <c r="N255" s="4">
        <v>35</v>
      </c>
      <c r="O255" s="4" t="s">
        <v>7</v>
      </c>
      <c r="P255" s="4" t="s">
        <v>8</v>
      </c>
      <c r="Q255" s="4">
        <f>IF(Tabela2[[#This Row],[sex]]="Female",Tabela2[[#This Row],[hours-per-week]],NA())</f>
        <v>35</v>
      </c>
      <c r="R255" s="4" t="e">
        <f>IF(Tabela2[[#This Row],[sex]]="Male",Tabela2[[#This Row],[hours-per-week]],NA())</f>
        <v>#N/A</v>
      </c>
    </row>
    <row r="256" spans="1:18">
      <c r="A256" s="3" t="s">
        <v>347</v>
      </c>
      <c r="B256" s="4">
        <v>48</v>
      </c>
      <c r="C256" s="4" t="s">
        <v>0</v>
      </c>
      <c r="D256" s="4">
        <v>248059</v>
      </c>
      <c r="E256" s="4" t="s">
        <v>26</v>
      </c>
      <c r="F256" s="4">
        <v>13</v>
      </c>
      <c r="G256" s="4" t="s">
        <v>29</v>
      </c>
      <c r="H256" s="4" t="s">
        <v>46</v>
      </c>
      <c r="I256" s="4" t="s">
        <v>32</v>
      </c>
      <c r="J256" s="4" t="s">
        <v>5</v>
      </c>
      <c r="K256" s="4" t="s">
        <v>18</v>
      </c>
      <c r="L256" s="4">
        <v>5013</v>
      </c>
      <c r="M256" s="4">
        <v>0</v>
      </c>
      <c r="N256" s="4">
        <v>45</v>
      </c>
      <c r="O256" s="4" t="s">
        <v>7</v>
      </c>
      <c r="P256" s="4" t="s">
        <v>8</v>
      </c>
      <c r="Q256" s="4" t="e">
        <f>IF(Tabela2[[#This Row],[sex]]="Female",Tabela2[[#This Row],[hours-per-week]],NA())</f>
        <v>#N/A</v>
      </c>
      <c r="R256" s="4">
        <f>IF(Tabela2[[#This Row],[sex]]="Male",Tabela2[[#This Row],[hours-per-week]],NA())</f>
        <v>45</v>
      </c>
    </row>
    <row r="257" spans="1:18">
      <c r="A257" s="3" t="s">
        <v>348</v>
      </c>
      <c r="B257" s="4">
        <v>39</v>
      </c>
      <c r="C257" s="4" t="s">
        <v>41</v>
      </c>
      <c r="D257" s="4">
        <v>193583</v>
      </c>
      <c r="E257" s="4" t="s">
        <v>26</v>
      </c>
      <c r="F257" s="4">
        <v>13</v>
      </c>
      <c r="G257" s="4" t="s">
        <v>15</v>
      </c>
      <c r="H257" s="4" t="s">
        <v>27</v>
      </c>
      <c r="I257" s="4" t="s">
        <v>35</v>
      </c>
      <c r="J257" s="4" t="s">
        <v>5</v>
      </c>
      <c r="K257" s="4" t="s">
        <v>6</v>
      </c>
      <c r="L257" s="4">
        <v>5455</v>
      </c>
      <c r="M257" s="4">
        <v>0</v>
      </c>
      <c r="N257" s="4">
        <v>60</v>
      </c>
      <c r="O257" s="4" t="s">
        <v>7</v>
      </c>
      <c r="P257" s="4" t="s">
        <v>8</v>
      </c>
      <c r="Q257" s="4">
        <f>IF(Tabela2[[#This Row],[sex]]="Female",Tabela2[[#This Row],[hours-per-week]],NA())</f>
        <v>60</v>
      </c>
      <c r="R257" s="4" t="e">
        <f>IF(Tabela2[[#This Row],[sex]]="Male",Tabela2[[#This Row],[hours-per-week]],NA())</f>
        <v>#N/A</v>
      </c>
    </row>
    <row r="258" spans="1:18">
      <c r="A258" s="3" t="s">
        <v>349</v>
      </c>
      <c r="B258" s="4">
        <v>26</v>
      </c>
      <c r="C258" s="4" t="s">
        <v>0</v>
      </c>
      <c r="D258" s="4">
        <v>120268</v>
      </c>
      <c r="E258" s="4" t="s">
        <v>26</v>
      </c>
      <c r="F258" s="4">
        <v>13</v>
      </c>
      <c r="G258" s="4" t="s">
        <v>2</v>
      </c>
      <c r="H258" s="4" t="s">
        <v>33</v>
      </c>
      <c r="I258" s="4" t="s">
        <v>4</v>
      </c>
      <c r="J258" s="4" t="s">
        <v>5</v>
      </c>
      <c r="K258" s="4" t="s">
        <v>18</v>
      </c>
      <c r="L258" s="4">
        <v>0</v>
      </c>
      <c r="M258" s="4">
        <v>0</v>
      </c>
      <c r="N258" s="4">
        <v>24</v>
      </c>
      <c r="O258" s="4" t="s">
        <v>7</v>
      </c>
      <c r="P258" s="4" t="s">
        <v>8</v>
      </c>
      <c r="Q258" s="4" t="e">
        <f>IF(Tabela2[[#This Row],[sex]]="Female",Tabela2[[#This Row],[hours-per-week]],NA())</f>
        <v>#N/A</v>
      </c>
      <c r="R258" s="4">
        <f>IF(Tabela2[[#This Row],[sex]]="Male",Tabela2[[#This Row],[hours-per-week]],NA())</f>
        <v>24</v>
      </c>
    </row>
    <row r="259" spans="1:18">
      <c r="A259" s="3" t="s">
        <v>350</v>
      </c>
      <c r="B259" s="4">
        <v>51</v>
      </c>
      <c r="C259" s="4" t="s">
        <v>0</v>
      </c>
      <c r="D259" s="4">
        <v>133336</v>
      </c>
      <c r="E259" s="4" t="s">
        <v>28</v>
      </c>
      <c r="F259" s="4">
        <v>9</v>
      </c>
      <c r="G259" s="4" t="s">
        <v>29</v>
      </c>
      <c r="H259" s="4" t="s">
        <v>30</v>
      </c>
      <c r="I259" s="4" t="s">
        <v>32</v>
      </c>
      <c r="J259" s="4" t="s">
        <v>5</v>
      </c>
      <c r="K259" s="4" t="s">
        <v>18</v>
      </c>
      <c r="L259" s="4">
        <v>0</v>
      </c>
      <c r="M259" s="4">
        <v>0</v>
      </c>
      <c r="N259" s="4">
        <v>40</v>
      </c>
      <c r="O259" s="4" t="s">
        <v>7</v>
      </c>
      <c r="P259" s="4" t="s">
        <v>19</v>
      </c>
      <c r="Q259" s="4" t="e">
        <f>IF(Tabela2[[#This Row],[sex]]="Female",Tabela2[[#This Row],[hours-per-week]],NA())</f>
        <v>#N/A</v>
      </c>
      <c r="R259" s="4">
        <f>IF(Tabela2[[#This Row],[sex]]="Male",Tabela2[[#This Row],[hours-per-week]],NA())</f>
        <v>40</v>
      </c>
    </row>
    <row r="260" spans="1:18">
      <c r="A260" s="3" t="s">
        <v>351</v>
      </c>
      <c r="B260" s="4">
        <v>32</v>
      </c>
      <c r="C260" s="4" t="s">
        <v>0</v>
      </c>
      <c r="D260" s="4">
        <v>207685</v>
      </c>
      <c r="E260" s="4" t="s">
        <v>28</v>
      </c>
      <c r="F260" s="4">
        <v>9</v>
      </c>
      <c r="G260" s="4" t="s">
        <v>29</v>
      </c>
      <c r="H260" s="4" t="s">
        <v>34</v>
      </c>
      <c r="I260" s="4" t="s">
        <v>31</v>
      </c>
      <c r="J260" s="4" t="s">
        <v>23</v>
      </c>
      <c r="K260" s="4" t="s">
        <v>6</v>
      </c>
      <c r="L260" s="4">
        <v>3908</v>
      </c>
      <c r="M260" s="4">
        <v>0</v>
      </c>
      <c r="N260" s="4">
        <v>40</v>
      </c>
      <c r="O260" s="4" t="s">
        <v>7</v>
      </c>
      <c r="P260" s="4" t="s">
        <v>8</v>
      </c>
      <c r="Q260" s="4">
        <f>IF(Tabela2[[#This Row],[sex]]="Female",Tabela2[[#This Row],[hours-per-week]],NA())</f>
        <v>40</v>
      </c>
      <c r="R260" s="4" t="e">
        <f>IF(Tabela2[[#This Row],[sex]]="Male",Tabela2[[#This Row],[hours-per-week]],NA())</f>
        <v>#N/A</v>
      </c>
    </row>
    <row r="261" spans="1:18">
      <c r="A261" s="3" t="s">
        <v>352</v>
      </c>
      <c r="B261" s="4">
        <v>38</v>
      </c>
      <c r="C261" s="4" t="s">
        <v>0</v>
      </c>
      <c r="D261" s="4">
        <v>170861</v>
      </c>
      <c r="E261" s="4" t="s">
        <v>12</v>
      </c>
      <c r="F261" s="4">
        <v>10</v>
      </c>
      <c r="G261" s="4" t="s">
        <v>2</v>
      </c>
      <c r="H261" s="4" t="s">
        <v>33</v>
      </c>
      <c r="I261" s="4" t="s">
        <v>4</v>
      </c>
      <c r="J261" s="4" t="s">
        <v>5</v>
      </c>
      <c r="K261" s="4" t="s">
        <v>6</v>
      </c>
      <c r="L261" s="4">
        <v>0</v>
      </c>
      <c r="M261" s="4">
        <v>0</v>
      </c>
      <c r="N261" s="4">
        <v>40</v>
      </c>
      <c r="O261" s="4" t="s">
        <v>7</v>
      </c>
      <c r="P261" s="4" t="s">
        <v>8</v>
      </c>
      <c r="Q261" s="4">
        <f>IF(Tabela2[[#This Row],[sex]]="Female",Tabela2[[#This Row],[hours-per-week]],NA())</f>
        <v>40</v>
      </c>
      <c r="R261" s="4" t="e">
        <f>IF(Tabela2[[#This Row],[sex]]="Male",Tabela2[[#This Row],[hours-per-week]],NA())</f>
        <v>#N/A</v>
      </c>
    </row>
    <row r="262" spans="1:18">
      <c r="A262" s="3" t="s">
        <v>353</v>
      </c>
      <c r="B262" s="4">
        <v>41</v>
      </c>
      <c r="C262" s="4" t="s">
        <v>40</v>
      </c>
      <c r="D262" s="4">
        <v>223763</v>
      </c>
      <c r="E262" s="4" t="s">
        <v>39</v>
      </c>
      <c r="F262" s="4">
        <v>14</v>
      </c>
      <c r="G262" s="4" t="s">
        <v>29</v>
      </c>
      <c r="H262" s="4" t="s">
        <v>16</v>
      </c>
      <c r="I262" s="4" t="s">
        <v>32</v>
      </c>
      <c r="J262" s="4" t="s">
        <v>5</v>
      </c>
      <c r="K262" s="4" t="s">
        <v>18</v>
      </c>
      <c r="L262" s="4">
        <v>0</v>
      </c>
      <c r="M262" s="4">
        <v>0</v>
      </c>
      <c r="N262" s="4">
        <v>65</v>
      </c>
      <c r="O262" s="4" t="s">
        <v>7</v>
      </c>
      <c r="P262" s="4" t="s">
        <v>8</v>
      </c>
      <c r="Q262" s="4" t="e">
        <f>IF(Tabela2[[#This Row],[sex]]="Female",Tabela2[[#This Row],[hours-per-week]],NA())</f>
        <v>#N/A</v>
      </c>
      <c r="R262" s="4">
        <f>IF(Tabela2[[#This Row],[sex]]="Male",Tabela2[[#This Row],[hours-per-week]],NA())</f>
        <v>65</v>
      </c>
    </row>
    <row r="263" spans="1:18">
      <c r="A263" s="3" t="s">
        <v>354</v>
      </c>
      <c r="B263" s="4">
        <v>27</v>
      </c>
      <c r="C263" s="4" t="s">
        <v>0</v>
      </c>
      <c r="D263" s="4">
        <v>108431</v>
      </c>
      <c r="E263" s="4" t="s">
        <v>12</v>
      </c>
      <c r="F263" s="4">
        <v>10</v>
      </c>
      <c r="G263" s="4" t="s">
        <v>2</v>
      </c>
      <c r="H263" s="4" t="s">
        <v>16</v>
      </c>
      <c r="I263" s="4" t="s">
        <v>11</v>
      </c>
      <c r="J263" s="4" t="s">
        <v>23</v>
      </c>
      <c r="K263" s="4" t="s">
        <v>18</v>
      </c>
      <c r="L263" s="4">
        <v>0</v>
      </c>
      <c r="M263" s="4">
        <v>0</v>
      </c>
      <c r="N263" s="4">
        <v>40</v>
      </c>
      <c r="O263" s="4" t="s">
        <v>7</v>
      </c>
      <c r="P263" s="4" t="s">
        <v>8</v>
      </c>
      <c r="Q263" s="4" t="e">
        <f>IF(Tabela2[[#This Row],[sex]]="Female",Tabela2[[#This Row],[hours-per-week]],NA())</f>
        <v>#N/A</v>
      </c>
      <c r="R263" s="4">
        <f>IF(Tabela2[[#This Row],[sex]]="Male",Tabela2[[#This Row],[hours-per-week]],NA())</f>
        <v>40</v>
      </c>
    </row>
    <row r="264" spans="1:18">
      <c r="A264" s="3" t="s">
        <v>355</v>
      </c>
      <c r="B264" s="4">
        <v>52</v>
      </c>
      <c r="C264" s="4" t="s">
        <v>40</v>
      </c>
      <c r="D264" s="4">
        <v>123011</v>
      </c>
      <c r="E264" s="4" t="s">
        <v>50</v>
      </c>
      <c r="F264" s="4">
        <v>15</v>
      </c>
      <c r="G264" s="4" t="s">
        <v>29</v>
      </c>
      <c r="H264" s="4" t="s">
        <v>27</v>
      </c>
      <c r="I264" s="4" t="s">
        <v>32</v>
      </c>
      <c r="J264" s="4" t="s">
        <v>5</v>
      </c>
      <c r="K264" s="4" t="s">
        <v>18</v>
      </c>
      <c r="L264" s="4">
        <v>0</v>
      </c>
      <c r="M264" s="4">
        <v>0</v>
      </c>
      <c r="N264" s="4">
        <v>50</v>
      </c>
      <c r="O264" s="4" t="s">
        <v>7</v>
      </c>
      <c r="P264" s="4" t="s">
        <v>19</v>
      </c>
      <c r="Q264" s="4" t="e">
        <f>IF(Tabela2[[#This Row],[sex]]="Female",Tabela2[[#This Row],[hours-per-week]],NA())</f>
        <v>#N/A</v>
      </c>
      <c r="R264" s="4">
        <f>IF(Tabela2[[#This Row],[sex]]="Male",Tabela2[[#This Row],[hours-per-week]],NA())</f>
        <v>50</v>
      </c>
    </row>
    <row r="265" spans="1:18">
      <c r="A265" s="3" t="s">
        <v>356</v>
      </c>
      <c r="B265" s="4">
        <v>28</v>
      </c>
      <c r="C265" s="4" t="s">
        <v>0</v>
      </c>
      <c r="D265" s="4">
        <v>243660</v>
      </c>
      <c r="E265" s="4" t="s">
        <v>28</v>
      </c>
      <c r="F265" s="4">
        <v>9</v>
      </c>
      <c r="G265" s="4" t="s">
        <v>29</v>
      </c>
      <c r="H265" s="4" t="s">
        <v>38</v>
      </c>
      <c r="I265" s="4" t="s">
        <v>32</v>
      </c>
      <c r="J265" s="4" t="s">
        <v>5</v>
      </c>
      <c r="K265" s="4" t="s">
        <v>18</v>
      </c>
      <c r="L265" s="4">
        <v>0</v>
      </c>
      <c r="M265" s="4">
        <v>0</v>
      </c>
      <c r="N265" s="4">
        <v>40</v>
      </c>
      <c r="O265" s="4" t="s">
        <v>7</v>
      </c>
      <c r="P265" s="4" t="s">
        <v>8</v>
      </c>
      <c r="Q265" s="4" t="e">
        <f>IF(Tabela2[[#This Row],[sex]]="Female",Tabela2[[#This Row],[hours-per-week]],NA())</f>
        <v>#N/A</v>
      </c>
      <c r="R265" s="4">
        <f>IF(Tabela2[[#This Row],[sex]]="Male",Tabela2[[#This Row],[hours-per-week]],NA())</f>
        <v>40</v>
      </c>
    </row>
    <row r="266" spans="1:18">
      <c r="A266" s="3" t="s">
        <v>357</v>
      </c>
      <c r="B266" s="4">
        <v>54</v>
      </c>
      <c r="C266" s="4" t="s">
        <v>40</v>
      </c>
      <c r="D266" s="4">
        <v>71344</v>
      </c>
      <c r="E266" s="4" t="s">
        <v>39</v>
      </c>
      <c r="F266" s="4">
        <v>14</v>
      </c>
      <c r="G266" s="4" t="s">
        <v>15</v>
      </c>
      <c r="H266" s="4" t="s">
        <v>27</v>
      </c>
      <c r="I266" s="4" t="s">
        <v>11</v>
      </c>
      <c r="J266" s="4" t="s">
        <v>5</v>
      </c>
      <c r="K266" s="4" t="s">
        <v>18</v>
      </c>
      <c r="L266" s="4">
        <v>0</v>
      </c>
      <c r="M266" s="4">
        <v>0</v>
      </c>
      <c r="N266" s="4">
        <v>50</v>
      </c>
      <c r="O266" s="4" t="s">
        <v>7</v>
      </c>
      <c r="P266" s="4" t="s">
        <v>19</v>
      </c>
      <c r="Q266" s="4" t="e">
        <f>IF(Tabela2[[#This Row],[sex]]="Female",Tabela2[[#This Row],[hours-per-week]],NA())</f>
        <v>#N/A</v>
      </c>
      <c r="R266" s="4">
        <f>IF(Tabela2[[#This Row],[sex]]="Male",Tabela2[[#This Row],[hours-per-week]],NA())</f>
        <v>50</v>
      </c>
    </row>
    <row r="267" spans="1:18">
      <c r="A267" s="3" t="s">
        <v>358</v>
      </c>
      <c r="B267" s="4">
        <v>71</v>
      </c>
      <c r="C267" s="4" t="s">
        <v>37</v>
      </c>
      <c r="D267" s="4">
        <v>125101</v>
      </c>
      <c r="E267" s="4" t="s">
        <v>44</v>
      </c>
      <c r="F267" s="4">
        <v>11</v>
      </c>
      <c r="G267" s="4" t="s">
        <v>47</v>
      </c>
      <c r="H267" s="4" t="s">
        <v>37</v>
      </c>
      <c r="I267" s="4" t="s">
        <v>11</v>
      </c>
      <c r="J267" s="4" t="s">
        <v>5</v>
      </c>
      <c r="K267" s="4" t="s">
        <v>6</v>
      </c>
      <c r="L267" s="4">
        <v>0</v>
      </c>
      <c r="M267" s="4">
        <v>0</v>
      </c>
      <c r="N267" s="4">
        <v>40</v>
      </c>
      <c r="O267" s="4" t="s">
        <v>7</v>
      </c>
      <c r="P267" s="4" t="s">
        <v>8</v>
      </c>
      <c r="Q267" s="4">
        <f>IF(Tabela2[[#This Row],[sex]]="Female",Tabela2[[#This Row],[hours-per-week]],NA())</f>
        <v>40</v>
      </c>
      <c r="R267" s="4" t="e">
        <f>IF(Tabela2[[#This Row],[sex]]="Male",Tabela2[[#This Row],[hours-per-week]],NA())</f>
        <v>#N/A</v>
      </c>
    </row>
    <row r="268" spans="1:18">
      <c r="A268" s="3" t="s">
        <v>359</v>
      </c>
      <c r="B268" s="4">
        <v>57</v>
      </c>
      <c r="C268" s="4" t="s">
        <v>0</v>
      </c>
      <c r="D268" s="4">
        <v>169329</v>
      </c>
      <c r="E268" s="4" t="s">
        <v>28</v>
      </c>
      <c r="F268" s="4">
        <v>9</v>
      </c>
      <c r="G268" s="4" t="s">
        <v>29</v>
      </c>
      <c r="H268" s="4" t="s">
        <v>30</v>
      </c>
      <c r="I268" s="4" t="s">
        <v>32</v>
      </c>
      <c r="J268" s="4" t="s">
        <v>23</v>
      </c>
      <c r="K268" s="4" t="s">
        <v>18</v>
      </c>
      <c r="L268" s="4">
        <v>0</v>
      </c>
      <c r="M268" s="4">
        <v>1887</v>
      </c>
      <c r="N268" s="4">
        <v>40</v>
      </c>
      <c r="O268" s="4" t="s">
        <v>66</v>
      </c>
      <c r="P268" s="4" t="s">
        <v>19</v>
      </c>
      <c r="Q268" s="4" t="e">
        <f>IF(Tabela2[[#This Row],[sex]]="Female",Tabela2[[#This Row],[hours-per-week]],NA())</f>
        <v>#N/A</v>
      </c>
      <c r="R268" s="4">
        <f>IF(Tabela2[[#This Row],[sex]]="Male",Tabela2[[#This Row],[hours-per-week]],NA())</f>
        <v>40</v>
      </c>
    </row>
    <row r="269" spans="1:18">
      <c r="A269" s="3" t="s">
        <v>360</v>
      </c>
      <c r="B269" s="4">
        <v>33</v>
      </c>
      <c r="C269" s="4" t="s">
        <v>0</v>
      </c>
      <c r="D269" s="4">
        <v>355856</v>
      </c>
      <c r="E269" s="4" t="s">
        <v>9</v>
      </c>
      <c r="F269" s="4">
        <v>12</v>
      </c>
      <c r="G269" s="4" t="s">
        <v>29</v>
      </c>
      <c r="H269" s="4" t="s">
        <v>10</v>
      </c>
      <c r="I269" s="4" t="s">
        <v>32</v>
      </c>
      <c r="J269" s="4" t="s">
        <v>36</v>
      </c>
      <c r="K269" s="4" t="s">
        <v>18</v>
      </c>
      <c r="L269" s="4">
        <v>0</v>
      </c>
      <c r="M269" s="4">
        <v>0</v>
      </c>
      <c r="N269" s="4">
        <v>60</v>
      </c>
      <c r="O269" s="4" t="s">
        <v>7</v>
      </c>
      <c r="P269" s="4" t="s">
        <v>8</v>
      </c>
      <c r="Q269" s="4" t="e">
        <f>IF(Tabela2[[#This Row],[sex]]="Female",Tabela2[[#This Row],[hours-per-week]],NA())</f>
        <v>#N/A</v>
      </c>
      <c r="R269" s="4">
        <f>IF(Tabela2[[#This Row],[sex]]="Male",Tabela2[[#This Row],[hours-per-week]],NA())</f>
        <v>60</v>
      </c>
    </row>
    <row r="270" spans="1:18">
      <c r="A270" s="3" t="s">
        <v>361</v>
      </c>
      <c r="B270" s="4">
        <v>50</v>
      </c>
      <c r="C270" s="4" t="s">
        <v>0</v>
      </c>
      <c r="D270" s="4">
        <v>108926</v>
      </c>
      <c r="E270" s="4" t="s">
        <v>12</v>
      </c>
      <c r="F270" s="4">
        <v>10</v>
      </c>
      <c r="G270" s="4" t="s">
        <v>15</v>
      </c>
      <c r="H270" s="4" t="s">
        <v>22</v>
      </c>
      <c r="I270" s="4" t="s">
        <v>11</v>
      </c>
      <c r="J270" s="4" t="s">
        <v>23</v>
      </c>
      <c r="K270" s="4" t="s">
        <v>6</v>
      </c>
      <c r="L270" s="4">
        <v>0</v>
      </c>
      <c r="M270" s="4">
        <v>0</v>
      </c>
      <c r="N270" s="4">
        <v>40</v>
      </c>
      <c r="O270" s="4" t="s">
        <v>7</v>
      </c>
      <c r="P270" s="4" t="s">
        <v>8</v>
      </c>
      <c r="Q270" s="4">
        <f>IF(Tabela2[[#This Row],[sex]]="Female",Tabela2[[#This Row],[hours-per-week]],NA())</f>
        <v>40</v>
      </c>
      <c r="R270" s="4" t="e">
        <f>IF(Tabela2[[#This Row],[sex]]="Male",Tabela2[[#This Row],[hours-per-week]],NA())</f>
        <v>#N/A</v>
      </c>
    </row>
    <row r="271" spans="1:18">
      <c r="A271" s="3" t="s">
        <v>362</v>
      </c>
      <c r="B271" s="4">
        <v>66</v>
      </c>
      <c r="C271" s="4" t="s">
        <v>49</v>
      </c>
      <c r="D271" s="4">
        <v>220543</v>
      </c>
      <c r="E271" s="4" t="s">
        <v>28</v>
      </c>
      <c r="F271" s="4">
        <v>9</v>
      </c>
      <c r="G271" s="4" t="s">
        <v>29</v>
      </c>
      <c r="H271" s="4" t="s">
        <v>33</v>
      </c>
      <c r="I271" s="4" t="s">
        <v>31</v>
      </c>
      <c r="J271" s="4" t="s">
        <v>5</v>
      </c>
      <c r="K271" s="4" t="s">
        <v>6</v>
      </c>
      <c r="L271" s="4">
        <v>0</v>
      </c>
      <c r="M271" s="4">
        <v>0</v>
      </c>
      <c r="N271" s="4">
        <v>40</v>
      </c>
      <c r="O271" s="4" t="s">
        <v>7</v>
      </c>
      <c r="P271" s="4" t="s">
        <v>19</v>
      </c>
      <c r="Q271" s="4">
        <f>IF(Tabela2[[#This Row],[sex]]="Female",Tabela2[[#This Row],[hours-per-week]],NA())</f>
        <v>40</v>
      </c>
      <c r="R271" s="4" t="e">
        <f>IF(Tabela2[[#This Row],[sex]]="Male",Tabela2[[#This Row],[hours-per-week]],NA())</f>
        <v>#N/A</v>
      </c>
    </row>
    <row r="272" spans="1:18">
      <c r="A272" s="3" t="s">
        <v>363</v>
      </c>
      <c r="B272" s="4">
        <v>41</v>
      </c>
      <c r="C272" s="4" t="s">
        <v>0</v>
      </c>
      <c r="D272" s="4">
        <v>198425</v>
      </c>
      <c r="E272" s="4" t="s">
        <v>12</v>
      </c>
      <c r="F272" s="4">
        <v>10</v>
      </c>
      <c r="G272" s="4" t="s">
        <v>29</v>
      </c>
      <c r="H272" s="4" t="s">
        <v>16</v>
      </c>
      <c r="I272" s="4" t="s">
        <v>32</v>
      </c>
      <c r="J272" s="4" t="s">
        <v>5</v>
      </c>
      <c r="K272" s="4" t="s">
        <v>18</v>
      </c>
      <c r="L272" s="4">
        <v>0</v>
      </c>
      <c r="M272" s="4">
        <v>0</v>
      </c>
      <c r="N272" s="4">
        <v>45</v>
      </c>
      <c r="O272" s="4" t="s">
        <v>7</v>
      </c>
      <c r="P272" s="4" t="s">
        <v>8</v>
      </c>
      <c r="Q272" s="4" t="e">
        <f>IF(Tabela2[[#This Row],[sex]]="Female",Tabela2[[#This Row],[hours-per-week]],NA())</f>
        <v>#N/A</v>
      </c>
      <c r="R272" s="4">
        <f>IF(Tabela2[[#This Row],[sex]]="Male",Tabela2[[#This Row],[hours-per-week]],NA())</f>
        <v>45</v>
      </c>
    </row>
    <row r="273" spans="1:18">
      <c r="A273" s="3" t="s">
        <v>364</v>
      </c>
      <c r="B273" s="4">
        <v>25</v>
      </c>
      <c r="C273" s="4" t="s">
        <v>0</v>
      </c>
      <c r="D273" s="4">
        <v>193701</v>
      </c>
      <c r="E273" s="4" t="s">
        <v>26</v>
      </c>
      <c r="F273" s="4">
        <v>13</v>
      </c>
      <c r="G273" s="4" t="s">
        <v>2</v>
      </c>
      <c r="H273" s="4" t="s">
        <v>3</v>
      </c>
      <c r="I273" s="4" t="s">
        <v>11</v>
      </c>
      <c r="J273" s="4" t="s">
        <v>5</v>
      </c>
      <c r="K273" s="4" t="s">
        <v>6</v>
      </c>
      <c r="L273" s="4">
        <v>0</v>
      </c>
      <c r="M273" s="4">
        <v>0</v>
      </c>
      <c r="N273" s="4">
        <v>38</v>
      </c>
      <c r="O273" s="4" t="s">
        <v>7</v>
      </c>
      <c r="P273" s="4" t="s">
        <v>8</v>
      </c>
      <c r="Q273" s="4">
        <f>IF(Tabela2[[#This Row],[sex]]="Female",Tabela2[[#This Row],[hours-per-week]],NA())</f>
        <v>38</v>
      </c>
      <c r="R273" s="4" t="e">
        <f>IF(Tabela2[[#This Row],[sex]]="Male",Tabela2[[#This Row],[hours-per-week]],NA())</f>
        <v>#N/A</v>
      </c>
    </row>
    <row r="274" spans="1:18">
      <c r="A274" s="3" t="s">
        <v>365</v>
      </c>
      <c r="B274" s="4">
        <v>31</v>
      </c>
      <c r="C274" s="4" t="s">
        <v>25</v>
      </c>
      <c r="D274" s="4">
        <v>157673</v>
      </c>
      <c r="E274" s="4" t="s">
        <v>28</v>
      </c>
      <c r="F274" s="4">
        <v>9</v>
      </c>
      <c r="G274" s="4" t="s">
        <v>29</v>
      </c>
      <c r="H274" s="4" t="s">
        <v>24</v>
      </c>
      <c r="I274" s="4" t="s">
        <v>32</v>
      </c>
      <c r="J274" s="4" t="s">
        <v>5</v>
      </c>
      <c r="K274" s="4" t="s">
        <v>18</v>
      </c>
      <c r="L274" s="4">
        <v>0</v>
      </c>
      <c r="M274" s="4">
        <v>0</v>
      </c>
      <c r="N274" s="4">
        <v>40</v>
      </c>
      <c r="O274" s="4" t="s">
        <v>7</v>
      </c>
      <c r="P274" s="4" t="s">
        <v>8</v>
      </c>
      <c r="Q274" s="4" t="e">
        <f>IF(Tabela2[[#This Row],[sex]]="Female",Tabela2[[#This Row],[hours-per-week]],NA())</f>
        <v>#N/A</v>
      </c>
      <c r="R274" s="4">
        <f>IF(Tabela2[[#This Row],[sex]]="Male",Tabela2[[#This Row],[hours-per-week]],NA())</f>
        <v>40</v>
      </c>
    </row>
    <row r="275" spans="1:18">
      <c r="A275" s="3" t="s">
        <v>366</v>
      </c>
      <c r="B275" s="4">
        <v>47</v>
      </c>
      <c r="C275" s="4" t="s">
        <v>0</v>
      </c>
      <c r="D275" s="4">
        <v>191957</v>
      </c>
      <c r="E275" s="4" t="s">
        <v>26</v>
      </c>
      <c r="F275" s="4">
        <v>13</v>
      </c>
      <c r="G275" s="4" t="s">
        <v>29</v>
      </c>
      <c r="H275" s="4" t="s">
        <v>10</v>
      </c>
      <c r="I275" s="4" t="s">
        <v>32</v>
      </c>
      <c r="J275" s="4" t="s">
        <v>23</v>
      </c>
      <c r="K275" s="4" t="s">
        <v>18</v>
      </c>
      <c r="L275" s="4">
        <v>0</v>
      </c>
      <c r="M275" s="4">
        <v>0</v>
      </c>
      <c r="N275" s="4">
        <v>40</v>
      </c>
      <c r="O275" s="4" t="s">
        <v>7</v>
      </c>
      <c r="P275" s="4" t="s">
        <v>19</v>
      </c>
      <c r="Q275" s="4" t="e">
        <f>IF(Tabela2[[#This Row],[sex]]="Female",Tabela2[[#This Row],[hours-per-week]],NA())</f>
        <v>#N/A</v>
      </c>
      <c r="R275" s="4">
        <f>IF(Tabela2[[#This Row],[sex]]="Male",Tabela2[[#This Row],[hours-per-week]],NA())</f>
        <v>40</v>
      </c>
    </row>
    <row r="276" spans="1:18">
      <c r="A276" s="3" t="s">
        <v>367</v>
      </c>
      <c r="B276" s="4">
        <v>21</v>
      </c>
      <c r="C276" s="4" t="s">
        <v>0</v>
      </c>
      <c r="D276" s="4">
        <v>162228</v>
      </c>
      <c r="E276" s="4" t="s">
        <v>12</v>
      </c>
      <c r="F276" s="4">
        <v>10</v>
      </c>
      <c r="G276" s="4" t="s">
        <v>2</v>
      </c>
      <c r="H276" s="4" t="s">
        <v>33</v>
      </c>
      <c r="I276" s="4" t="s">
        <v>4</v>
      </c>
      <c r="J276" s="4" t="s">
        <v>5</v>
      </c>
      <c r="K276" s="4" t="s">
        <v>18</v>
      </c>
      <c r="L276" s="4">
        <v>0</v>
      </c>
      <c r="M276" s="4">
        <v>0</v>
      </c>
      <c r="N276" s="4">
        <v>40</v>
      </c>
      <c r="O276" s="4" t="s">
        <v>7</v>
      </c>
      <c r="P276" s="4" t="s">
        <v>8</v>
      </c>
      <c r="Q276" s="4" t="e">
        <f>IF(Tabela2[[#This Row],[sex]]="Female",Tabela2[[#This Row],[hours-per-week]],NA())</f>
        <v>#N/A</v>
      </c>
      <c r="R276" s="4">
        <f>IF(Tabela2[[#This Row],[sex]]="Male",Tabela2[[#This Row],[hours-per-week]],NA())</f>
        <v>40</v>
      </c>
    </row>
    <row r="277" spans="1:18">
      <c r="A277" s="3" t="s">
        <v>368</v>
      </c>
      <c r="B277" s="4">
        <v>64</v>
      </c>
      <c r="C277" s="4" t="s">
        <v>20</v>
      </c>
      <c r="D277" s="4">
        <v>182866</v>
      </c>
      <c r="E277" s="4" t="s">
        <v>28</v>
      </c>
      <c r="F277" s="4">
        <v>9</v>
      </c>
      <c r="G277" s="4" t="s">
        <v>47</v>
      </c>
      <c r="H277" s="4" t="s">
        <v>3</v>
      </c>
      <c r="I277" s="4" t="s">
        <v>35</v>
      </c>
      <c r="J277" s="4" t="s">
        <v>5</v>
      </c>
      <c r="K277" s="4" t="s">
        <v>6</v>
      </c>
      <c r="L277" s="4">
        <v>0</v>
      </c>
      <c r="M277" s="4">
        <v>0</v>
      </c>
      <c r="N277" s="4">
        <v>40</v>
      </c>
      <c r="O277" s="4" t="s">
        <v>7</v>
      </c>
      <c r="P277" s="4" t="s">
        <v>8</v>
      </c>
      <c r="Q277" s="4">
        <f>IF(Tabela2[[#This Row],[sex]]="Female",Tabela2[[#This Row],[hours-per-week]],NA())</f>
        <v>40</v>
      </c>
      <c r="R277" s="4" t="e">
        <f>IF(Tabela2[[#This Row],[sex]]="Male",Tabela2[[#This Row],[hours-per-week]],NA())</f>
        <v>#N/A</v>
      </c>
    </row>
    <row r="278" spans="1:18">
      <c r="A278" s="3" t="s">
        <v>369</v>
      </c>
      <c r="B278" s="4">
        <v>39</v>
      </c>
      <c r="C278" s="4" t="s">
        <v>41</v>
      </c>
      <c r="D278" s="4">
        <v>432555</v>
      </c>
      <c r="E278" s="4" t="s">
        <v>28</v>
      </c>
      <c r="F278" s="4">
        <v>9</v>
      </c>
      <c r="G278" s="4" t="s">
        <v>29</v>
      </c>
      <c r="H278" s="4" t="s">
        <v>33</v>
      </c>
      <c r="I278" s="4" t="s">
        <v>32</v>
      </c>
      <c r="J278" s="4" t="s">
        <v>23</v>
      </c>
      <c r="K278" s="4" t="s">
        <v>18</v>
      </c>
      <c r="L278" s="4">
        <v>0</v>
      </c>
      <c r="M278" s="4">
        <v>1628</v>
      </c>
      <c r="N278" s="4">
        <v>40</v>
      </c>
      <c r="O278" s="4" t="s">
        <v>7</v>
      </c>
      <c r="P278" s="4" t="s">
        <v>8</v>
      </c>
      <c r="Q278" s="4" t="e">
        <f>IF(Tabela2[[#This Row],[sex]]="Female",Tabela2[[#This Row],[hours-per-week]],NA())</f>
        <v>#N/A</v>
      </c>
      <c r="R278" s="4">
        <f>IF(Tabela2[[#This Row],[sex]]="Male",Tabela2[[#This Row],[hours-per-week]],NA())</f>
        <v>40</v>
      </c>
    </row>
    <row r="279" spans="1:18">
      <c r="A279" s="3" t="s">
        <v>370</v>
      </c>
      <c r="B279" s="4">
        <v>26</v>
      </c>
      <c r="C279" s="4" t="s">
        <v>0</v>
      </c>
      <c r="D279" s="4">
        <v>56929</v>
      </c>
      <c r="E279" s="4" t="s">
        <v>26</v>
      </c>
      <c r="F279" s="4">
        <v>13</v>
      </c>
      <c r="G279" s="4" t="s">
        <v>2</v>
      </c>
      <c r="H279" s="4" t="s">
        <v>46</v>
      </c>
      <c r="I279" s="4" t="s">
        <v>11</v>
      </c>
      <c r="J279" s="4" t="s">
        <v>23</v>
      </c>
      <c r="K279" s="4" t="s">
        <v>18</v>
      </c>
      <c r="L279" s="4">
        <v>0</v>
      </c>
      <c r="M279" s="4">
        <v>0</v>
      </c>
      <c r="N279" s="4">
        <v>50</v>
      </c>
      <c r="O279" s="4" t="s">
        <v>37</v>
      </c>
      <c r="P279" s="4" t="s">
        <v>8</v>
      </c>
      <c r="Q279" s="4" t="e">
        <f>IF(Tabela2[[#This Row],[sex]]="Female",Tabela2[[#This Row],[hours-per-week]],NA())</f>
        <v>#N/A</v>
      </c>
      <c r="R279" s="4">
        <f>IF(Tabela2[[#This Row],[sex]]="Male",Tabela2[[#This Row],[hours-per-week]],NA())</f>
        <v>50</v>
      </c>
    </row>
    <row r="280" spans="1:18">
      <c r="A280" s="3" t="s">
        <v>371</v>
      </c>
      <c r="B280" s="4">
        <v>22</v>
      </c>
      <c r="C280" s="4" t="s">
        <v>0</v>
      </c>
      <c r="D280" s="4">
        <v>190968</v>
      </c>
      <c r="E280" s="4" t="s">
        <v>28</v>
      </c>
      <c r="F280" s="4">
        <v>9</v>
      </c>
      <c r="G280" s="4" t="s">
        <v>29</v>
      </c>
      <c r="H280" s="4" t="s">
        <v>3</v>
      </c>
      <c r="I280" s="4" t="s">
        <v>32</v>
      </c>
      <c r="J280" s="4" t="s">
        <v>5</v>
      </c>
      <c r="K280" s="4" t="s">
        <v>18</v>
      </c>
      <c r="L280" s="4">
        <v>0</v>
      </c>
      <c r="M280" s="4">
        <v>0</v>
      </c>
      <c r="N280" s="4">
        <v>40</v>
      </c>
      <c r="O280" s="4" t="s">
        <v>7</v>
      </c>
      <c r="P280" s="4" t="s">
        <v>8</v>
      </c>
      <c r="Q280" s="4" t="e">
        <f>IF(Tabela2[[#This Row],[sex]]="Female",Tabela2[[#This Row],[hours-per-week]],NA())</f>
        <v>#N/A</v>
      </c>
      <c r="R280" s="4">
        <f>IF(Tabela2[[#This Row],[sex]]="Male",Tabela2[[#This Row],[hours-per-week]],NA())</f>
        <v>40</v>
      </c>
    </row>
    <row r="281" spans="1:18">
      <c r="A281" s="3" t="s">
        <v>372</v>
      </c>
      <c r="B281" s="4">
        <v>30</v>
      </c>
      <c r="C281" s="4" t="s">
        <v>0</v>
      </c>
      <c r="D281" s="4">
        <v>206051</v>
      </c>
      <c r="E281" s="4" t="s">
        <v>28</v>
      </c>
      <c r="F281" s="4">
        <v>9</v>
      </c>
      <c r="G281" s="4" t="s">
        <v>29</v>
      </c>
      <c r="H281" s="4" t="s">
        <v>38</v>
      </c>
      <c r="I281" s="4" t="s">
        <v>32</v>
      </c>
      <c r="J281" s="4" t="s">
        <v>5</v>
      </c>
      <c r="K281" s="4" t="s">
        <v>18</v>
      </c>
      <c r="L281" s="4">
        <v>0</v>
      </c>
      <c r="M281" s="4">
        <v>0</v>
      </c>
      <c r="N281" s="4">
        <v>40</v>
      </c>
      <c r="O281" s="4" t="s">
        <v>7</v>
      </c>
      <c r="P281" s="4" t="s">
        <v>8</v>
      </c>
      <c r="Q281" s="4" t="e">
        <f>IF(Tabela2[[#This Row],[sex]]="Female",Tabela2[[#This Row],[hours-per-week]],NA())</f>
        <v>#N/A</v>
      </c>
      <c r="R281" s="4">
        <f>IF(Tabela2[[#This Row],[sex]]="Male",Tabela2[[#This Row],[hours-per-week]],NA())</f>
        <v>40</v>
      </c>
    </row>
    <row r="282" spans="1:18">
      <c r="A282" s="3" t="s">
        <v>373</v>
      </c>
      <c r="B282" s="4">
        <v>30</v>
      </c>
      <c r="C282" s="4" t="s">
        <v>0</v>
      </c>
      <c r="D282" s="4">
        <v>188398</v>
      </c>
      <c r="E282" s="4" t="s">
        <v>28</v>
      </c>
      <c r="F282" s="4">
        <v>9</v>
      </c>
      <c r="G282" s="4" t="s">
        <v>56</v>
      </c>
      <c r="H282" s="4" t="s">
        <v>33</v>
      </c>
      <c r="I282" s="4" t="s">
        <v>11</v>
      </c>
      <c r="J282" s="4" t="s">
        <v>5</v>
      </c>
      <c r="K282" s="4" t="s">
        <v>6</v>
      </c>
      <c r="L282" s="4">
        <v>0</v>
      </c>
      <c r="M282" s="4">
        <v>0</v>
      </c>
      <c r="N282" s="4">
        <v>30</v>
      </c>
      <c r="O282" s="4" t="s">
        <v>7</v>
      </c>
      <c r="P282" s="4" t="s">
        <v>8</v>
      </c>
      <c r="Q282" s="4">
        <f>IF(Tabela2[[#This Row],[sex]]="Female",Tabela2[[#This Row],[hours-per-week]],NA())</f>
        <v>30</v>
      </c>
      <c r="R282" s="4" t="e">
        <f>IF(Tabela2[[#This Row],[sex]]="Male",Tabela2[[#This Row],[hours-per-week]],NA())</f>
        <v>#N/A</v>
      </c>
    </row>
    <row r="283" spans="1:18">
      <c r="A283" s="3" t="s">
        <v>374</v>
      </c>
      <c r="B283" s="4">
        <v>49</v>
      </c>
      <c r="C283" s="4" t="s">
        <v>0</v>
      </c>
      <c r="D283" s="4">
        <v>147002</v>
      </c>
      <c r="E283" s="4" t="s">
        <v>28</v>
      </c>
      <c r="F283" s="4">
        <v>9</v>
      </c>
      <c r="G283" s="4" t="s">
        <v>2</v>
      </c>
      <c r="H283" s="4" t="s">
        <v>16</v>
      </c>
      <c r="I283" s="4" t="s">
        <v>35</v>
      </c>
      <c r="J283" s="4" t="s">
        <v>5</v>
      </c>
      <c r="K283" s="4" t="s">
        <v>6</v>
      </c>
      <c r="L283" s="4">
        <v>0</v>
      </c>
      <c r="M283" s="4">
        <v>0</v>
      </c>
      <c r="N283" s="4">
        <v>40</v>
      </c>
      <c r="O283" s="4" t="s">
        <v>58</v>
      </c>
      <c r="P283" s="4" t="s">
        <v>8</v>
      </c>
      <c r="Q283" s="4">
        <f>IF(Tabela2[[#This Row],[sex]]="Female",Tabela2[[#This Row],[hours-per-week]],NA())</f>
        <v>40</v>
      </c>
      <c r="R283" s="4" t="e">
        <f>IF(Tabela2[[#This Row],[sex]]="Male",Tabela2[[#This Row],[hours-per-week]],NA())</f>
        <v>#N/A</v>
      </c>
    </row>
    <row r="284" spans="1:18">
      <c r="A284" s="3" t="s">
        <v>375</v>
      </c>
      <c r="B284" s="4">
        <v>22</v>
      </c>
      <c r="C284" s="4" t="s">
        <v>0</v>
      </c>
      <c r="D284" s="4">
        <v>72310</v>
      </c>
      <c r="E284" s="4" t="s">
        <v>1</v>
      </c>
      <c r="F284" s="4">
        <v>7</v>
      </c>
      <c r="G284" s="4" t="s">
        <v>2</v>
      </c>
      <c r="H284" s="4" t="s">
        <v>38</v>
      </c>
      <c r="I284" s="4" t="s">
        <v>11</v>
      </c>
      <c r="J284" s="4" t="s">
        <v>5</v>
      </c>
      <c r="K284" s="4" t="s">
        <v>18</v>
      </c>
      <c r="L284" s="4">
        <v>0</v>
      </c>
      <c r="M284" s="4">
        <v>0</v>
      </c>
      <c r="N284" s="4">
        <v>65</v>
      </c>
      <c r="O284" s="4" t="s">
        <v>7</v>
      </c>
      <c r="P284" s="4" t="s">
        <v>8</v>
      </c>
      <c r="Q284" s="4" t="e">
        <f>IF(Tabela2[[#This Row],[sex]]="Female",Tabela2[[#This Row],[hours-per-week]],NA())</f>
        <v>#N/A</v>
      </c>
      <c r="R284" s="4">
        <f>IF(Tabela2[[#This Row],[sex]]="Male",Tabela2[[#This Row],[hours-per-week]],NA())</f>
        <v>65</v>
      </c>
    </row>
    <row r="285" spans="1:18">
      <c r="A285" s="3" t="s">
        <v>376</v>
      </c>
      <c r="B285" s="4">
        <v>46</v>
      </c>
      <c r="C285" s="4" t="s">
        <v>20</v>
      </c>
      <c r="D285" s="4">
        <v>226871</v>
      </c>
      <c r="E285" s="4" t="s">
        <v>26</v>
      </c>
      <c r="F285" s="4">
        <v>13</v>
      </c>
      <c r="G285" s="4" t="s">
        <v>15</v>
      </c>
      <c r="H285" s="4" t="s">
        <v>55</v>
      </c>
      <c r="I285" s="4" t="s">
        <v>11</v>
      </c>
      <c r="J285" s="4" t="s">
        <v>23</v>
      </c>
      <c r="K285" s="4" t="s">
        <v>18</v>
      </c>
      <c r="L285" s="4">
        <v>0</v>
      </c>
      <c r="M285" s="4">
        <v>0</v>
      </c>
      <c r="N285" s="4">
        <v>50</v>
      </c>
      <c r="O285" s="4" t="s">
        <v>7</v>
      </c>
      <c r="P285" s="4" t="s">
        <v>19</v>
      </c>
      <c r="Q285" s="4" t="e">
        <f>IF(Tabela2[[#This Row],[sex]]="Female",Tabela2[[#This Row],[hours-per-week]],NA())</f>
        <v>#N/A</v>
      </c>
      <c r="R285" s="4">
        <f>IF(Tabela2[[#This Row],[sex]]="Male",Tabela2[[#This Row],[hours-per-week]],NA())</f>
        <v>50</v>
      </c>
    </row>
    <row r="286" spans="1:18">
      <c r="A286" s="3" t="s">
        <v>377</v>
      </c>
      <c r="B286" s="4">
        <v>55</v>
      </c>
      <c r="C286" s="4" t="s">
        <v>0</v>
      </c>
      <c r="D286" s="4">
        <v>23789</v>
      </c>
      <c r="E286" s="4" t="s">
        <v>28</v>
      </c>
      <c r="F286" s="4">
        <v>9</v>
      </c>
      <c r="G286" s="4" t="s">
        <v>15</v>
      </c>
      <c r="H286" s="4" t="s">
        <v>46</v>
      </c>
      <c r="I286" s="4" t="s">
        <v>11</v>
      </c>
      <c r="J286" s="4" t="s">
        <v>5</v>
      </c>
      <c r="K286" s="4" t="s">
        <v>6</v>
      </c>
      <c r="L286" s="4">
        <v>0</v>
      </c>
      <c r="M286" s="4">
        <v>0</v>
      </c>
      <c r="N286" s="4">
        <v>40</v>
      </c>
      <c r="O286" s="4" t="s">
        <v>7</v>
      </c>
      <c r="P286" s="4" t="s">
        <v>8</v>
      </c>
      <c r="Q286" s="4">
        <f>IF(Tabela2[[#This Row],[sex]]="Female",Tabela2[[#This Row],[hours-per-week]],NA())</f>
        <v>40</v>
      </c>
      <c r="R286" s="4" t="e">
        <f>IF(Tabela2[[#This Row],[sex]]="Male",Tabela2[[#This Row],[hours-per-week]],NA())</f>
        <v>#N/A</v>
      </c>
    </row>
    <row r="287" spans="1:18">
      <c r="A287" s="3" t="s">
        <v>378</v>
      </c>
      <c r="B287" s="4">
        <v>41</v>
      </c>
      <c r="C287" s="4" t="s">
        <v>0</v>
      </c>
      <c r="D287" s="4">
        <v>219591</v>
      </c>
      <c r="E287" s="4" t="s">
        <v>28</v>
      </c>
      <c r="F287" s="4">
        <v>9</v>
      </c>
      <c r="G287" s="4" t="s">
        <v>2</v>
      </c>
      <c r="H287" s="4" t="s">
        <v>33</v>
      </c>
      <c r="I287" s="4" t="s">
        <v>4</v>
      </c>
      <c r="J287" s="4" t="s">
        <v>5</v>
      </c>
      <c r="K287" s="4" t="s">
        <v>18</v>
      </c>
      <c r="L287" s="4">
        <v>0</v>
      </c>
      <c r="M287" s="4">
        <v>0</v>
      </c>
      <c r="N287" s="4">
        <v>40</v>
      </c>
      <c r="O287" s="4" t="s">
        <v>7</v>
      </c>
      <c r="P287" s="4" t="s">
        <v>8</v>
      </c>
      <c r="Q287" s="4" t="e">
        <f>IF(Tabela2[[#This Row],[sex]]="Female",Tabela2[[#This Row],[hours-per-week]],NA())</f>
        <v>#N/A</v>
      </c>
      <c r="R287" s="4">
        <f>IF(Tabela2[[#This Row],[sex]]="Male",Tabela2[[#This Row],[hours-per-week]],NA())</f>
        <v>40</v>
      </c>
    </row>
    <row r="288" spans="1:18">
      <c r="A288" s="3" t="s">
        <v>379</v>
      </c>
      <c r="B288" s="4">
        <v>65</v>
      </c>
      <c r="C288" s="4" t="s">
        <v>0</v>
      </c>
      <c r="D288" s="4">
        <v>150095</v>
      </c>
      <c r="E288" s="4" t="s">
        <v>26</v>
      </c>
      <c r="F288" s="4">
        <v>13</v>
      </c>
      <c r="G288" s="4" t="s">
        <v>29</v>
      </c>
      <c r="H288" s="4" t="s">
        <v>46</v>
      </c>
      <c r="I288" s="4" t="s">
        <v>32</v>
      </c>
      <c r="J288" s="4" t="s">
        <v>5</v>
      </c>
      <c r="K288" s="4" t="s">
        <v>18</v>
      </c>
      <c r="L288" s="4">
        <v>0</v>
      </c>
      <c r="M288" s="4">
        <v>0</v>
      </c>
      <c r="N288" s="4">
        <v>40</v>
      </c>
      <c r="O288" s="4" t="s">
        <v>7</v>
      </c>
      <c r="P288" s="4" t="s">
        <v>19</v>
      </c>
      <c r="Q288" s="4" t="e">
        <f>IF(Tabela2[[#This Row],[sex]]="Female",Tabela2[[#This Row],[hours-per-week]],NA())</f>
        <v>#N/A</v>
      </c>
      <c r="R288" s="4">
        <f>IF(Tabela2[[#This Row],[sex]]="Male",Tabela2[[#This Row],[hours-per-week]],NA())</f>
        <v>40</v>
      </c>
    </row>
    <row r="289" spans="1:18">
      <c r="A289" s="3" t="s">
        <v>380</v>
      </c>
      <c r="B289" s="4">
        <v>38</v>
      </c>
      <c r="C289" s="4" t="s">
        <v>0</v>
      </c>
      <c r="D289" s="4">
        <v>146178</v>
      </c>
      <c r="E289" s="4" t="s">
        <v>28</v>
      </c>
      <c r="F289" s="4">
        <v>9</v>
      </c>
      <c r="G289" s="4" t="s">
        <v>2</v>
      </c>
      <c r="H289" s="4" t="s">
        <v>16</v>
      </c>
      <c r="I289" s="4" t="s">
        <v>35</v>
      </c>
      <c r="J289" s="4" t="s">
        <v>23</v>
      </c>
      <c r="K289" s="4" t="s">
        <v>6</v>
      </c>
      <c r="L289" s="4">
        <v>0</v>
      </c>
      <c r="M289" s="4">
        <v>0</v>
      </c>
      <c r="N289" s="4">
        <v>40</v>
      </c>
      <c r="O289" s="4" t="s">
        <v>7</v>
      </c>
      <c r="P289" s="4" t="s">
        <v>8</v>
      </c>
      <c r="Q289" s="4">
        <f>IF(Tabela2[[#This Row],[sex]]="Female",Tabela2[[#This Row],[hours-per-week]],NA())</f>
        <v>40</v>
      </c>
      <c r="R289" s="4" t="e">
        <f>IF(Tabela2[[#This Row],[sex]]="Male",Tabela2[[#This Row],[hours-per-week]],NA())</f>
        <v>#N/A</v>
      </c>
    </row>
    <row r="290" spans="1:18">
      <c r="A290" s="3" t="s">
        <v>381</v>
      </c>
      <c r="B290" s="4">
        <v>75</v>
      </c>
      <c r="C290" s="4" t="s">
        <v>49</v>
      </c>
      <c r="D290" s="4">
        <v>125197</v>
      </c>
      <c r="E290" s="4" t="s">
        <v>28</v>
      </c>
      <c r="F290" s="4">
        <v>9</v>
      </c>
      <c r="G290" s="4" t="s">
        <v>29</v>
      </c>
      <c r="H290" s="4" t="s">
        <v>33</v>
      </c>
      <c r="I290" s="4" t="s">
        <v>32</v>
      </c>
      <c r="J290" s="4" t="s">
        <v>5</v>
      </c>
      <c r="K290" s="4" t="s">
        <v>18</v>
      </c>
      <c r="L290" s="4">
        <v>0</v>
      </c>
      <c r="M290" s="4">
        <v>0</v>
      </c>
      <c r="N290" s="4">
        <v>26</v>
      </c>
      <c r="O290" s="4" t="s">
        <v>7</v>
      </c>
      <c r="P290" s="4" t="s">
        <v>8</v>
      </c>
      <c r="Q290" s="4" t="e">
        <f>IF(Tabela2[[#This Row],[sex]]="Female",Tabela2[[#This Row],[hours-per-week]],NA())</f>
        <v>#N/A</v>
      </c>
      <c r="R290" s="4">
        <f>IF(Tabela2[[#This Row],[sex]]="Male",Tabela2[[#This Row],[hours-per-week]],NA())</f>
        <v>26</v>
      </c>
    </row>
    <row r="291" spans="1:18">
      <c r="A291" s="3" t="s">
        <v>382</v>
      </c>
      <c r="B291" s="4">
        <v>68</v>
      </c>
      <c r="C291" s="4" t="s">
        <v>0</v>
      </c>
      <c r="D291" s="4">
        <v>165017</v>
      </c>
      <c r="E291" s="4" t="s">
        <v>28</v>
      </c>
      <c r="F291" s="4">
        <v>9</v>
      </c>
      <c r="G291" s="4" t="s">
        <v>29</v>
      </c>
      <c r="H291" s="4" t="s">
        <v>27</v>
      </c>
      <c r="I291" s="4" t="s">
        <v>32</v>
      </c>
      <c r="J291" s="4" t="s">
        <v>5</v>
      </c>
      <c r="K291" s="4" t="s">
        <v>18</v>
      </c>
      <c r="L291" s="4">
        <v>0</v>
      </c>
      <c r="M291" s="4">
        <v>0</v>
      </c>
      <c r="N291" s="4">
        <v>40</v>
      </c>
      <c r="O291" s="4" t="s">
        <v>67</v>
      </c>
      <c r="P291" s="4" t="s">
        <v>19</v>
      </c>
      <c r="Q291" s="4" t="e">
        <f>IF(Tabela2[[#This Row],[sex]]="Female",Tabela2[[#This Row],[hours-per-week]],NA())</f>
        <v>#N/A</v>
      </c>
      <c r="R291" s="4">
        <f>IF(Tabela2[[#This Row],[sex]]="Male",Tabela2[[#This Row],[hours-per-week]],NA())</f>
        <v>40</v>
      </c>
    </row>
    <row r="292" spans="1:18">
      <c r="A292" s="3" t="s">
        <v>383</v>
      </c>
      <c r="B292" s="4">
        <v>43</v>
      </c>
      <c r="C292" s="4" t="s">
        <v>0</v>
      </c>
      <c r="D292" s="4">
        <v>373403</v>
      </c>
      <c r="E292" s="4" t="s">
        <v>44</v>
      </c>
      <c r="F292" s="4">
        <v>11</v>
      </c>
      <c r="G292" s="4" t="s">
        <v>29</v>
      </c>
      <c r="H292" s="4" t="s">
        <v>16</v>
      </c>
      <c r="I292" s="4" t="s">
        <v>32</v>
      </c>
      <c r="J292" s="4" t="s">
        <v>5</v>
      </c>
      <c r="K292" s="4" t="s">
        <v>18</v>
      </c>
      <c r="L292" s="4">
        <v>0</v>
      </c>
      <c r="M292" s="4">
        <v>0</v>
      </c>
      <c r="N292" s="4">
        <v>40</v>
      </c>
      <c r="O292" s="4" t="s">
        <v>7</v>
      </c>
      <c r="P292" s="4" t="s">
        <v>8</v>
      </c>
      <c r="Q292" s="4" t="e">
        <f>IF(Tabela2[[#This Row],[sex]]="Female",Tabela2[[#This Row],[hours-per-week]],NA())</f>
        <v>#N/A</v>
      </c>
      <c r="R292" s="4">
        <f>IF(Tabela2[[#This Row],[sex]]="Male",Tabela2[[#This Row],[hours-per-week]],NA())</f>
        <v>40</v>
      </c>
    </row>
    <row r="293" spans="1:18">
      <c r="A293" s="3" t="s">
        <v>384</v>
      </c>
      <c r="B293" s="4">
        <v>20</v>
      </c>
      <c r="C293" s="4" t="s">
        <v>0</v>
      </c>
      <c r="D293" s="4">
        <v>38620</v>
      </c>
      <c r="E293" s="4" t="s">
        <v>12</v>
      </c>
      <c r="F293" s="4">
        <v>10</v>
      </c>
      <c r="G293" s="4" t="s">
        <v>2</v>
      </c>
      <c r="H293" s="4" t="s">
        <v>3</v>
      </c>
      <c r="I293" s="4" t="s">
        <v>4</v>
      </c>
      <c r="J293" s="4" t="s">
        <v>5</v>
      </c>
      <c r="K293" s="4" t="s">
        <v>18</v>
      </c>
      <c r="L293" s="4">
        <v>0</v>
      </c>
      <c r="M293" s="4">
        <v>0</v>
      </c>
      <c r="N293" s="4">
        <v>20</v>
      </c>
      <c r="O293" s="4" t="s">
        <v>7</v>
      </c>
      <c r="P293" s="4" t="s">
        <v>8</v>
      </c>
      <c r="Q293" s="4" t="e">
        <f>IF(Tabela2[[#This Row],[sex]]="Female",Tabela2[[#This Row],[hours-per-week]],NA())</f>
        <v>#N/A</v>
      </c>
      <c r="R293" s="4">
        <f>IF(Tabela2[[#This Row],[sex]]="Male",Tabela2[[#This Row],[hours-per-week]],NA())</f>
        <v>20</v>
      </c>
    </row>
    <row r="294" spans="1:18">
      <c r="A294" s="3" t="s">
        <v>385</v>
      </c>
      <c r="B294" s="4">
        <v>32</v>
      </c>
      <c r="C294" s="4" t="s">
        <v>0</v>
      </c>
      <c r="D294" s="4">
        <v>192039</v>
      </c>
      <c r="E294" s="4" t="s">
        <v>44</v>
      </c>
      <c r="F294" s="4">
        <v>11</v>
      </c>
      <c r="G294" s="4" t="s">
        <v>29</v>
      </c>
      <c r="H294" s="4" t="s">
        <v>27</v>
      </c>
      <c r="I294" s="4" t="s">
        <v>31</v>
      </c>
      <c r="J294" s="4" t="s">
        <v>5</v>
      </c>
      <c r="K294" s="4" t="s">
        <v>6</v>
      </c>
      <c r="L294" s="4">
        <v>0</v>
      </c>
      <c r="M294" s="4">
        <v>0</v>
      </c>
      <c r="N294" s="4">
        <v>40</v>
      </c>
      <c r="O294" s="4" t="s">
        <v>7</v>
      </c>
      <c r="P294" s="4" t="s">
        <v>19</v>
      </c>
      <c r="Q294" s="4">
        <f>IF(Tabela2[[#This Row],[sex]]="Female",Tabela2[[#This Row],[hours-per-week]],NA())</f>
        <v>40</v>
      </c>
      <c r="R294" s="4" t="e">
        <f>IF(Tabela2[[#This Row],[sex]]="Male",Tabela2[[#This Row],[hours-per-week]],NA())</f>
        <v>#N/A</v>
      </c>
    </row>
    <row r="295" spans="1:18">
      <c r="A295" s="3" t="s">
        <v>386</v>
      </c>
      <c r="B295" s="4">
        <v>31</v>
      </c>
      <c r="C295" s="4" t="s">
        <v>0</v>
      </c>
      <c r="D295" s="4">
        <v>200117</v>
      </c>
      <c r="E295" s="4" t="s">
        <v>28</v>
      </c>
      <c r="F295" s="4">
        <v>9</v>
      </c>
      <c r="G295" s="4" t="s">
        <v>15</v>
      </c>
      <c r="H295" s="4" t="s">
        <v>33</v>
      </c>
      <c r="I295" s="4" t="s">
        <v>11</v>
      </c>
      <c r="J295" s="4" t="s">
        <v>5</v>
      </c>
      <c r="K295" s="4" t="s">
        <v>18</v>
      </c>
      <c r="L295" s="4">
        <v>0</v>
      </c>
      <c r="M295" s="4">
        <v>0</v>
      </c>
      <c r="N295" s="4">
        <v>40</v>
      </c>
      <c r="O295" s="4" t="s">
        <v>7</v>
      </c>
      <c r="P295" s="4" t="s">
        <v>8</v>
      </c>
      <c r="Q295" s="4" t="e">
        <f>IF(Tabela2[[#This Row],[sex]]="Female",Tabela2[[#This Row],[hours-per-week]],NA())</f>
        <v>#N/A</v>
      </c>
      <c r="R295" s="4">
        <f>IF(Tabela2[[#This Row],[sex]]="Male",Tabela2[[#This Row],[hours-per-week]],NA())</f>
        <v>40</v>
      </c>
    </row>
    <row r="296" spans="1:18">
      <c r="A296" s="3" t="s">
        <v>387</v>
      </c>
      <c r="B296" s="4">
        <v>45</v>
      </c>
      <c r="C296" s="4" t="s">
        <v>0</v>
      </c>
      <c r="D296" s="4">
        <v>200471</v>
      </c>
      <c r="E296" s="4" t="s">
        <v>28</v>
      </c>
      <c r="F296" s="4">
        <v>9</v>
      </c>
      <c r="G296" s="4" t="s">
        <v>29</v>
      </c>
      <c r="H296" s="4" t="s">
        <v>33</v>
      </c>
      <c r="I296" s="4" t="s">
        <v>32</v>
      </c>
      <c r="J296" s="4" t="s">
        <v>5</v>
      </c>
      <c r="K296" s="4" t="s">
        <v>18</v>
      </c>
      <c r="L296" s="4">
        <v>0</v>
      </c>
      <c r="M296" s="4">
        <v>0</v>
      </c>
      <c r="N296" s="4">
        <v>35</v>
      </c>
      <c r="O296" s="4" t="s">
        <v>7</v>
      </c>
      <c r="P296" s="4" t="s">
        <v>8</v>
      </c>
      <c r="Q296" s="4" t="e">
        <f>IF(Tabela2[[#This Row],[sex]]="Female",Tabela2[[#This Row],[hours-per-week]],NA())</f>
        <v>#N/A</v>
      </c>
      <c r="R296" s="4">
        <f>IF(Tabela2[[#This Row],[sex]]="Male",Tabela2[[#This Row],[hours-per-week]],NA())</f>
        <v>35</v>
      </c>
    </row>
    <row r="297" spans="1:18">
      <c r="A297" s="3" t="s">
        <v>388</v>
      </c>
      <c r="B297" s="4">
        <v>23</v>
      </c>
      <c r="C297" s="4" t="s">
        <v>0</v>
      </c>
      <c r="D297" s="4">
        <v>112683</v>
      </c>
      <c r="E297" s="4" t="s">
        <v>12</v>
      </c>
      <c r="F297" s="4">
        <v>10</v>
      </c>
      <c r="G297" s="4" t="s">
        <v>2</v>
      </c>
      <c r="H297" s="4" t="s">
        <v>10</v>
      </c>
      <c r="I297" s="4" t="s">
        <v>4</v>
      </c>
      <c r="J297" s="4" t="s">
        <v>5</v>
      </c>
      <c r="K297" s="4" t="s">
        <v>6</v>
      </c>
      <c r="L297" s="4">
        <v>0</v>
      </c>
      <c r="M297" s="4">
        <v>0</v>
      </c>
      <c r="N297" s="4">
        <v>12</v>
      </c>
      <c r="O297" s="4" t="s">
        <v>7</v>
      </c>
      <c r="P297" s="4" t="s">
        <v>8</v>
      </c>
      <c r="Q297" s="4">
        <f>IF(Tabela2[[#This Row],[sex]]="Female",Tabela2[[#This Row],[hours-per-week]],NA())</f>
        <v>12</v>
      </c>
      <c r="R297" s="4" t="e">
        <f>IF(Tabela2[[#This Row],[sex]]="Male",Tabela2[[#This Row],[hours-per-week]],NA())</f>
        <v>#N/A</v>
      </c>
    </row>
    <row r="298" spans="1:18">
      <c r="A298" s="3" t="s">
        <v>389</v>
      </c>
      <c r="B298" s="4">
        <v>34</v>
      </c>
      <c r="C298" s="4" t="s">
        <v>0</v>
      </c>
      <c r="D298" s="4">
        <v>345705</v>
      </c>
      <c r="E298" s="4" t="s">
        <v>28</v>
      </c>
      <c r="F298" s="4">
        <v>9</v>
      </c>
      <c r="G298" s="4" t="s">
        <v>15</v>
      </c>
      <c r="H298" s="4" t="s">
        <v>16</v>
      </c>
      <c r="I298" s="4" t="s">
        <v>11</v>
      </c>
      <c r="J298" s="4" t="s">
        <v>5</v>
      </c>
      <c r="K298" s="4" t="s">
        <v>18</v>
      </c>
      <c r="L298" s="4">
        <v>0</v>
      </c>
      <c r="M298" s="4">
        <v>1408</v>
      </c>
      <c r="N298" s="4">
        <v>38</v>
      </c>
      <c r="O298" s="4" t="s">
        <v>7</v>
      </c>
      <c r="P298" s="4" t="s">
        <v>8</v>
      </c>
      <c r="Q298" s="4" t="e">
        <f>IF(Tabela2[[#This Row],[sex]]="Female",Tabela2[[#This Row],[hours-per-week]],NA())</f>
        <v>#N/A</v>
      </c>
      <c r="R298" s="4">
        <f>IF(Tabela2[[#This Row],[sex]]="Male",Tabela2[[#This Row],[hours-per-week]],NA())</f>
        <v>38</v>
      </c>
    </row>
    <row r="299" spans="1:18">
      <c r="A299" s="3" t="s">
        <v>390</v>
      </c>
      <c r="B299" s="4">
        <v>36</v>
      </c>
      <c r="C299" s="4" t="s">
        <v>0</v>
      </c>
      <c r="D299" s="4">
        <v>201769</v>
      </c>
      <c r="E299" s="4" t="s">
        <v>1</v>
      </c>
      <c r="F299" s="4">
        <v>7</v>
      </c>
      <c r="G299" s="4" t="s">
        <v>2</v>
      </c>
      <c r="H299" s="4" t="s">
        <v>55</v>
      </c>
      <c r="I299" s="4" t="s">
        <v>11</v>
      </c>
      <c r="J299" s="4" t="s">
        <v>23</v>
      </c>
      <c r="K299" s="4" t="s">
        <v>18</v>
      </c>
      <c r="L299" s="4">
        <v>13550</v>
      </c>
      <c r="M299" s="4">
        <v>0</v>
      </c>
      <c r="N299" s="4">
        <v>40</v>
      </c>
      <c r="O299" s="4" t="s">
        <v>7</v>
      </c>
      <c r="P299" s="4" t="s">
        <v>19</v>
      </c>
      <c r="Q299" s="4" t="e">
        <f>IF(Tabela2[[#This Row],[sex]]="Female",Tabela2[[#This Row],[hours-per-week]],NA())</f>
        <v>#N/A</v>
      </c>
      <c r="R299" s="4">
        <f>IF(Tabela2[[#This Row],[sex]]="Male",Tabela2[[#This Row],[hours-per-week]],NA())</f>
        <v>40</v>
      </c>
    </row>
    <row r="300" spans="1:18">
      <c r="A300" s="3" t="s">
        <v>391</v>
      </c>
      <c r="B300" s="4">
        <v>42</v>
      </c>
      <c r="C300" s="4" t="s">
        <v>0</v>
      </c>
      <c r="D300" s="4">
        <v>99679</v>
      </c>
      <c r="E300" s="4" t="s">
        <v>28</v>
      </c>
      <c r="F300" s="4">
        <v>9</v>
      </c>
      <c r="G300" s="4" t="s">
        <v>29</v>
      </c>
      <c r="H300" s="4" t="s">
        <v>38</v>
      </c>
      <c r="I300" s="4" t="s">
        <v>32</v>
      </c>
      <c r="J300" s="4" t="s">
        <v>5</v>
      </c>
      <c r="K300" s="4" t="s">
        <v>18</v>
      </c>
      <c r="L300" s="4">
        <v>0</v>
      </c>
      <c r="M300" s="4">
        <v>0</v>
      </c>
      <c r="N300" s="4">
        <v>60</v>
      </c>
      <c r="O300" s="4" t="s">
        <v>7</v>
      </c>
      <c r="P300" s="4" t="s">
        <v>19</v>
      </c>
      <c r="Q300" s="4" t="e">
        <f>IF(Tabela2[[#This Row],[sex]]="Female",Tabela2[[#This Row],[hours-per-week]],NA())</f>
        <v>#N/A</v>
      </c>
      <c r="R300" s="4">
        <f>IF(Tabela2[[#This Row],[sex]]="Male",Tabela2[[#This Row],[hours-per-week]],NA())</f>
        <v>60</v>
      </c>
    </row>
    <row r="301" spans="1:18">
      <c r="A301" s="3" t="s">
        <v>392</v>
      </c>
      <c r="B301" s="4">
        <v>63</v>
      </c>
      <c r="C301" s="4" t="s">
        <v>40</v>
      </c>
      <c r="D301" s="4">
        <v>420629</v>
      </c>
      <c r="E301" s="4" t="s">
        <v>44</v>
      </c>
      <c r="F301" s="4">
        <v>11</v>
      </c>
      <c r="G301" s="4" t="s">
        <v>29</v>
      </c>
      <c r="H301" s="4" t="s">
        <v>3</v>
      </c>
      <c r="I301" s="4" t="s">
        <v>32</v>
      </c>
      <c r="J301" s="4" t="s">
        <v>5</v>
      </c>
      <c r="K301" s="4" t="s">
        <v>18</v>
      </c>
      <c r="L301" s="4">
        <v>0</v>
      </c>
      <c r="M301" s="4">
        <v>0</v>
      </c>
      <c r="N301" s="4">
        <v>45</v>
      </c>
      <c r="O301" s="4" t="s">
        <v>7</v>
      </c>
      <c r="P301" s="4" t="s">
        <v>8</v>
      </c>
      <c r="Q301" s="4" t="e">
        <f>IF(Tabela2[[#This Row],[sex]]="Female",Tabela2[[#This Row],[hours-per-week]],NA())</f>
        <v>#N/A</v>
      </c>
      <c r="R301" s="4">
        <f>IF(Tabela2[[#This Row],[sex]]="Male",Tabela2[[#This Row],[hours-per-week]],NA())</f>
        <v>45</v>
      </c>
    </row>
    <row r="302" spans="1:18">
      <c r="A302" s="3" t="s">
        <v>393</v>
      </c>
      <c r="B302" s="4">
        <v>44</v>
      </c>
      <c r="C302" s="4" t="s">
        <v>41</v>
      </c>
      <c r="D302" s="4">
        <v>102238</v>
      </c>
      <c r="E302" s="4" t="s">
        <v>28</v>
      </c>
      <c r="F302" s="4">
        <v>9</v>
      </c>
      <c r="G302" s="4" t="s">
        <v>15</v>
      </c>
      <c r="H302" s="4" t="s">
        <v>16</v>
      </c>
      <c r="I302" s="4" t="s">
        <v>35</v>
      </c>
      <c r="J302" s="4" t="s">
        <v>5</v>
      </c>
      <c r="K302" s="4" t="s">
        <v>18</v>
      </c>
      <c r="L302" s="4">
        <v>0</v>
      </c>
      <c r="M302" s="4">
        <v>0</v>
      </c>
      <c r="N302" s="4">
        <v>40</v>
      </c>
      <c r="O302" s="4" t="s">
        <v>7</v>
      </c>
      <c r="P302" s="4" t="s">
        <v>8</v>
      </c>
      <c r="Q302" s="4" t="e">
        <f>IF(Tabela2[[#This Row],[sex]]="Female",Tabela2[[#This Row],[hours-per-week]],NA())</f>
        <v>#N/A</v>
      </c>
      <c r="R302" s="4">
        <f>IF(Tabela2[[#This Row],[sex]]="Male",Tabela2[[#This Row],[hours-per-week]],NA())</f>
        <v>40</v>
      </c>
    </row>
    <row r="303" spans="1:18">
      <c r="A303" s="3" t="s">
        <v>394</v>
      </c>
      <c r="B303" s="4">
        <v>35</v>
      </c>
      <c r="C303" s="4" t="s">
        <v>0</v>
      </c>
      <c r="D303" s="4">
        <v>178322</v>
      </c>
      <c r="E303" s="4" t="s">
        <v>26</v>
      </c>
      <c r="F303" s="4">
        <v>13</v>
      </c>
      <c r="G303" s="4" t="s">
        <v>29</v>
      </c>
      <c r="H303" s="4" t="s">
        <v>10</v>
      </c>
      <c r="I303" s="4" t="s">
        <v>32</v>
      </c>
      <c r="J303" s="4" t="s">
        <v>5</v>
      </c>
      <c r="K303" s="4" t="s">
        <v>18</v>
      </c>
      <c r="L303" s="4">
        <v>0</v>
      </c>
      <c r="M303" s="4">
        <v>0</v>
      </c>
      <c r="N303" s="4">
        <v>40</v>
      </c>
      <c r="O303" s="4" t="s">
        <v>7</v>
      </c>
      <c r="P303" s="4" t="s">
        <v>19</v>
      </c>
      <c r="Q303" s="4" t="e">
        <f>IF(Tabela2[[#This Row],[sex]]="Female",Tabela2[[#This Row],[hours-per-week]],NA())</f>
        <v>#N/A</v>
      </c>
      <c r="R303" s="4">
        <f>IF(Tabela2[[#This Row],[sex]]="Male",Tabela2[[#This Row],[hours-per-week]],NA())</f>
        <v>40</v>
      </c>
    </row>
    <row r="304" spans="1:18">
      <c r="A304" s="3" t="s">
        <v>395</v>
      </c>
      <c r="B304" s="4">
        <v>30</v>
      </c>
      <c r="C304" s="4" t="s">
        <v>0</v>
      </c>
      <c r="D304" s="4">
        <v>149427</v>
      </c>
      <c r="E304" s="4" t="s">
        <v>64</v>
      </c>
      <c r="F304" s="4">
        <v>5</v>
      </c>
      <c r="G304" s="4" t="s">
        <v>2</v>
      </c>
      <c r="H304" s="4" t="s">
        <v>16</v>
      </c>
      <c r="I304" s="4" t="s">
        <v>4</v>
      </c>
      <c r="J304" s="4" t="s">
        <v>5</v>
      </c>
      <c r="K304" s="4" t="s">
        <v>18</v>
      </c>
      <c r="L304" s="4">
        <v>0</v>
      </c>
      <c r="M304" s="4">
        <v>0</v>
      </c>
      <c r="N304" s="4">
        <v>45</v>
      </c>
      <c r="O304" s="4" t="s">
        <v>7</v>
      </c>
      <c r="P304" s="4" t="s">
        <v>8</v>
      </c>
      <c r="Q304" s="4" t="e">
        <f>IF(Tabela2[[#This Row],[sex]]="Female",Tabela2[[#This Row],[hours-per-week]],NA())</f>
        <v>#N/A</v>
      </c>
      <c r="R304" s="4">
        <f>IF(Tabela2[[#This Row],[sex]]="Male",Tabela2[[#This Row],[hours-per-week]],NA())</f>
        <v>45</v>
      </c>
    </row>
    <row r="305" spans="1:18">
      <c r="A305" s="3" t="s">
        <v>396</v>
      </c>
      <c r="B305" s="4">
        <v>47</v>
      </c>
      <c r="C305" s="4" t="s">
        <v>37</v>
      </c>
      <c r="D305" s="4">
        <v>178013</v>
      </c>
      <c r="E305" s="4" t="s">
        <v>43</v>
      </c>
      <c r="F305" s="4">
        <v>6</v>
      </c>
      <c r="G305" s="4" t="s">
        <v>29</v>
      </c>
      <c r="H305" s="4" t="s">
        <v>37</v>
      </c>
      <c r="I305" s="4" t="s">
        <v>31</v>
      </c>
      <c r="J305" s="4" t="s">
        <v>5</v>
      </c>
      <c r="K305" s="4" t="s">
        <v>6</v>
      </c>
      <c r="L305" s="4">
        <v>0</v>
      </c>
      <c r="M305" s="4">
        <v>0</v>
      </c>
      <c r="N305" s="4">
        <v>20</v>
      </c>
      <c r="O305" s="4" t="s">
        <v>68</v>
      </c>
      <c r="P305" s="4" t="s">
        <v>8</v>
      </c>
      <c r="Q305" s="4">
        <f>IF(Tabela2[[#This Row],[sex]]="Female",Tabela2[[#This Row],[hours-per-week]],NA())</f>
        <v>20</v>
      </c>
      <c r="R305" s="4" t="e">
        <f>IF(Tabela2[[#This Row],[sex]]="Male",Tabela2[[#This Row],[hours-per-week]],NA())</f>
        <v>#N/A</v>
      </c>
    </row>
    <row r="306" spans="1:18">
      <c r="A306" s="3" t="s">
        <v>397</v>
      </c>
      <c r="B306" s="4">
        <v>34</v>
      </c>
      <c r="C306" s="4" t="s">
        <v>0</v>
      </c>
      <c r="D306" s="4">
        <v>318886</v>
      </c>
      <c r="E306" s="4" t="s">
        <v>28</v>
      </c>
      <c r="F306" s="4">
        <v>9</v>
      </c>
      <c r="G306" s="4" t="s">
        <v>29</v>
      </c>
      <c r="H306" s="4" t="s">
        <v>24</v>
      </c>
      <c r="I306" s="4" t="s">
        <v>32</v>
      </c>
      <c r="J306" s="4" t="s">
        <v>23</v>
      </c>
      <c r="K306" s="4" t="s">
        <v>18</v>
      </c>
      <c r="L306" s="4">
        <v>0</v>
      </c>
      <c r="M306" s="4">
        <v>0</v>
      </c>
      <c r="N306" s="4">
        <v>40</v>
      </c>
      <c r="O306" s="4" t="s">
        <v>7</v>
      </c>
      <c r="P306" s="4" t="s">
        <v>8</v>
      </c>
      <c r="Q306" s="4" t="e">
        <f>IF(Tabela2[[#This Row],[sex]]="Female",Tabela2[[#This Row],[hours-per-week]],NA())</f>
        <v>#N/A</v>
      </c>
      <c r="R306" s="4">
        <f>IF(Tabela2[[#This Row],[sex]]="Male",Tabela2[[#This Row],[hours-per-week]],NA())</f>
        <v>40</v>
      </c>
    </row>
    <row r="307" spans="1:18">
      <c r="A307" s="3" t="s">
        <v>398</v>
      </c>
      <c r="B307" s="4">
        <v>38</v>
      </c>
      <c r="C307" s="4" t="s">
        <v>0</v>
      </c>
      <c r="D307" s="4">
        <v>110402</v>
      </c>
      <c r="E307" s="4" t="s">
        <v>44</v>
      </c>
      <c r="F307" s="4">
        <v>11</v>
      </c>
      <c r="G307" s="4" t="s">
        <v>29</v>
      </c>
      <c r="H307" s="4" t="s">
        <v>22</v>
      </c>
      <c r="I307" s="4" t="s">
        <v>32</v>
      </c>
      <c r="J307" s="4" t="s">
        <v>5</v>
      </c>
      <c r="K307" s="4" t="s">
        <v>18</v>
      </c>
      <c r="L307" s="4">
        <v>0</v>
      </c>
      <c r="M307" s="4">
        <v>0</v>
      </c>
      <c r="N307" s="4">
        <v>40</v>
      </c>
      <c r="O307" s="4" t="s">
        <v>7</v>
      </c>
      <c r="P307" s="4" t="s">
        <v>8</v>
      </c>
      <c r="Q307" s="4" t="e">
        <f>IF(Tabela2[[#This Row],[sex]]="Female",Tabela2[[#This Row],[hours-per-week]],NA())</f>
        <v>#N/A</v>
      </c>
      <c r="R307" s="4">
        <f>IF(Tabela2[[#This Row],[sex]]="Male",Tabela2[[#This Row],[hours-per-week]],NA())</f>
        <v>40</v>
      </c>
    </row>
    <row r="308" spans="1:18">
      <c r="A308" s="3" t="s">
        <v>399</v>
      </c>
      <c r="B308" s="4">
        <v>31</v>
      </c>
      <c r="C308" s="4" t="s">
        <v>0</v>
      </c>
      <c r="D308" s="4">
        <v>323069</v>
      </c>
      <c r="E308" s="4" t="s">
        <v>9</v>
      </c>
      <c r="F308" s="4">
        <v>12</v>
      </c>
      <c r="G308" s="4" t="s">
        <v>15</v>
      </c>
      <c r="H308" s="4" t="s">
        <v>10</v>
      </c>
      <c r="I308" s="4" t="s">
        <v>35</v>
      </c>
      <c r="J308" s="4" t="s">
        <v>5</v>
      </c>
      <c r="K308" s="4" t="s">
        <v>6</v>
      </c>
      <c r="L308" s="4">
        <v>0</v>
      </c>
      <c r="M308" s="4">
        <v>880</v>
      </c>
      <c r="N308" s="4">
        <v>45</v>
      </c>
      <c r="O308" s="4" t="s">
        <v>7</v>
      </c>
      <c r="P308" s="4" t="s">
        <v>8</v>
      </c>
      <c r="Q308" s="4">
        <f>IF(Tabela2[[#This Row],[sex]]="Female",Tabela2[[#This Row],[hours-per-week]],NA())</f>
        <v>45</v>
      </c>
      <c r="R308" s="4" t="e">
        <f>IF(Tabela2[[#This Row],[sex]]="Male",Tabela2[[#This Row],[hours-per-week]],NA())</f>
        <v>#N/A</v>
      </c>
    </row>
    <row r="309" spans="1:18">
      <c r="A309" s="3" t="s">
        <v>400</v>
      </c>
      <c r="B309" s="4">
        <v>60</v>
      </c>
      <c r="C309" s="4" t="s">
        <v>0</v>
      </c>
      <c r="D309" s="4">
        <v>114263</v>
      </c>
      <c r="E309" s="4" t="s">
        <v>26</v>
      </c>
      <c r="F309" s="4">
        <v>13</v>
      </c>
      <c r="G309" s="4" t="s">
        <v>15</v>
      </c>
      <c r="H309" s="4" t="s">
        <v>46</v>
      </c>
      <c r="I309" s="4" t="s">
        <v>11</v>
      </c>
      <c r="J309" s="4" t="s">
        <v>5</v>
      </c>
      <c r="K309" s="4" t="s">
        <v>6</v>
      </c>
      <c r="L309" s="4">
        <v>0</v>
      </c>
      <c r="M309" s="4">
        <v>0</v>
      </c>
      <c r="N309" s="4">
        <v>40</v>
      </c>
      <c r="O309" s="4" t="s">
        <v>69</v>
      </c>
      <c r="P309" s="4" t="s">
        <v>19</v>
      </c>
      <c r="Q309" s="4">
        <f>IF(Tabela2[[#This Row],[sex]]="Female",Tabela2[[#This Row],[hours-per-week]],NA())</f>
        <v>40</v>
      </c>
      <c r="R309" s="4" t="e">
        <f>IF(Tabela2[[#This Row],[sex]]="Male",Tabela2[[#This Row],[hours-per-week]],NA())</f>
        <v>#N/A</v>
      </c>
    </row>
    <row r="310" spans="1:18">
      <c r="A310" s="3" t="s">
        <v>401</v>
      </c>
      <c r="B310" s="4">
        <v>22</v>
      </c>
      <c r="C310" s="4" t="s">
        <v>0</v>
      </c>
      <c r="D310" s="4">
        <v>103277</v>
      </c>
      <c r="E310" s="4" t="s">
        <v>9</v>
      </c>
      <c r="F310" s="4">
        <v>12</v>
      </c>
      <c r="G310" s="4" t="s">
        <v>2</v>
      </c>
      <c r="H310" s="4" t="s">
        <v>33</v>
      </c>
      <c r="I310" s="4" t="s">
        <v>4</v>
      </c>
      <c r="J310" s="4" t="s">
        <v>5</v>
      </c>
      <c r="K310" s="4" t="s">
        <v>6</v>
      </c>
      <c r="L310" s="4">
        <v>0</v>
      </c>
      <c r="M310" s="4">
        <v>0</v>
      </c>
      <c r="N310" s="4">
        <v>20</v>
      </c>
      <c r="O310" s="4" t="s">
        <v>7</v>
      </c>
      <c r="P310" s="4" t="s">
        <v>8</v>
      </c>
      <c r="Q310" s="4">
        <f>IF(Tabela2[[#This Row],[sex]]="Female",Tabela2[[#This Row],[hours-per-week]],NA())</f>
        <v>20</v>
      </c>
      <c r="R310" s="4" t="e">
        <f>IF(Tabela2[[#This Row],[sex]]="Male",Tabela2[[#This Row],[hours-per-week]],NA())</f>
        <v>#N/A</v>
      </c>
    </row>
    <row r="311" spans="1:18">
      <c r="A311" s="3" t="s">
        <v>402</v>
      </c>
      <c r="B311" s="4">
        <v>53</v>
      </c>
      <c r="C311" s="4" t="s">
        <v>0</v>
      </c>
      <c r="D311" s="4">
        <v>82646</v>
      </c>
      <c r="E311" s="4" t="s">
        <v>63</v>
      </c>
      <c r="F311" s="4">
        <v>16</v>
      </c>
      <c r="G311" s="4" t="s">
        <v>15</v>
      </c>
      <c r="H311" s="4" t="s">
        <v>46</v>
      </c>
      <c r="I311" s="4" t="s">
        <v>11</v>
      </c>
      <c r="J311" s="4" t="s">
        <v>5</v>
      </c>
      <c r="K311" s="4" t="s">
        <v>6</v>
      </c>
      <c r="L311" s="4">
        <v>0</v>
      </c>
      <c r="M311" s="4">
        <v>0</v>
      </c>
      <c r="N311" s="4">
        <v>55</v>
      </c>
      <c r="O311" s="4" t="s">
        <v>7</v>
      </c>
      <c r="P311" s="4" t="s">
        <v>19</v>
      </c>
      <c r="Q311" s="4">
        <f>IF(Tabela2[[#This Row],[sex]]="Female",Tabela2[[#This Row],[hours-per-week]],NA())</f>
        <v>55</v>
      </c>
      <c r="R311" s="4" t="e">
        <f>IF(Tabela2[[#This Row],[sex]]="Male",Tabela2[[#This Row],[hours-per-week]],NA())</f>
        <v>#N/A</v>
      </c>
    </row>
    <row r="312" spans="1:18">
      <c r="A312" s="3" t="s">
        <v>403</v>
      </c>
      <c r="B312" s="4">
        <v>90</v>
      </c>
      <c r="C312" s="4" t="s">
        <v>0</v>
      </c>
      <c r="D312" s="4">
        <v>90523</v>
      </c>
      <c r="E312" s="4" t="s">
        <v>28</v>
      </c>
      <c r="F312" s="4">
        <v>9</v>
      </c>
      <c r="G312" s="4" t="s">
        <v>47</v>
      </c>
      <c r="H312" s="4" t="s">
        <v>38</v>
      </c>
      <c r="I312" s="4" t="s">
        <v>35</v>
      </c>
      <c r="J312" s="4" t="s">
        <v>5</v>
      </c>
      <c r="K312" s="4" t="s">
        <v>18</v>
      </c>
      <c r="L312" s="4">
        <v>0</v>
      </c>
      <c r="M312" s="4">
        <v>0</v>
      </c>
      <c r="N312" s="4">
        <v>99</v>
      </c>
      <c r="O312" s="4" t="s">
        <v>7</v>
      </c>
      <c r="P312" s="4" t="s">
        <v>8</v>
      </c>
      <c r="Q312" s="4" t="e">
        <f>IF(Tabela2[[#This Row],[sex]]="Female",Tabela2[[#This Row],[hours-per-week]],NA())</f>
        <v>#N/A</v>
      </c>
      <c r="R312" s="4">
        <f>IF(Tabela2[[#This Row],[sex]]="Male",Tabela2[[#This Row],[hours-per-week]],NA())</f>
        <v>99</v>
      </c>
    </row>
    <row r="313" spans="1:18">
      <c r="A313" s="3" t="s">
        <v>404</v>
      </c>
      <c r="B313" s="4">
        <v>39</v>
      </c>
      <c r="C313" s="4" t="s">
        <v>0</v>
      </c>
      <c r="D313" s="4">
        <v>147548</v>
      </c>
      <c r="E313" s="4" t="s">
        <v>28</v>
      </c>
      <c r="F313" s="4">
        <v>9</v>
      </c>
      <c r="G313" s="4" t="s">
        <v>29</v>
      </c>
      <c r="H313" s="4" t="s">
        <v>16</v>
      </c>
      <c r="I313" s="4" t="s">
        <v>32</v>
      </c>
      <c r="J313" s="4" t="s">
        <v>5</v>
      </c>
      <c r="K313" s="4" t="s">
        <v>18</v>
      </c>
      <c r="L313" s="4">
        <v>0</v>
      </c>
      <c r="M313" s="4">
        <v>0</v>
      </c>
      <c r="N313" s="4">
        <v>40</v>
      </c>
      <c r="O313" s="4" t="s">
        <v>7</v>
      </c>
      <c r="P313" s="4" t="s">
        <v>8</v>
      </c>
      <c r="Q313" s="4" t="e">
        <f>IF(Tabela2[[#This Row],[sex]]="Female",Tabela2[[#This Row],[hours-per-week]],NA())</f>
        <v>#N/A</v>
      </c>
      <c r="R313" s="4">
        <f>IF(Tabela2[[#This Row],[sex]]="Male",Tabela2[[#This Row],[hours-per-week]],NA())</f>
        <v>40</v>
      </c>
    </row>
    <row r="314" spans="1:18">
      <c r="A314" s="3" t="s">
        <v>405</v>
      </c>
      <c r="B314" s="4">
        <v>51</v>
      </c>
      <c r="C314" s="4" t="s">
        <v>0</v>
      </c>
      <c r="D314" s="4">
        <v>108435</v>
      </c>
      <c r="E314" s="4" t="s">
        <v>39</v>
      </c>
      <c r="F314" s="4">
        <v>14</v>
      </c>
      <c r="G314" s="4" t="s">
        <v>29</v>
      </c>
      <c r="H314" s="4" t="s">
        <v>27</v>
      </c>
      <c r="I314" s="4" t="s">
        <v>32</v>
      </c>
      <c r="J314" s="4" t="s">
        <v>5</v>
      </c>
      <c r="K314" s="4" t="s">
        <v>18</v>
      </c>
      <c r="L314" s="4">
        <v>0</v>
      </c>
      <c r="M314" s="4">
        <v>0</v>
      </c>
      <c r="N314" s="4">
        <v>47</v>
      </c>
      <c r="O314" s="4" t="s">
        <v>7</v>
      </c>
      <c r="P314" s="4" t="s">
        <v>19</v>
      </c>
      <c r="Q314" s="4" t="e">
        <f>IF(Tabela2[[#This Row],[sex]]="Female",Tabela2[[#This Row],[hours-per-week]],NA())</f>
        <v>#N/A</v>
      </c>
      <c r="R314" s="4">
        <f>IF(Tabela2[[#This Row],[sex]]="Male",Tabela2[[#This Row],[hours-per-week]],NA())</f>
        <v>47</v>
      </c>
    </row>
    <row r="315" spans="1:18">
      <c r="A315" s="3" t="s">
        <v>406</v>
      </c>
      <c r="B315" s="4">
        <v>51</v>
      </c>
      <c r="C315" s="4" t="s">
        <v>40</v>
      </c>
      <c r="D315" s="4">
        <v>136836</v>
      </c>
      <c r="E315" s="4" t="s">
        <v>9</v>
      </c>
      <c r="F315" s="4">
        <v>12</v>
      </c>
      <c r="G315" s="4" t="s">
        <v>15</v>
      </c>
      <c r="H315" s="4" t="s">
        <v>38</v>
      </c>
      <c r="I315" s="4" t="s">
        <v>35</v>
      </c>
      <c r="J315" s="4" t="s">
        <v>23</v>
      </c>
      <c r="K315" s="4" t="s">
        <v>6</v>
      </c>
      <c r="L315" s="4">
        <v>0</v>
      </c>
      <c r="M315" s="4">
        <v>0</v>
      </c>
      <c r="N315" s="4">
        <v>30</v>
      </c>
      <c r="O315" s="4" t="s">
        <v>7</v>
      </c>
      <c r="P315" s="4" t="s">
        <v>8</v>
      </c>
      <c r="Q315" s="4">
        <f>IF(Tabela2[[#This Row],[sex]]="Female",Tabela2[[#This Row],[hours-per-week]],NA())</f>
        <v>30</v>
      </c>
      <c r="R315" s="4" t="e">
        <f>IF(Tabela2[[#This Row],[sex]]="Male",Tabela2[[#This Row],[hours-per-week]],NA())</f>
        <v>#N/A</v>
      </c>
    </row>
    <row r="316" spans="1:18">
      <c r="A316" s="3" t="s">
        <v>407</v>
      </c>
      <c r="B316" s="4">
        <v>42</v>
      </c>
      <c r="C316" s="4" t="s">
        <v>0</v>
      </c>
      <c r="D316" s="4">
        <v>350387</v>
      </c>
      <c r="E316" s="4" t="s">
        <v>28</v>
      </c>
      <c r="F316" s="4">
        <v>9</v>
      </c>
      <c r="G316" s="4" t="s">
        <v>21</v>
      </c>
      <c r="H316" s="4" t="s">
        <v>22</v>
      </c>
      <c r="I316" s="4" t="s">
        <v>11</v>
      </c>
      <c r="J316" s="4" t="s">
        <v>5</v>
      </c>
      <c r="K316" s="4" t="s">
        <v>18</v>
      </c>
      <c r="L316" s="4">
        <v>0</v>
      </c>
      <c r="M316" s="4">
        <v>0</v>
      </c>
      <c r="N316" s="4">
        <v>15</v>
      </c>
      <c r="O316" s="4" t="s">
        <v>7</v>
      </c>
      <c r="P316" s="4" t="s">
        <v>8</v>
      </c>
      <c r="Q316" s="4" t="e">
        <f>IF(Tabela2[[#This Row],[sex]]="Female",Tabela2[[#This Row],[hours-per-week]],NA())</f>
        <v>#N/A</v>
      </c>
      <c r="R316" s="4">
        <f>IF(Tabela2[[#This Row],[sex]]="Male",Tabela2[[#This Row],[hours-per-week]],NA())</f>
        <v>15</v>
      </c>
    </row>
    <row r="317" spans="1:18">
      <c r="A317" s="3" t="s">
        <v>408</v>
      </c>
      <c r="B317" s="4">
        <v>36</v>
      </c>
      <c r="C317" s="4" t="s">
        <v>0</v>
      </c>
      <c r="D317" s="4">
        <v>149833</v>
      </c>
      <c r="E317" s="4" t="s">
        <v>28</v>
      </c>
      <c r="F317" s="4">
        <v>9</v>
      </c>
      <c r="G317" s="4" t="s">
        <v>29</v>
      </c>
      <c r="H317" s="4" t="s">
        <v>46</v>
      </c>
      <c r="I317" s="4" t="s">
        <v>31</v>
      </c>
      <c r="J317" s="4" t="s">
        <v>5</v>
      </c>
      <c r="K317" s="4" t="s">
        <v>6</v>
      </c>
      <c r="L317" s="4">
        <v>0</v>
      </c>
      <c r="M317" s="4">
        <v>0</v>
      </c>
      <c r="N317" s="4">
        <v>40</v>
      </c>
      <c r="O317" s="4" t="s">
        <v>7</v>
      </c>
      <c r="P317" s="4" t="s">
        <v>8</v>
      </c>
      <c r="Q317" s="4">
        <f>IF(Tabela2[[#This Row],[sex]]="Female",Tabela2[[#This Row],[hours-per-week]],NA())</f>
        <v>40</v>
      </c>
      <c r="R317" s="4" t="e">
        <f>IF(Tabela2[[#This Row],[sex]]="Male",Tabela2[[#This Row],[hours-per-week]],NA())</f>
        <v>#N/A</v>
      </c>
    </row>
    <row r="318" spans="1:18">
      <c r="A318" s="3" t="s">
        <v>409</v>
      </c>
      <c r="B318" s="4">
        <v>57</v>
      </c>
      <c r="C318" s="4" t="s">
        <v>20</v>
      </c>
      <c r="D318" s="4">
        <v>130532</v>
      </c>
      <c r="E318" s="4" t="s">
        <v>26</v>
      </c>
      <c r="F318" s="4">
        <v>13</v>
      </c>
      <c r="G318" s="4" t="s">
        <v>47</v>
      </c>
      <c r="H318" s="4" t="s">
        <v>27</v>
      </c>
      <c r="I318" s="4" t="s">
        <v>11</v>
      </c>
      <c r="J318" s="4" t="s">
        <v>5</v>
      </c>
      <c r="K318" s="4" t="s">
        <v>6</v>
      </c>
      <c r="L318" s="4">
        <v>0</v>
      </c>
      <c r="M318" s="4">
        <v>0</v>
      </c>
      <c r="N318" s="4">
        <v>35</v>
      </c>
      <c r="O318" s="4" t="s">
        <v>7</v>
      </c>
      <c r="P318" s="4" t="s">
        <v>8</v>
      </c>
      <c r="Q318" s="4">
        <f>IF(Tabela2[[#This Row],[sex]]="Female",Tabela2[[#This Row],[hours-per-week]],NA())</f>
        <v>35</v>
      </c>
      <c r="R318" s="4" t="e">
        <f>IF(Tabela2[[#This Row],[sex]]="Male",Tabela2[[#This Row],[hours-per-week]],NA())</f>
        <v>#N/A</v>
      </c>
    </row>
    <row r="319" spans="1:18">
      <c r="A319" s="3" t="s">
        <v>410</v>
      </c>
      <c r="B319" s="4">
        <v>71</v>
      </c>
      <c r="C319" s="4" t="s">
        <v>20</v>
      </c>
      <c r="D319" s="4">
        <v>229110</v>
      </c>
      <c r="E319" s="4" t="s">
        <v>28</v>
      </c>
      <c r="F319" s="4">
        <v>9</v>
      </c>
      <c r="G319" s="4" t="s">
        <v>47</v>
      </c>
      <c r="H319" s="4" t="s">
        <v>46</v>
      </c>
      <c r="I319" s="4" t="s">
        <v>45</v>
      </c>
      <c r="J319" s="4" t="s">
        <v>5</v>
      </c>
      <c r="K319" s="4" t="s">
        <v>6</v>
      </c>
      <c r="L319" s="4">
        <v>0</v>
      </c>
      <c r="M319" s="4">
        <v>0</v>
      </c>
      <c r="N319" s="4">
        <v>33</v>
      </c>
      <c r="O319" s="4" t="s">
        <v>7</v>
      </c>
      <c r="P319" s="4" t="s">
        <v>8</v>
      </c>
      <c r="Q319" s="4">
        <f>IF(Tabela2[[#This Row],[sex]]="Female",Tabela2[[#This Row],[hours-per-week]],NA())</f>
        <v>33</v>
      </c>
      <c r="R319" s="4" t="e">
        <f>IF(Tabela2[[#This Row],[sex]]="Male",Tabela2[[#This Row],[hours-per-week]],NA())</f>
        <v>#N/A</v>
      </c>
    </row>
    <row r="320" spans="1:18">
      <c r="A320" s="3" t="s">
        <v>411</v>
      </c>
      <c r="B320" s="4">
        <v>53</v>
      </c>
      <c r="C320" s="4" t="s">
        <v>0</v>
      </c>
      <c r="D320" s="4">
        <v>260106</v>
      </c>
      <c r="E320" s="4" t="s">
        <v>28</v>
      </c>
      <c r="F320" s="4">
        <v>9</v>
      </c>
      <c r="G320" s="4" t="s">
        <v>47</v>
      </c>
      <c r="H320" s="4" t="s">
        <v>10</v>
      </c>
      <c r="I320" s="4" t="s">
        <v>11</v>
      </c>
      <c r="J320" s="4" t="s">
        <v>5</v>
      </c>
      <c r="K320" s="4" t="s">
        <v>6</v>
      </c>
      <c r="L320" s="4">
        <v>0</v>
      </c>
      <c r="M320" s="4">
        <v>0</v>
      </c>
      <c r="N320" s="4">
        <v>30</v>
      </c>
      <c r="O320" s="4" t="s">
        <v>7</v>
      </c>
      <c r="P320" s="4" t="s">
        <v>8</v>
      </c>
      <c r="Q320" s="4">
        <f>IF(Tabela2[[#This Row],[sex]]="Female",Tabela2[[#This Row],[hours-per-week]],NA())</f>
        <v>30</v>
      </c>
      <c r="R320" s="4" t="e">
        <f>IF(Tabela2[[#This Row],[sex]]="Male",Tabela2[[#This Row],[hours-per-week]],NA())</f>
        <v>#N/A</v>
      </c>
    </row>
    <row r="321" spans="1:18">
      <c r="A321" s="3" t="s">
        <v>412</v>
      </c>
      <c r="B321" s="4">
        <v>23</v>
      </c>
      <c r="C321" s="4" t="s">
        <v>0</v>
      </c>
      <c r="D321" s="4">
        <v>51985</v>
      </c>
      <c r="E321" s="4" t="s">
        <v>28</v>
      </c>
      <c r="F321" s="4">
        <v>9</v>
      </c>
      <c r="G321" s="4" t="s">
        <v>2</v>
      </c>
      <c r="H321" s="4" t="s">
        <v>38</v>
      </c>
      <c r="I321" s="4" t="s">
        <v>11</v>
      </c>
      <c r="J321" s="4" t="s">
        <v>5</v>
      </c>
      <c r="K321" s="4" t="s">
        <v>18</v>
      </c>
      <c r="L321" s="4">
        <v>0</v>
      </c>
      <c r="M321" s="4">
        <v>0</v>
      </c>
      <c r="N321" s="4">
        <v>38</v>
      </c>
      <c r="O321" s="4" t="s">
        <v>7</v>
      </c>
      <c r="P321" s="4" t="s">
        <v>8</v>
      </c>
      <c r="Q321" s="4" t="e">
        <f>IF(Tabela2[[#This Row],[sex]]="Female",Tabela2[[#This Row],[hours-per-week]],NA())</f>
        <v>#N/A</v>
      </c>
      <c r="R321" s="4">
        <f>IF(Tabela2[[#This Row],[sex]]="Male",Tabela2[[#This Row],[hours-per-week]],NA())</f>
        <v>38</v>
      </c>
    </row>
    <row r="322" spans="1:18">
      <c r="A322" s="3" t="s">
        <v>413</v>
      </c>
      <c r="B322" s="4">
        <v>45</v>
      </c>
      <c r="C322" s="4" t="s">
        <v>20</v>
      </c>
      <c r="D322" s="4">
        <v>166181</v>
      </c>
      <c r="E322" s="4" t="s">
        <v>28</v>
      </c>
      <c r="F322" s="4">
        <v>9</v>
      </c>
      <c r="G322" s="4" t="s">
        <v>15</v>
      </c>
      <c r="H322" s="4" t="s">
        <v>3</v>
      </c>
      <c r="I322" s="4" t="s">
        <v>4</v>
      </c>
      <c r="J322" s="4" t="s">
        <v>23</v>
      </c>
      <c r="K322" s="4" t="s">
        <v>6</v>
      </c>
      <c r="L322" s="4">
        <v>0</v>
      </c>
      <c r="M322" s="4">
        <v>0</v>
      </c>
      <c r="N322" s="4">
        <v>40</v>
      </c>
      <c r="O322" s="4" t="s">
        <v>7</v>
      </c>
      <c r="P322" s="4" t="s">
        <v>8</v>
      </c>
      <c r="Q322" s="4">
        <f>IF(Tabela2[[#This Row],[sex]]="Female",Tabela2[[#This Row],[hours-per-week]],NA())</f>
        <v>40</v>
      </c>
      <c r="R322" s="4" t="e">
        <f>IF(Tabela2[[#This Row],[sex]]="Male",Tabela2[[#This Row],[hours-per-week]],NA())</f>
        <v>#N/A</v>
      </c>
    </row>
    <row r="323" spans="1:18">
      <c r="A323" s="3" t="s">
        <v>414</v>
      </c>
      <c r="B323" s="4">
        <v>19</v>
      </c>
      <c r="C323" s="4" t="s">
        <v>37</v>
      </c>
      <c r="D323" s="4">
        <v>131982</v>
      </c>
      <c r="E323" s="4" t="s">
        <v>12</v>
      </c>
      <c r="F323" s="4">
        <v>10</v>
      </c>
      <c r="G323" s="4" t="s">
        <v>2</v>
      </c>
      <c r="H323" s="4" t="s">
        <v>37</v>
      </c>
      <c r="I323" s="4" t="s">
        <v>4</v>
      </c>
      <c r="J323" s="4" t="s">
        <v>5</v>
      </c>
      <c r="K323" s="4" t="s">
        <v>18</v>
      </c>
      <c r="L323" s="4">
        <v>0</v>
      </c>
      <c r="M323" s="4">
        <v>0</v>
      </c>
      <c r="N323" s="4">
        <v>40</v>
      </c>
      <c r="O323" s="4" t="s">
        <v>7</v>
      </c>
      <c r="P323" s="4" t="s">
        <v>8</v>
      </c>
      <c r="Q323" s="4" t="e">
        <f>IF(Tabela2[[#This Row],[sex]]="Female",Tabela2[[#This Row],[hours-per-week]],NA())</f>
        <v>#N/A</v>
      </c>
      <c r="R323" s="4">
        <f>IF(Tabela2[[#This Row],[sex]]="Male",Tabela2[[#This Row],[hours-per-week]],NA())</f>
        <v>40</v>
      </c>
    </row>
    <row r="324" spans="1:18">
      <c r="A324" s="3" t="s">
        <v>415</v>
      </c>
      <c r="B324" s="4">
        <v>49</v>
      </c>
      <c r="C324" s="4" t="s">
        <v>41</v>
      </c>
      <c r="D324" s="4">
        <v>128990</v>
      </c>
      <c r="E324" s="4" t="s">
        <v>26</v>
      </c>
      <c r="F324" s="4">
        <v>13</v>
      </c>
      <c r="G324" s="4" t="s">
        <v>29</v>
      </c>
      <c r="H324" s="4" t="s">
        <v>27</v>
      </c>
      <c r="I324" s="4" t="s">
        <v>32</v>
      </c>
      <c r="J324" s="4" t="s">
        <v>5</v>
      </c>
      <c r="K324" s="4" t="s">
        <v>18</v>
      </c>
      <c r="L324" s="4">
        <v>0</v>
      </c>
      <c r="M324" s="4">
        <v>0</v>
      </c>
      <c r="N324" s="4">
        <v>40</v>
      </c>
      <c r="O324" s="4" t="s">
        <v>7</v>
      </c>
      <c r="P324" s="4" t="s">
        <v>19</v>
      </c>
      <c r="Q324" s="4" t="e">
        <f>IF(Tabela2[[#This Row],[sex]]="Female",Tabela2[[#This Row],[hours-per-week]],NA())</f>
        <v>#N/A</v>
      </c>
      <c r="R324" s="4">
        <f>IF(Tabela2[[#This Row],[sex]]="Male",Tabela2[[#This Row],[hours-per-week]],NA())</f>
        <v>40</v>
      </c>
    </row>
    <row r="325" spans="1:18">
      <c r="A325" s="3" t="s">
        <v>416</v>
      </c>
      <c r="B325" s="4">
        <v>36</v>
      </c>
      <c r="C325" s="4" t="s">
        <v>20</v>
      </c>
      <c r="D325" s="4">
        <v>130620</v>
      </c>
      <c r="E325" s="4" t="s">
        <v>28</v>
      </c>
      <c r="F325" s="4">
        <v>9</v>
      </c>
      <c r="G325" s="4" t="s">
        <v>29</v>
      </c>
      <c r="H325" s="4" t="s">
        <v>33</v>
      </c>
      <c r="I325" s="4" t="s">
        <v>31</v>
      </c>
      <c r="J325" s="4" t="s">
        <v>36</v>
      </c>
      <c r="K325" s="4" t="s">
        <v>6</v>
      </c>
      <c r="L325" s="4">
        <v>0</v>
      </c>
      <c r="M325" s="4">
        <v>0</v>
      </c>
      <c r="N325" s="4">
        <v>40</v>
      </c>
      <c r="O325" s="4" t="s">
        <v>59</v>
      </c>
      <c r="P325" s="4" t="s">
        <v>19</v>
      </c>
      <c r="Q325" s="4">
        <f>IF(Tabela2[[#This Row],[sex]]="Female",Tabela2[[#This Row],[hours-per-week]],NA())</f>
        <v>40</v>
      </c>
      <c r="R325" s="4" t="e">
        <f>IF(Tabela2[[#This Row],[sex]]="Male",Tabela2[[#This Row],[hours-per-week]],NA())</f>
        <v>#N/A</v>
      </c>
    </row>
    <row r="326" spans="1:18">
      <c r="A326" s="3" t="s">
        <v>417</v>
      </c>
      <c r="B326" s="4">
        <v>32</v>
      </c>
      <c r="C326" s="4" t="s">
        <v>0</v>
      </c>
      <c r="D326" s="4">
        <v>123291</v>
      </c>
      <c r="E326" s="4" t="s">
        <v>17</v>
      </c>
      <c r="F326" s="4">
        <v>8</v>
      </c>
      <c r="G326" s="4" t="s">
        <v>29</v>
      </c>
      <c r="H326" s="4" t="s">
        <v>22</v>
      </c>
      <c r="I326" s="4" t="s">
        <v>32</v>
      </c>
      <c r="J326" s="4" t="s">
        <v>5</v>
      </c>
      <c r="K326" s="4" t="s">
        <v>18</v>
      </c>
      <c r="L326" s="4">
        <v>0</v>
      </c>
      <c r="M326" s="4">
        <v>0</v>
      </c>
      <c r="N326" s="4">
        <v>40</v>
      </c>
      <c r="O326" s="4" t="s">
        <v>7</v>
      </c>
      <c r="P326" s="4" t="s">
        <v>8</v>
      </c>
      <c r="Q326" s="4" t="e">
        <f>IF(Tabela2[[#This Row],[sex]]="Female",Tabela2[[#This Row],[hours-per-week]],NA())</f>
        <v>#N/A</v>
      </c>
      <c r="R326" s="4">
        <f>IF(Tabela2[[#This Row],[sex]]="Male",Tabela2[[#This Row],[hours-per-week]],NA())</f>
        <v>40</v>
      </c>
    </row>
    <row r="327" spans="1:18">
      <c r="A327" s="3" t="s">
        <v>418</v>
      </c>
      <c r="B327" s="4">
        <v>43</v>
      </c>
      <c r="C327" s="4" t="s">
        <v>0</v>
      </c>
      <c r="D327" s="4">
        <v>427382</v>
      </c>
      <c r="E327" s="4" t="s">
        <v>39</v>
      </c>
      <c r="F327" s="4">
        <v>14</v>
      </c>
      <c r="G327" s="4" t="s">
        <v>2</v>
      </c>
      <c r="H327" s="4" t="s">
        <v>27</v>
      </c>
      <c r="I327" s="4" t="s">
        <v>11</v>
      </c>
      <c r="J327" s="4" t="s">
        <v>5</v>
      </c>
      <c r="K327" s="4" t="s">
        <v>18</v>
      </c>
      <c r="L327" s="4">
        <v>0</v>
      </c>
      <c r="M327" s="4">
        <v>0</v>
      </c>
      <c r="N327" s="4">
        <v>50</v>
      </c>
      <c r="O327" s="4" t="s">
        <v>7</v>
      </c>
      <c r="P327" s="4" t="s">
        <v>19</v>
      </c>
      <c r="Q327" s="4" t="e">
        <f>IF(Tabela2[[#This Row],[sex]]="Female",Tabela2[[#This Row],[hours-per-week]],NA())</f>
        <v>#N/A</v>
      </c>
      <c r="R327" s="4">
        <f>IF(Tabela2[[#This Row],[sex]]="Male",Tabela2[[#This Row],[hours-per-week]],NA())</f>
        <v>50</v>
      </c>
    </row>
    <row r="328" spans="1:18">
      <c r="A328" s="3" t="s">
        <v>419</v>
      </c>
      <c r="B328" s="4">
        <v>23</v>
      </c>
      <c r="C328" s="4" t="s">
        <v>0</v>
      </c>
      <c r="D328" s="4">
        <v>198996</v>
      </c>
      <c r="E328" s="4" t="s">
        <v>28</v>
      </c>
      <c r="F328" s="4">
        <v>9</v>
      </c>
      <c r="G328" s="4" t="s">
        <v>2</v>
      </c>
      <c r="H328" s="4" t="s">
        <v>33</v>
      </c>
      <c r="I328" s="4" t="s">
        <v>11</v>
      </c>
      <c r="J328" s="4" t="s">
        <v>5</v>
      </c>
      <c r="K328" s="4" t="s">
        <v>6</v>
      </c>
      <c r="L328" s="4">
        <v>0</v>
      </c>
      <c r="M328" s="4">
        <v>0</v>
      </c>
      <c r="N328" s="4">
        <v>40</v>
      </c>
      <c r="O328" s="4" t="s">
        <v>7</v>
      </c>
      <c r="P328" s="4" t="s">
        <v>8</v>
      </c>
      <c r="Q328" s="4">
        <f>IF(Tabela2[[#This Row],[sex]]="Female",Tabela2[[#This Row],[hours-per-week]],NA())</f>
        <v>40</v>
      </c>
      <c r="R328" s="4" t="e">
        <f>IF(Tabela2[[#This Row],[sex]]="Male",Tabela2[[#This Row],[hours-per-week]],NA())</f>
        <v>#N/A</v>
      </c>
    </row>
    <row r="329" spans="1:18">
      <c r="A329" s="3" t="s">
        <v>420</v>
      </c>
      <c r="B329" s="4">
        <v>32</v>
      </c>
      <c r="C329" s="4" t="s">
        <v>0</v>
      </c>
      <c r="D329" s="4">
        <v>207668</v>
      </c>
      <c r="E329" s="4" t="s">
        <v>28</v>
      </c>
      <c r="F329" s="4">
        <v>9</v>
      </c>
      <c r="G329" s="4" t="s">
        <v>29</v>
      </c>
      <c r="H329" s="4" t="s">
        <v>16</v>
      </c>
      <c r="I329" s="4" t="s">
        <v>32</v>
      </c>
      <c r="J329" s="4" t="s">
        <v>5</v>
      </c>
      <c r="K329" s="4" t="s">
        <v>18</v>
      </c>
      <c r="L329" s="4">
        <v>0</v>
      </c>
      <c r="M329" s="4">
        <v>0</v>
      </c>
      <c r="N329" s="4">
        <v>50</v>
      </c>
      <c r="O329" s="4" t="s">
        <v>7</v>
      </c>
      <c r="P329" s="4" t="s">
        <v>8</v>
      </c>
      <c r="Q329" s="4" t="e">
        <f>IF(Tabela2[[#This Row],[sex]]="Female",Tabela2[[#This Row],[hours-per-week]],NA())</f>
        <v>#N/A</v>
      </c>
      <c r="R329" s="4">
        <f>IF(Tabela2[[#This Row],[sex]]="Male",Tabela2[[#This Row],[hours-per-week]],NA())</f>
        <v>50</v>
      </c>
    </row>
    <row r="330" spans="1:18">
      <c r="A330" s="3" t="s">
        <v>421</v>
      </c>
      <c r="B330" s="4">
        <v>35</v>
      </c>
      <c r="C330" s="4" t="s">
        <v>0</v>
      </c>
      <c r="D330" s="4">
        <v>170092</v>
      </c>
      <c r="E330" s="4" t="s">
        <v>28</v>
      </c>
      <c r="F330" s="4">
        <v>9</v>
      </c>
      <c r="G330" s="4" t="s">
        <v>56</v>
      </c>
      <c r="H330" s="4" t="s">
        <v>3</v>
      </c>
      <c r="I330" s="4" t="s">
        <v>35</v>
      </c>
      <c r="J330" s="4" t="s">
        <v>23</v>
      </c>
      <c r="K330" s="4" t="s">
        <v>6</v>
      </c>
      <c r="L330" s="4">
        <v>0</v>
      </c>
      <c r="M330" s="4">
        <v>0</v>
      </c>
      <c r="N330" s="4">
        <v>20</v>
      </c>
      <c r="O330" s="4" t="s">
        <v>7</v>
      </c>
      <c r="P330" s="4" t="s">
        <v>8</v>
      </c>
      <c r="Q330" s="4">
        <f>IF(Tabela2[[#This Row],[sex]]="Female",Tabela2[[#This Row],[hours-per-week]],NA())</f>
        <v>20</v>
      </c>
      <c r="R330" s="4" t="e">
        <f>IF(Tabela2[[#This Row],[sex]]="Male",Tabela2[[#This Row],[hours-per-week]],NA())</f>
        <v>#N/A</v>
      </c>
    </row>
    <row r="331" spans="1:18">
      <c r="A331" s="3" t="s">
        <v>422</v>
      </c>
      <c r="B331" s="4">
        <v>30</v>
      </c>
      <c r="C331" s="4" t="s">
        <v>0</v>
      </c>
      <c r="D331" s="4">
        <v>114691</v>
      </c>
      <c r="E331" s="4" t="s">
        <v>28</v>
      </c>
      <c r="F331" s="4">
        <v>9</v>
      </c>
      <c r="G331" s="4" t="s">
        <v>2</v>
      </c>
      <c r="H331" s="4" t="s">
        <v>24</v>
      </c>
      <c r="I331" s="4" t="s">
        <v>4</v>
      </c>
      <c r="J331" s="4" t="s">
        <v>5</v>
      </c>
      <c r="K331" s="4" t="s">
        <v>18</v>
      </c>
      <c r="L331" s="4">
        <v>0</v>
      </c>
      <c r="M331" s="4">
        <v>0</v>
      </c>
      <c r="N331" s="4">
        <v>40</v>
      </c>
      <c r="O331" s="4" t="s">
        <v>7</v>
      </c>
      <c r="P331" s="4" t="s">
        <v>8</v>
      </c>
      <c r="Q331" s="4" t="e">
        <f>IF(Tabela2[[#This Row],[sex]]="Female",Tabela2[[#This Row],[hours-per-week]],NA())</f>
        <v>#N/A</v>
      </c>
      <c r="R331" s="4">
        <f>IF(Tabela2[[#This Row],[sex]]="Male",Tabela2[[#This Row],[hours-per-week]],NA())</f>
        <v>40</v>
      </c>
    </row>
    <row r="332" spans="1:18">
      <c r="A332" s="3" t="s">
        <v>423</v>
      </c>
      <c r="B332" s="4">
        <v>59</v>
      </c>
      <c r="C332" s="4" t="s">
        <v>0</v>
      </c>
      <c r="D332" s="4">
        <v>307423</v>
      </c>
      <c r="E332" s="4" t="s">
        <v>64</v>
      </c>
      <c r="F332" s="4">
        <v>5</v>
      </c>
      <c r="G332" s="4" t="s">
        <v>2</v>
      </c>
      <c r="H332" s="4" t="s">
        <v>3</v>
      </c>
      <c r="I332" s="4" t="s">
        <v>11</v>
      </c>
      <c r="J332" s="4" t="s">
        <v>23</v>
      </c>
      <c r="K332" s="4" t="s">
        <v>18</v>
      </c>
      <c r="L332" s="4">
        <v>0</v>
      </c>
      <c r="M332" s="4">
        <v>0</v>
      </c>
      <c r="N332" s="4">
        <v>50</v>
      </c>
      <c r="O332" s="4" t="s">
        <v>7</v>
      </c>
      <c r="P332" s="4" t="s">
        <v>8</v>
      </c>
      <c r="Q332" s="4" t="e">
        <f>IF(Tabela2[[#This Row],[sex]]="Female",Tabela2[[#This Row],[hours-per-week]],NA())</f>
        <v>#N/A</v>
      </c>
      <c r="R332" s="4">
        <f>IF(Tabela2[[#This Row],[sex]]="Male",Tabela2[[#This Row],[hours-per-week]],NA())</f>
        <v>50</v>
      </c>
    </row>
    <row r="333" spans="1:18">
      <c r="A333" s="3" t="s">
        <v>424</v>
      </c>
      <c r="B333" s="4">
        <v>37</v>
      </c>
      <c r="C333" s="4" t="s">
        <v>0</v>
      </c>
      <c r="D333" s="4">
        <v>103323</v>
      </c>
      <c r="E333" s="4" t="s">
        <v>9</v>
      </c>
      <c r="F333" s="4">
        <v>12</v>
      </c>
      <c r="G333" s="4" t="s">
        <v>29</v>
      </c>
      <c r="H333" s="4" t="s">
        <v>10</v>
      </c>
      <c r="I333" s="4" t="s">
        <v>32</v>
      </c>
      <c r="J333" s="4" t="s">
        <v>5</v>
      </c>
      <c r="K333" s="4" t="s">
        <v>18</v>
      </c>
      <c r="L333" s="4">
        <v>0</v>
      </c>
      <c r="M333" s="4">
        <v>0</v>
      </c>
      <c r="N333" s="4">
        <v>40</v>
      </c>
      <c r="O333" s="4" t="s">
        <v>7</v>
      </c>
      <c r="P333" s="4" t="s">
        <v>8</v>
      </c>
      <c r="Q333" s="4" t="e">
        <f>IF(Tabela2[[#This Row],[sex]]="Female",Tabela2[[#This Row],[hours-per-week]],NA())</f>
        <v>#N/A</v>
      </c>
      <c r="R333" s="4">
        <f>IF(Tabela2[[#This Row],[sex]]="Male",Tabela2[[#This Row],[hours-per-week]],NA())</f>
        <v>40</v>
      </c>
    </row>
    <row r="334" spans="1:18">
      <c r="A334" s="3" t="s">
        <v>425</v>
      </c>
      <c r="B334" s="4">
        <v>36</v>
      </c>
      <c r="C334" s="4" t="s">
        <v>0</v>
      </c>
      <c r="D334" s="4">
        <v>162651</v>
      </c>
      <c r="E334" s="4" t="s">
        <v>28</v>
      </c>
      <c r="F334" s="4">
        <v>9</v>
      </c>
      <c r="G334" s="4" t="s">
        <v>21</v>
      </c>
      <c r="H334" s="4" t="s">
        <v>33</v>
      </c>
      <c r="I334" s="4" t="s">
        <v>11</v>
      </c>
      <c r="J334" s="4" t="s">
        <v>5</v>
      </c>
      <c r="K334" s="4" t="s">
        <v>18</v>
      </c>
      <c r="L334" s="4">
        <v>0</v>
      </c>
      <c r="M334" s="4">
        <v>0</v>
      </c>
      <c r="N334" s="4">
        <v>40</v>
      </c>
      <c r="O334" s="4" t="s">
        <v>61</v>
      </c>
      <c r="P334" s="4" t="s">
        <v>8</v>
      </c>
      <c r="Q334" s="4" t="e">
        <f>IF(Tabela2[[#This Row],[sex]]="Female",Tabela2[[#This Row],[hours-per-week]],NA())</f>
        <v>#N/A</v>
      </c>
      <c r="R334" s="4">
        <f>IF(Tabela2[[#This Row],[sex]]="Male",Tabela2[[#This Row],[hours-per-week]],NA())</f>
        <v>40</v>
      </c>
    </row>
    <row r="335" spans="1:18">
      <c r="A335" s="3" t="s">
        <v>426</v>
      </c>
      <c r="B335" s="4">
        <v>34</v>
      </c>
      <c r="C335" s="4" t="s">
        <v>37</v>
      </c>
      <c r="D335" s="4">
        <v>205256</v>
      </c>
      <c r="E335" s="4" t="s">
        <v>28</v>
      </c>
      <c r="F335" s="4">
        <v>9</v>
      </c>
      <c r="G335" s="4" t="s">
        <v>29</v>
      </c>
      <c r="H335" s="4" t="s">
        <v>37</v>
      </c>
      <c r="I335" s="4" t="s">
        <v>32</v>
      </c>
      <c r="J335" s="4" t="s">
        <v>5</v>
      </c>
      <c r="K335" s="4" t="s">
        <v>18</v>
      </c>
      <c r="L335" s="4">
        <v>2885</v>
      </c>
      <c r="M335" s="4">
        <v>0</v>
      </c>
      <c r="N335" s="4">
        <v>80</v>
      </c>
      <c r="O335" s="4" t="s">
        <v>7</v>
      </c>
      <c r="P335" s="4" t="s">
        <v>8</v>
      </c>
      <c r="Q335" s="4" t="e">
        <f>IF(Tabela2[[#This Row],[sex]]="Female",Tabela2[[#This Row],[hours-per-week]],NA())</f>
        <v>#N/A</v>
      </c>
      <c r="R335" s="4">
        <f>IF(Tabela2[[#This Row],[sex]]="Male",Tabela2[[#This Row],[hours-per-week]],NA())</f>
        <v>80</v>
      </c>
    </row>
    <row r="336" spans="1:18">
      <c r="A336" s="3" t="s">
        <v>427</v>
      </c>
      <c r="B336" s="4">
        <v>25</v>
      </c>
      <c r="C336" s="4" t="s">
        <v>0</v>
      </c>
      <c r="D336" s="4">
        <v>148300</v>
      </c>
      <c r="E336" s="4" t="s">
        <v>26</v>
      </c>
      <c r="F336" s="4">
        <v>13</v>
      </c>
      <c r="G336" s="4" t="s">
        <v>2</v>
      </c>
      <c r="H336" s="4" t="s">
        <v>27</v>
      </c>
      <c r="I336" s="4" t="s">
        <v>4</v>
      </c>
      <c r="J336" s="4" t="s">
        <v>5</v>
      </c>
      <c r="K336" s="4" t="s">
        <v>6</v>
      </c>
      <c r="L336" s="4">
        <v>0</v>
      </c>
      <c r="M336" s="4">
        <v>0</v>
      </c>
      <c r="N336" s="4">
        <v>15</v>
      </c>
      <c r="O336" s="4" t="s">
        <v>7</v>
      </c>
      <c r="P336" s="4" t="s">
        <v>8</v>
      </c>
      <c r="Q336" s="4">
        <f>IF(Tabela2[[#This Row],[sex]]="Female",Tabela2[[#This Row],[hours-per-week]],NA())</f>
        <v>15</v>
      </c>
      <c r="R336" s="4" t="e">
        <f>IF(Tabela2[[#This Row],[sex]]="Male",Tabela2[[#This Row],[hours-per-week]],NA())</f>
        <v>#N/A</v>
      </c>
    </row>
    <row r="337" spans="1:18">
      <c r="A337" s="3" t="s">
        <v>428</v>
      </c>
      <c r="B337" s="4">
        <v>32</v>
      </c>
      <c r="C337" s="4" t="s">
        <v>0</v>
      </c>
      <c r="D337" s="4">
        <v>169589</v>
      </c>
      <c r="E337" s="4" t="s">
        <v>44</v>
      </c>
      <c r="F337" s="4">
        <v>11</v>
      </c>
      <c r="G337" s="4" t="s">
        <v>29</v>
      </c>
      <c r="H337" s="4" t="s">
        <v>34</v>
      </c>
      <c r="I337" s="4" t="s">
        <v>32</v>
      </c>
      <c r="J337" s="4" t="s">
        <v>5</v>
      </c>
      <c r="K337" s="4" t="s">
        <v>18</v>
      </c>
      <c r="L337" s="4">
        <v>0</v>
      </c>
      <c r="M337" s="4">
        <v>0</v>
      </c>
      <c r="N337" s="4">
        <v>40</v>
      </c>
      <c r="O337" s="4" t="s">
        <v>7</v>
      </c>
      <c r="P337" s="4" t="s">
        <v>19</v>
      </c>
      <c r="Q337" s="4" t="e">
        <f>IF(Tabela2[[#This Row],[sex]]="Female",Tabela2[[#This Row],[hours-per-week]],NA())</f>
        <v>#N/A</v>
      </c>
      <c r="R337" s="4">
        <f>IF(Tabela2[[#This Row],[sex]]="Male",Tabela2[[#This Row],[hours-per-week]],NA())</f>
        <v>40</v>
      </c>
    </row>
    <row r="338" spans="1:18">
      <c r="A338" s="3" t="s">
        <v>429</v>
      </c>
      <c r="B338" s="4">
        <v>43</v>
      </c>
      <c r="C338" s="4" t="s">
        <v>0</v>
      </c>
      <c r="D338" s="4">
        <v>145441</v>
      </c>
      <c r="E338" s="4" t="s">
        <v>26</v>
      </c>
      <c r="F338" s="4">
        <v>13</v>
      </c>
      <c r="G338" s="4" t="s">
        <v>29</v>
      </c>
      <c r="H338" s="4" t="s">
        <v>46</v>
      </c>
      <c r="I338" s="4" t="s">
        <v>32</v>
      </c>
      <c r="J338" s="4" t="s">
        <v>5</v>
      </c>
      <c r="K338" s="4" t="s">
        <v>18</v>
      </c>
      <c r="L338" s="4">
        <v>0</v>
      </c>
      <c r="M338" s="4">
        <v>0</v>
      </c>
      <c r="N338" s="4">
        <v>38</v>
      </c>
      <c r="O338" s="4" t="s">
        <v>7</v>
      </c>
      <c r="P338" s="4" t="s">
        <v>19</v>
      </c>
      <c r="Q338" s="4" t="e">
        <f>IF(Tabela2[[#This Row],[sex]]="Female",Tabela2[[#This Row],[hours-per-week]],NA())</f>
        <v>#N/A</v>
      </c>
      <c r="R338" s="4">
        <f>IF(Tabela2[[#This Row],[sex]]="Male",Tabela2[[#This Row],[hours-per-week]],NA())</f>
        <v>38</v>
      </c>
    </row>
    <row r="339" spans="1:18">
      <c r="A339" s="3" t="s">
        <v>430</v>
      </c>
      <c r="B339" s="4">
        <v>58</v>
      </c>
      <c r="C339" s="4" t="s">
        <v>0</v>
      </c>
      <c r="D339" s="4">
        <v>238438</v>
      </c>
      <c r="E339" s="4" t="s">
        <v>12</v>
      </c>
      <c r="F339" s="4">
        <v>10</v>
      </c>
      <c r="G339" s="4" t="s">
        <v>29</v>
      </c>
      <c r="H339" s="4" t="s">
        <v>27</v>
      </c>
      <c r="I339" s="4" t="s">
        <v>32</v>
      </c>
      <c r="J339" s="4" t="s">
        <v>5</v>
      </c>
      <c r="K339" s="4" t="s">
        <v>18</v>
      </c>
      <c r="L339" s="4">
        <v>0</v>
      </c>
      <c r="M339" s="4">
        <v>0</v>
      </c>
      <c r="N339" s="4">
        <v>42</v>
      </c>
      <c r="O339" s="4" t="s">
        <v>7</v>
      </c>
      <c r="P339" s="4" t="s">
        <v>8</v>
      </c>
      <c r="Q339" s="4" t="e">
        <f>IF(Tabela2[[#This Row],[sex]]="Female",Tabela2[[#This Row],[hours-per-week]],NA())</f>
        <v>#N/A</v>
      </c>
      <c r="R339" s="4">
        <f>IF(Tabela2[[#This Row],[sex]]="Male",Tabela2[[#This Row],[hours-per-week]],NA())</f>
        <v>42</v>
      </c>
    </row>
    <row r="340" spans="1:18">
      <c r="A340" s="3" t="s">
        <v>431</v>
      </c>
      <c r="B340" s="4">
        <v>23</v>
      </c>
      <c r="C340" s="4" t="s">
        <v>0</v>
      </c>
      <c r="D340" s="4">
        <v>170070</v>
      </c>
      <c r="E340" s="4" t="s">
        <v>17</v>
      </c>
      <c r="F340" s="4">
        <v>8</v>
      </c>
      <c r="G340" s="4" t="s">
        <v>2</v>
      </c>
      <c r="H340" s="4" t="s">
        <v>3</v>
      </c>
      <c r="I340" s="4" t="s">
        <v>11</v>
      </c>
      <c r="J340" s="4" t="s">
        <v>5</v>
      </c>
      <c r="K340" s="4" t="s">
        <v>6</v>
      </c>
      <c r="L340" s="4">
        <v>0</v>
      </c>
      <c r="M340" s="4">
        <v>0</v>
      </c>
      <c r="N340" s="4">
        <v>38</v>
      </c>
      <c r="O340" s="4" t="s">
        <v>7</v>
      </c>
      <c r="P340" s="4" t="s">
        <v>8</v>
      </c>
      <c r="Q340" s="4">
        <f>IF(Tabela2[[#This Row],[sex]]="Female",Tabela2[[#This Row],[hours-per-week]],NA())</f>
        <v>38</v>
      </c>
      <c r="R340" s="4" t="e">
        <f>IF(Tabela2[[#This Row],[sex]]="Male",Tabela2[[#This Row],[hours-per-week]],NA())</f>
        <v>#N/A</v>
      </c>
    </row>
    <row r="341" spans="1:18">
      <c r="A341" s="3" t="s">
        <v>432</v>
      </c>
      <c r="B341" s="4">
        <v>25</v>
      </c>
      <c r="C341" s="4" t="s">
        <v>0</v>
      </c>
      <c r="D341" s="4">
        <v>207875</v>
      </c>
      <c r="E341" s="4" t="s">
        <v>57</v>
      </c>
      <c r="F341" s="4">
        <v>4</v>
      </c>
      <c r="G341" s="4" t="s">
        <v>29</v>
      </c>
      <c r="H341" s="4" t="s">
        <v>34</v>
      </c>
      <c r="I341" s="4" t="s">
        <v>32</v>
      </c>
      <c r="J341" s="4" t="s">
        <v>5</v>
      </c>
      <c r="K341" s="4" t="s">
        <v>18</v>
      </c>
      <c r="L341" s="4">
        <v>0</v>
      </c>
      <c r="M341" s="4">
        <v>0</v>
      </c>
      <c r="N341" s="4">
        <v>40</v>
      </c>
      <c r="O341" s="4" t="s">
        <v>54</v>
      </c>
      <c r="P341" s="4" t="s">
        <v>8</v>
      </c>
      <c r="Q341" s="4" t="e">
        <f>IF(Tabela2[[#This Row],[sex]]="Female",Tabela2[[#This Row],[hours-per-week]],NA())</f>
        <v>#N/A</v>
      </c>
      <c r="R341" s="4">
        <f>IF(Tabela2[[#This Row],[sex]]="Male",Tabela2[[#This Row],[hours-per-week]],NA())</f>
        <v>40</v>
      </c>
    </row>
    <row r="342" spans="1:18">
      <c r="A342" s="3" t="s">
        <v>433</v>
      </c>
      <c r="B342" s="4">
        <v>28</v>
      </c>
      <c r="C342" s="4" t="s">
        <v>0</v>
      </c>
      <c r="D342" s="4">
        <v>137296</v>
      </c>
      <c r="E342" s="4" t="s">
        <v>9</v>
      </c>
      <c r="F342" s="4">
        <v>12</v>
      </c>
      <c r="G342" s="4" t="s">
        <v>2</v>
      </c>
      <c r="H342" s="4" t="s">
        <v>3</v>
      </c>
      <c r="I342" s="4" t="s">
        <v>11</v>
      </c>
      <c r="J342" s="4" t="s">
        <v>23</v>
      </c>
      <c r="K342" s="4" t="s">
        <v>6</v>
      </c>
      <c r="L342" s="4">
        <v>0</v>
      </c>
      <c r="M342" s="4">
        <v>0</v>
      </c>
      <c r="N342" s="4">
        <v>40</v>
      </c>
      <c r="O342" s="4" t="s">
        <v>7</v>
      </c>
      <c r="P342" s="4" t="s">
        <v>8</v>
      </c>
      <c r="Q342" s="4">
        <f>IF(Tabela2[[#This Row],[sex]]="Female",Tabela2[[#This Row],[hours-per-week]],NA())</f>
        <v>40</v>
      </c>
      <c r="R342" s="4" t="e">
        <f>IF(Tabela2[[#This Row],[sex]]="Male",Tabela2[[#This Row],[hours-per-week]],NA())</f>
        <v>#N/A</v>
      </c>
    </row>
    <row r="343" spans="1:18">
      <c r="A343" s="3" t="s">
        <v>434</v>
      </c>
      <c r="B343" s="4">
        <v>34</v>
      </c>
      <c r="C343" s="4" t="s">
        <v>40</v>
      </c>
      <c r="D343" s="4">
        <v>319165</v>
      </c>
      <c r="E343" s="4" t="s">
        <v>63</v>
      </c>
      <c r="F343" s="4">
        <v>16</v>
      </c>
      <c r="G343" s="4" t="s">
        <v>29</v>
      </c>
      <c r="H343" s="4" t="s">
        <v>27</v>
      </c>
      <c r="I343" s="4" t="s">
        <v>32</v>
      </c>
      <c r="J343" s="4" t="s">
        <v>5</v>
      </c>
      <c r="K343" s="4" t="s">
        <v>18</v>
      </c>
      <c r="L343" s="4">
        <v>0</v>
      </c>
      <c r="M343" s="4">
        <v>0</v>
      </c>
      <c r="N343" s="4">
        <v>50</v>
      </c>
      <c r="O343" s="4" t="s">
        <v>7</v>
      </c>
      <c r="P343" s="4" t="s">
        <v>19</v>
      </c>
      <c r="Q343" s="4" t="e">
        <f>IF(Tabela2[[#This Row],[sex]]="Female",Tabela2[[#This Row],[hours-per-week]],NA())</f>
        <v>#N/A</v>
      </c>
      <c r="R343" s="4">
        <f>IF(Tabela2[[#This Row],[sex]]="Male",Tabela2[[#This Row],[hours-per-week]],NA())</f>
        <v>50</v>
      </c>
    </row>
    <row r="344" spans="1:18">
      <c r="A344" s="3" t="s">
        <v>435</v>
      </c>
      <c r="B344" s="4">
        <v>44</v>
      </c>
      <c r="C344" s="4" t="s">
        <v>0</v>
      </c>
      <c r="D344" s="4">
        <v>128485</v>
      </c>
      <c r="E344" s="4" t="s">
        <v>44</v>
      </c>
      <c r="F344" s="4">
        <v>11</v>
      </c>
      <c r="G344" s="4" t="s">
        <v>29</v>
      </c>
      <c r="H344" s="4" t="s">
        <v>16</v>
      </c>
      <c r="I344" s="4" t="s">
        <v>32</v>
      </c>
      <c r="J344" s="4" t="s">
        <v>23</v>
      </c>
      <c r="K344" s="4" t="s">
        <v>18</v>
      </c>
      <c r="L344" s="4">
        <v>0</v>
      </c>
      <c r="M344" s="4">
        <v>0</v>
      </c>
      <c r="N344" s="4">
        <v>40</v>
      </c>
      <c r="O344" s="4" t="s">
        <v>7</v>
      </c>
      <c r="P344" s="4" t="s">
        <v>8</v>
      </c>
      <c r="Q344" s="4" t="e">
        <f>IF(Tabela2[[#This Row],[sex]]="Female",Tabela2[[#This Row],[hours-per-week]],NA())</f>
        <v>#N/A</v>
      </c>
      <c r="R344" s="4">
        <f>IF(Tabela2[[#This Row],[sex]]="Male",Tabela2[[#This Row],[hours-per-week]],NA())</f>
        <v>40</v>
      </c>
    </row>
    <row r="345" spans="1:18">
      <c r="A345" s="3" t="s">
        <v>436</v>
      </c>
      <c r="B345" s="4">
        <v>22</v>
      </c>
      <c r="C345" s="4" t="s">
        <v>0</v>
      </c>
      <c r="D345" s="4">
        <v>204935</v>
      </c>
      <c r="E345" s="4" t="s">
        <v>28</v>
      </c>
      <c r="F345" s="4">
        <v>9</v>
      </c>
      <c r="G345" s="4" t="s">
        <v>2</v>
      </c>
      <c r="H345" s="4" t="s">
        <v>22</v>
      </c>
      <c r="I345" s="4" t="s">
        <v>4</v>
      </c>
      <c r="J345" s="4" t="s">
        <v>5</v>
      </c>
      <c r="K345" s="4" t="s">
        <v>18</v>
      </c>
      <c r="L345" s="4">
        <v>0</v>
      </c>
      <c r="M345" s="4">
        <v>0</v>
      </c>
      <c r="N345" s="4">
        <v>40</v>
      </c>
      <c r="O345" s="4" t="s">
        <v>7</v>
      </c>
      <c r="P345" s="4" t="s">
        <v>8</v>
      </c>
      <c r="Q345" s="4" t="e">
        <f>IF(Tabela2[[#This Row],[sex]]="Female",Tabela2[[#This Row],[hours-per-week]],NA())</f>
        <v>#N/A</v>
      </c>
      <c r="R345" s="4">
        <f>IF(Tabela2[[#This Row],[sex]]="Male",Tabela2[[#This Row],[hours-per-week]],NA())</f>
        <v>40</v>
      </c>
    </row>
    <row r="346" spans="1:18">
      <c r="A346" s="3" t="s">
        <v>437</v>
      </c>
      <c r="B346" s="4">
        <v>25</v>
      </c>
      <c r="C346" s="4" t="s">
        <v>0</v>
      </c>
      <c r="D346" s="4">
        <v>441210</v>
      </c>
      <c r="E346" s="4" t="s">
        <v>28</v>
      </c>
      <c r="F346" s="4">
        <v>9</v>
      </c>
      <c r="G346" s="4" t="s">
        <v>2</v>
      </c>
      <c r="H346" s="4" t="s">
        <v>27</v>
      </c>
      <c r="I346" s="4" t="s">
        <v>4</v>
      </c>
      <c r="J346" s="4" t="s">
        <v>5</v>
      </c>
      <c r="K346" s="4" t="s">
        <v>18</v>
      </c>
      <c r="L346" s="4">
        <v>0</v>
      </c>
      <c r="M346" s="4">
        <v>0</v>
      </c>
      <c r="N346" s="4">
        <v>40</v>
      </c>
      <c r="O346" s="4" t="s">
        <v>7</v>
      </c>
      <c r="P346" s="4" t="s">
        <v>8</v>
      </c>
      <c r="Q346" s="4" t="e">
        <f>IF(Tabela2[[#This Row],[sex]]="Female",Tabela2[[#This Row],[hours-per-week]],NA())</f>
        <v>#N/A</v>
      </c>
      <c r="R346" s="4">
        <f>IF(Tabela2[[#This Row],[sex]]="Male",Tabela2[[#This Row],[hours-per-week]],NA())</f>
        <v>40</v>
      </c>
    </row>
    <row r="347" spans="1:18">
      <c r="A347" s="3" t="s">
        <v>438</v>
      </c>
      <c r="B347" s="4">
        <v>52</v>
      </c>
      <c r="C347" s="4" t="s">
        <v>0</v>
      </c>
      <c r="D347" s="4">
        <v>137428</v>
      </c>
      <c r="E347" s="4" t="s">
        <v>28</v>
      </c>
      <c r="F347" s="4">
        <v>9</v>
      </c>
      <c r="G347" s="4" t="s">
        <v>15</v>
      </c>
      <c r="H347" s="4" t="s">
        <v>38</v>
      </c>
      <c r="I347" s="4" t="s">
        <v>11</v>
      </c>
      <c r="J347" s="4" t="s">
        <v>5</v>
      </c>
      <c r="K347" s="4" t="s">
        <v>18</v>
      </c>
      <c r="L347" s="4">
        <v>0</v>
      </c>
      <c r="M347" s="4">
        <v>0</v>
      </c>
      <c r="N347" s="4">
        <v>45</v>
      </c>
      <c r="O347" s="4" t="s">
        <v>7</v>
      </c>
      <c r="P347" s="4" t="s">
        <v>8</v>
      </c>
      <c r="Q347" s="4" t="e">
        <f>IF(Tabela2[[#This Row],[sex]]="Female",Tabela2[[#This Row],[hours-per-week]],NA())</f>
        <v>#N/A</v>
      </c>
      <c r="R347" s="4">
        <f>IF(Tabela2[[#This Row],[sex]]="Male",Tabela2[[#This Row],[hours-per-week]],NA())</f>
        <v>45</v>
      </c>
    </row>
    <row r="348" spans="1:18">
      <c r="A348" s="3" t="s">
        <v>439</v>
      </c>
      <c r="B348" s="4">
        <v>32</v>
      </c>
      <c r="C348" s="4" t="s">
        <v>0</v>
      </c>
      <c r="D348" s="4">
        <v>286689</v>
      </c>
      <c r="E348" s="4" t="s">
        <v>9</v>
      </c>
      <c r="F348" s="4">
        <v>12</v>
      </c>
      <c r="G348" s="4" t="s">
        <v>29</v>
      </c>
      <c r="H348" s="4" t="s">
        <v>30</v>
      </c>
      <c r="I348" s="4" t="s">
        <v>32</v>
      </c>
      <c r="J348" s="4" t="s">
        <v>5</v>
      </c>
      <c r="K348" s="4" t="s">
        <v>18</v>
      </c>
      <c r="L348" s="4">
        <v>0</v>
      </c>
      <c r="M348" s="4">
        <v>0</v>
      </c>
      <c r="N348" s="4">
        <v>42</v>
      </c>
      <c r="O348" s="4" t="s">
        <v>7</v>
      </c>
      <c r="P348" s="4" t="s">
        <v>19</v>
      </c>
      <c r="Q348" s="4" t="e">
        <f>IF(Tabela2[[#This Row],[sex]]="Female",Tabela2[[#This Row],[hours-per-week]],NA())</f>
        <v>#N/A</v>
      </c>
      <c r="R348" s="4">
        <f>IF(Tabela2[[#This Row],[sex]]="Male",Tabela2[[#This Row],[hours-per-week]],NA())</f>
        <v>42</v>
      </c>
    </row>
    <row r="349" spans="1:18">
      <c r="A349" s="3" t="s">
        <v>440</v>
      </c>
      <c r="B349" s="4">
        <v>41</v>
      </c>
      <c r="C349" s="4" t="s">
        <v>0</v>
      </c>
      <c r="D349" s="4">
        <v>244945</v>
      </c>
      <c r="E349" s="4" t="s">
        <v>12</v>
      </c>
      <c r="F349" s="4">
        <v>10</v>
      </c>
      <c r="G349" s="4" t="s">
        <v>29</v>
      </c>
      <c r="H349" s="4" t="s">
        <v>46</v>
      </c>
      <c r="I349" s="4" t="s">
        <v>32</v>
      </c>
      <c r="J349" s="4" t="s">
        <v>5</v>
      </c>
      <c r="K349" s="4" t="s">
        <v>18</v>
      </c>
      <c r="L349" s="4">
        <v>0</v>
      </c>
      <c r="M349" s="4">
        <v>0</v>
      </c>
      <c r="N349" s="4">
        <v>40</v>
      </c>
      <c r="O349" s="4" t="s">
        <v>7</v>
      </c>
      <c r="P349" s="4" t="s">
        <v>8</v>
      </c>
      <c r="Q349" s="4" t="e">
        <f>IF(Tabela2[[#This Row],[sex]]="Female",Tabela2[[#This Row],[hours-per-week]],NA())</f>
        <v>#N/A</v>
      </c>
      <c r="R349" s="4">
        <f>IF(Tabela2[[#This Row],[sex]]="Male",Tabela2[[#This Row],[hours-per-week]],NA())</f>
        <v>40</v>
      </c>
    </row>
    <row r="350" spans="1:18">
      <c r="A350" s="3" t="s">
        <v>441</v>
      </c>
      <c r="B350" s="4">
        <v>18</v>
      </c>
      <c r="C350" s="4" t="s">
        <v>0</v>
      </c>
      <c r="D350" s="4">
        <v>92008</v>
      </c>
      <c r="E350" s="4" t="s">
        <v>28</v>
      </c>
      <c r="F350" s="4">
        <v>9</v>
      </c>
      <c r="G350" s="4" t="s">
        <v>2</v>
      </c>
      <c r="H350" s="4" t="s">
        <v>34</v>
      </c>
      <c r="I350" s="4" t="s">
        <v>45</v>
      </c>
      <c r="J350" s="4" t="s">
        <v>5</v>
      </c>
      <c r="K350" s="4" t="s">
        <v>6</v>
      </c>
      <c r="L350" s="4">
        <v>0</v>
      </c>
      <c r="M350" s="4">
        <v>0</v>
      </c>
      <c r="N350" s="4">
        <v>28</v>
      </c>
      <c r="O350" s="4" t="s">
        <v>7</v>
      </c>
      <c r="P350" s="4" t="s">
        <v>8</v>
      </c>
      <c r="Q350" s="4">
        <f>IF(Tabela2[[#This Row],[sex]]="Female",Tabela2[[#This Row],[hours-per-week]],NA())</f>
        <v>28</v>
      </c>
      <c r="R350" s="4" t="e">
        <f>IF(Tabela2[[#This Row],[sex]]="Male",Tabela2[[#This Row],[hours-per-week]],NA())</f>
        <v>#N/A</v>
      </c>
    </row>
    <row r="351" spans="1:18">
      <c r="A351" s="3" t="s">
        <v>442</v>
      </c>
      <c r="B351" s="4">
        <v>37</v>
      </c>
      <c r="C351" s="4" t="s">
        <v>0</v>
      </c>
      <c r="D351" s="4">
        <v>334291</v>
      </c>
      <c r="E351" s="4" t="s">
        <v>26</v>
      </c>
      <c r="F351" s="4">
        <v>13</v>
      </c>
      <c r="G351" s="4" t="s">
        <v>2</v>
      </c>
      <c r="H351" s="4" t="s">
        <v>46</v>
      </c>
      <c r="I351" s="4" t="s">
        <v>11</v>
      </c>
      <c r="J351" s="4" t="s">
        <v>5</v>
      </c>
      <c r="K351" s="4" t="s">
        <v>18</v>
      </c>
      <c r="L351" s="4">
        <v>0</v>
      </c>
      <c r="M351" s="4">
        <v>0</v>
      </c>
      <c r="N351" s="4">
        <v>50</v>
      </c>
      <c r="O351" s="4" t="s">
        <v>7</v>
      </c>
      <c r="P351" s="4" t="s">
        <v>8</v>
      </c>
      <c r="Q351" s="4" t="e">
        <f>IF(Tabela2[[#This Row],[sex]]="Female",Tabela2[[#This Row],[hours-per-week]],NA())</f>
        <v>#N/A</v>
      </c>
      <c r="R351" s="4">
        <f>IF(Tabela2[[#This Row],[sex]]="Male",Tabela2[[#This Row],[hours-per-week]],NA())</f>
        <v>50</v>
      </c>
    </row>
    <row r="352" spans="1:18">
      <c r="A352" s="3" t="s">
        <v>443</v>
      </c>
      <c r="B352" s="4">
        <v>41</v>
      </c>
      <c r="C352" s="4" t="s">
        <v>0</v>
      </c>
      <c r="D352" s="4">
        <v>279914</v>
      </c>
      <c r="E352" s="4" t="s">
        <v>12</v>
      </c>
      <c r="F352" s="4">
        <v>10</v>
      </c>
      <c r="G352" s="4" t="s">
        <v>29</v>
      </c>
      <c r="H352" s="4" t="s">
        <v>33</v>
      </c>
      <c r="I352" s="4" t="s">
        <v>32</v>
      </c>
      <c r="J352" s="4" t="s">
        <v>5</v>
      </c>
      <c r="K352" s="4" t="s">
        <v>18</v>
      </c>
      <c r="L352" s="4">
        <v>0</v>
      </c>
      <c r="M352" s="4">
        <v>0</v>
      </c>
      <c r="N352" s="4">
        <v>45</v>
      </c>
      <c r="O352" s="4" t="s">
        <v>7</v>
      </c>
      <c r="P352" s="4" t="s">
        <v>19</v>
      </c>
      <c r="Q352" s="4" t="e">
        <f>IF(Tabela2[[#This Row],[sex]]="Female",Tabela2[[#This Row],[hours-per-week]],NA())</f>
        <v>#N/A</v>
      </c>
      <c r="R352" s="4">
        <f>IF(Tabela2[[#This Row],[sex]]="Male",Tabela2[[#This Row],[hours-per-week]],NA())</f>
        <v>45</v>
      </c>
    </row>
    <row r="353" spans="1:18">
      <c r="A353" s="3" t="s">
        <v>444</v>
      </c>
      <c r="B353" s="4">
        <v>28</v>
      </c>
      <c r="C353" s="4" t="s">
        <v>0</v>
      </c>
      <c r="D353" s="4">
        <v>201954</v>
      </c>
      <c r="E353" s="4" t="s">
        <v>9</v>
      </c>
      <c r="F353" s="4">
        <v>12</v>
      </c>
      <c r="G353" s="4" t="s">
        <v>2</v>
      </c>
      <c r="H353" s="4" t="s">
        <v>46</v>
      </c>
      <c r="I353" s="4" t="s">
        <v>11</v>
      </c>
      <c r="J353" s="4" t="s">
        <v>5</v>
      </c>
      <c r="K353" s="4" t="s">
        <v>18</v>
      </c>
      <c r="L353" s="4">
        <v>0</v>
      </c>
      <c r="M353" s="4">
        <v>0</v>
      </c>
      <c r="N353" s="4">
        <v>65</v>
      </c>
      <c r="O353" s="4" t="s">
        <v>7</v>
      </c>
      <c r="P353" s="4" t="s">
        <v>19</v>
      </c>
      <c r="Q353" s="4" t="e">
        <f>IF(Tabela2[[#This Row],[sex]]="Female",Tabela2[[#This Row],[hours-per-week]],NA())</f>
        <v>#N/A</v>
      </c>
      <c r="R353" s="4">
        <f>IF(Tabela2[[#This Row],[sex]]="Male",Tabela2[[#This Row],[hours-per-week]],NA())</f>
        <v>65</v>
      </c>
    </row>
    <row r="354" spans="1:18">
      <c r="A354" s="3" t="s">
        <v>445</v>
      </c>
      <c r="B354" s="4">
        <v>40</v>
      </c>
      <c r="C354" s="4" t="s">
        <v>0</v>
      </c>
      <c r="D354" s="4">
        <v>374367</v>
      </c>
      <c r="E354" s="4" t="s">
        <v>44</v>
      </c>
      <c r="F354" s="4">
        <v>11</v>
      </c>
      <c r="G354" s="4" t="s">
        <v>21</v>
      </c>
      <c r="H354" s="4" t="s">
        <v>10</v>
      </c>
      <c r="I354" s="4" t="s">
        <v>11</v>
      </c>
      <c r="J354" s="4" t="s">
        <v>23</v>
      </c>
      <c r="K354" s="4" t="s">
        <v>18</v>
      </c>
      <c r="L354" s="4">
        <v>0</v>
      </c>
      <c r="M354" s="4">
        <v>0</v>
      </c>
      <c r="N354" s="4">
        <v>44</v>
      </c>
      <c r="O354" s="4" t="s">
        <v>7</v>
      </c>
      <c r="P354" s="4" t="s">
        <v>8</v>
      </c>
      <c r="Q354" s="4" t="e">
        <f>IF(Tabela2[[#This Row],[sex]]="Female",Tabela2[[#This Row],[hours-per-week]],NA())</f>
        <v>#N/A</v>
      </c>
      <c r="R354" s="4">
        <f>IF(Tabela2[[#This Row],[sex]]="Male",Tabela2[[#This Row],[hours-per-week]],NA())</f>
        <v>44</v>
      </c>
    </row>
    <row r="355" spans="1:18">
      <c r="A355" s="3" t="s">
        <v>446</v>
      </c>
      <c r="B355" s="4">
        <v>44</v>
      </c>
      <c r="C355" s="4" t="s">
        <v>0</v>
      </c>
      <c r="D355" s="4">
        <v>175669</v>
      </c>
      <c r="E355" s="4" t="s">
        <v>1</v>
      </c>
      <c r="F355" s="4">
        <v>7</v>
      </c>
      <c r="G355" s="4" t="s">
        <v>29</v>
      </c>
      <c r="H355" s="4" t="s">
        <v>27</v>
      </c>
      <c r="I355" s="4" t="s">
        <v>31</v>
      </c>
      <c r="J355" s="4" t="s">
        <v>5</v>
      </c>
      <c r="K355" s="4" t="s">
        <v>6</v>
      </c>
      <c r="L355" s="4">
        <v>5178</v>
      </c>
      <c r="M355" s="4">
        <v>0</v>
      </c>
      <c r="N355" s="4">
        <v>36</v>
      </c>
      <c r="O355" s="4" t="s">
        <v>7</v>
      </c>
      <c r="P355" s="4" t="s">
        <v>19</v>
      </c>
      <c r="Q355" s="4">
        <f>IF(Tabela2[[#This Row],[sex]]="Female",Tabela2[[#This Row],[hours-per-week]],NA())</f>
        <v>36</v>
      </c>
      <c r="R355" s="4" t="e">
        <f>IF(Tabela2[[#This Row],[sex]]="Male",Tabela2[[#This Row],[hours-per-week]],NA())</f>
        <v>#N/A</v>
      </c>
    </row>
    <row r="356" spans="1:18">
      <c r="A356" s="3" t="s">
        <v>447</v>
      </c>
      <c r="B356" s="4">
        <v>48</v>
      </c>
      <c r="C356" s="4" t="s">
        <v>37</v>
      </c>
      <c r="D356" s="4">
        <v>167381</v>
      </c>
      <c r="E356" s="4" t="s">
        <v>28</v>
      </c>
      <c r="F356" s="4">
        <v>9</v>
      </c>
      <c r="G356" s="4" t="s">
        <v>47</v>
      </c>
      <c r="H356" s="4" t="s">
        <v>37</v>
      </c>
      <c r="I356" s="4" t="s">
        <v>35</v>
      </c>
      <c r="J356" s="4" t="s">
        <v>5</v>
      </c>
      <c r="K356" s="4" t="s">
        <v>6</v>
      </c>
      <c r="L356" s="4">
        <v>0</v>
      </c>
      <c r="M356" s="4">
        <v>0</v>
      </c>
      <c r="N356" s="4">
        <v>25</v>
      </c>
      <c r="O356" s="4" t="s">
        <v>7</v>
      </c>
      <c r="P356" s="4" t="s">
        <v>8</v>
      </c>
      <c r="Q356" s="4">
        <f>IF(Tabela2[[#This Row],[sex]]="Female",Tabela2[[#This Row],[hours-per-week]],NA())</f>
        <v>25</v>
      </c>
      <c r="R356" s="4" t="e">
        <f>IF(Tabela2[[#This Row],[sex]]="Male",Tabela2[[#This Row],[hours-per-week]],NA())</f>
        <v>#N/A</v>
      </c>
    </row>
    <row r="357" spans="1:18">
      <c r="A357" s="3" t="s">
        <v>448</v>
      </c>
      <c r="B357" s="4">
        <v>38</v>
      </c>
      <c r="C357" s="4" t="s">
        <v>0</v>
      </c>
      <c r="D357" s="4">
        <v>497788</v>
      </c>
      <c r="E357" s="4" t="s">
        <v>28</v>
      </c>
      <c r="F357" s="4">
        <v>9</v>
      </c>
      <c r="G357" s="4" t="s">
        <v>29</v>
      </c>
      <c r="H357" s="4" t="s">
        <v>16</v>
      </c>
      <c r="I357" s="4" t="s">
        <v>32</v>
      </c>
      <c r="J357" s="4" t="s">
        <v>5</v>
      </c>
      <c r="K357" s="4" t="s">
        <v>18</v>
      </c>
      <c r="L357" s="4">
        <v>0</v>
      </c>
      <c r="M357" s="4">
        <v>0</v>
      </c>
      <c r="N357" s="4">
        <v>50</v>
      </c>
      <c r="O357" s="4" t="s">
        <v>7</v>
      </c>
      <c r="P357" s="4" t="s">
        <v>8</v>
      </c>
      <c r="Q357" s="4" t="e">
        <f>IF(Tabela2[[#This Row],[sex]]="Female",Tabela2[[#This Row],[hours-per-week]],NA())</f>
        <v>#N/A</v>
      </c>
      <c r="R357" s="4">
        <f>IF(Tabela2[[#This Row],[sex]]="Male",Tabela2[[#This Row],[hours-per-week]],NA())</f>
        <v>50</v>
      </c>
    </row>
    <row r="358" spans="1:18">
      <c r="A358" s="3" t="s">
        <v>449</v>
      </c>
      <c r="B358" s="4">
        <v>35</v>
      </c>
      <c r="C358" s="4" t="s">
        <v>0</v>
      </c>
      <c r="D358" s="4">
        <v>82622</v>
      </c>
      <c r="E358" s="4" t="s">
        <v>28</v>
      </c>
      <c r="F358" s="4">
        <v>9</v>
      </c>
      <c r="G358" s="4" t="s">
        <v>15</v>
      </c>
      <c r="H358" s="4" t="s">
        <v>46</v>
      </c>
      <c r="I358" s="4" t="s">
        <v>11</v>
      </c>
      <c r="J358" s="4" t="s">
        <v>5</v>
      </c>
      <c r="K358" s="4" t="s">
        <v>18</v>
      </c>
      <c r="L358" s="4">
        <v>0</v>
      </c>
      <c r="M358" s="4">
        <v>0</v>
      </c>
      <c r="N358" s="4">
        <v>50</v>
      </c>
      <c r="O358" s="4" t="s">
        <v>7</v>
      </c>
      <c r="P358" s="4" t="s">
        <v>8</v>
      </c>
      <c r="Q358" s="4" t="e">
        <f>IF(Tabela2[[#This Row],[sex]]="Female",Tabela2[[#This Row],[hours-per-week]],NA())</f>
        <v>#N/A</v>
      </c>
      <c r="R358" s="4">
        <f>IF(Tabela2[[#This Row],[sex]]="Male",Tabela2[[#This Row],[hours-per-week]],NA())</f>
        <v>50</v>
      </c>
    </row>
    <row r="359" spans="1:18">
      <c r="A359" s="3" t="s">
        <v>450</v>
      </c>
      <c r="B359" s="4">
        <v>22</v>
      </c>
      <c r="C359" s="4" t="s">
        <v>0</v>
      </c>
      <c r="D359" s="4">
        <v>311376</v>
      </c>
      <c r="E359" s="4" t="s">
        <v>26</v>
      </c>
      <c r="F359" s="4">
        <v>13</v>
      </c>
      <c r="G359" s="4" t="s">
        <v>2</v>
      </c>
      <c r="H359" s="4" t="s">
        <v>33</v>
      </c>
      <c r="I359" s="4" t="s">
        <v>4</v>
      </c>
      <c r="J359" s="4" t="s">
        <v>5</v>
      </c>
      <c r="K359" s="4" t="s">
        <v>6</v>
      </c>
      <c r="L359" s="4">
        <v>0</v>
      </c>
      <c r="M359" s="4">
        <v>0</v>
      </c>
      <c r="N359" s="4">
        <v>40</v>
      </c>
      <c r="O359" s="4" t="s">
        <v>7</v>
      </c>
      <c r="P359" s="4" t="s">
        <v>8</v>
      </c>
      <c r="Q359" s="4">
        <f>IF(Tabela2[[#This Row],[sex]]="Female",Tabela2[[#This Row],[hours-per-week]],NA())</f>
        <v>40</v>
      </c>
      <c r="R359" s="4" t="e">
        <f>IF(Tabela2[[#This Row],[sex]]="Male",Tabela2[[#This Row],[hours-per-week]],NA())</f>
        <v>#N/A</v>
      </c>
    </row>
    <row r="360" spans="1:18">
      <c r="A360" s="3" t="s">
        <v>451</v>
      </c>
      <c r="B360" s="4">
        <v>35</v>
      </c>
      <c r="C360" s="4" t="s">
        <v>0</v>
      </c>
      <c r="D360" s="4">
        <v>224889</v>
      </c>
      <c r="E360" s="4" t="s">
        <v>26</v>
      </c>
      <c r="F360" s="4">
        <v>13</v>
      </c>
      <c r="G360" s="4" t="s">
        <v>29</v>
      </c>
      <c r="H360" s="4" t="s">
        <v>10</v>
      </c>
      <c r="I360" s="4" t="s">
        <v>32</v>
      </c>
      <c r="J360" s="4" t="s">
        <v>5</v>
      </c>
      <c r="K360" s="4" t="s">
        <v>18</v>
      </c>
      <c r="L360" s="4">
        <v>0</v>
      </c>
      <c r="M360" s="4">
        <v>0</v>
      </c>
      <c r="N360" s="4">
        <v>40</v>
      </c>
      <c r="O360" s="4" t="s">
        <v>7</v>
      </c>
      <c r="P360" s="4" t="s">
        <v>8</v>
      </c>
      <c r="Q360" s="4" t="e">
        <f>IF(Tabela2[[#This Row],[sex]]="Female",Tabela2[[#This Row],[hours-per-week]],NA())</f>
        <v>#N/A</v>
      </c>
      <c r="R360" s="4">
        <f>IF(Tabela2[[#This Row],[sex]]="Male",Tabela2[[#This Row],[hours-per-week]],NA())</f>
        <v>40</v>
      </c>
    </row>
    <row r="361" spans="1:18">
      <c r="A361" s="3" t="s">
        <v>452</v>
      </c>
      <c r="B361" s="4">
        <v>28</v>
      </c>
      <c r="C361" s="4" t="s">
        <v>41</v>
      </c>
      <c r="D361" s="4">
        <v>281860</v>
      </c>
      <c r="E361" s="4" t="s">
        <v>26</v>
      </c>
      <c r="F361" s="4">
        <v>13</v>
      </c>
      <c r="G361" s="4" t="s">
        <v>2</v>
      </c>
      <c r="H361" s="4" t="s">
        <v>27</v>
      </c>
      <c r="I361" s="4" t="s">
        <v>11</v>
      </c>
      <c r="J361" s="4" t="s">
        <v>5</v>
      </c>
      <c r="K361" s="4" t="s">
        <v>6</v>
      </c>
      <c r="L361" s="4">
        <v>0</v>
      </c>
      <c r="M361" s="4">
        <v>0</v>
      </c>
      <c r="N361" s="4">
        <v>40</v>
      </c>
      <c r="O361" s="4" t="s">
        <v>7</v>
      </c>
      <c r="P361" s="4" t="s">
        <v>8</v>
      </c>
      <c r="Q361" s="4">
        <f>IF(Tabela2[[#This Row],[sex]]="Female",Tabela2[[#This Row],[hours-per-week]],NA())</f>
        <v>40</v>
      </c>
      <c r="R361" s="4" t="e">
        <f>IF(Tabela2[[#This Row],[sex]]="Male",Tabela2[[#This Row],[hours-per-week]],NA())</f>
        <v>#N/A</v>
      </c>
    </row>
    <row r="362" spans="1:18">
      <c r="A362" s="3" t="s">
        <v>453</v>
      </c>
      <c r="B362" s="4">
        <v>61</v>
      </c>
      <c r="C362" s="4" t="s">
        <v>37</v>
      </c>
      <c r="D362" s="4">
        <v>139391</v>
      </c>
      <c r="E362" s="4" t="s">
        <v>12</v>
      </c>
      <c r="F362" s="4">
        <v>10</v>
      </c>
      <c r="G362" s="4" t="s">
        <v>29</v>
      </c>
      <c r="H362" s="4" t="s">
        <v>37</v>
      </c>
      <c r="I362" s="4" t="s">
        <v>32</v>
      </c>
      <c r="J362" s="4" t="s">
        <v>5</v>
      </c>
      <c r="K362" s="4" t="s">
        <v>18</v>
      </c>
      <c r="L362" s="4">
        <v>99999</v>
      </c>
      <c r="M362" s="4">
        <v>0</v>
      </c>
      <c r="N362" s="4">
        <v>30</v>
      </c>
      <c r="O362" s="4" t="s">
        <v>7</v>
      </c>
      <c r="P362" s="4" t="s">
        <v>19</v>
      </c>
      <c r="Q362" s="4" t="e">
        <f>IF(Tabela2[[#This Row],[sex]]="Female",Tabela2[[#This Row],[hours-per-week]],NA())</f>
        <v>#N/A</v>
      </c>
      <c r="R362" s="4">
        <f>IF(Tabela2[[#This Row],[sex]]="Male",Tabela2[[#This Row],[hours-per-week]],NA())</f>
        <v>30</v>
      </c>
    </row>
    <row r="363" spans="1:18">
      <c r="A363" s="3" t="s">
        <v>454</v>
      </c>
      <c r="B363" s="4">
        <v>39</v>
      </c>
      <c r="C363" s="4" t="s">
        <v>0</v>
      </c>
      <c r="D363" s="4">
        <v>216129</v>
      </c>
      <c r="E363" s="4" t="s">
        <v>9</v>
      </c>
      <c r="F363" s="4">
        <v>12</v>
      </c>
      <c r="G363" s="4" t="s">
        <v>15</v>
      </c>
      <c r="H363" s="4" t="s">
        <v>46</v>
      </c>
      <c r="I363" s="4" t="s">
        <v>35</v>
      </c>
      <c r="J363" s="4" t="s">
        <v>23</v>
      </c>
      <c r="K363" s="4" t="s">
        <v>6</v>
      </c>
      <c r="L363" s="4">
        <v>0</v>
      </c>
      <c r="M363" s="4">
        <v>0</v>
      </c>
      <c r="N363" s="4">
        <v>35</v>
      </c>
      <c r="O363" s="4" t="s">
        <v>70</v>
      </c>
      <c r="P363" s="4" t="s">
        <v>8</v>
      </c>
      <c r="Q363" s="4">
        <f>IF(Tabela2[[#This Row],[sex]]="Female",Tabela2[[#This Row],[hours-per-week]],NA())</f>
        <v>35</v>
      </c>
      <c r="R363" s="4" t="e">
        <f>IF(Tabela2[[#This Row],[sex]]="Male",Tabela2[[#This Row],[hours-per-week]],NA())</f>
        <v>#N/A</v>
      </c>
    </row>
    <row r="364" spans="1:18">
      <c r="A364" s="3" t="s">
        <v>455</v>
      </c>
      <c r="B364" s="4">
        <v>18</v>
      </c>
      <c r="C364" s="4" t="s">
        <v>0</v>
      </c>
      <c r="D364" s="4">
        <v>118938</v>
      </c>
      <c r="E364" s="4" t="s">
        <v>1</v>
      </c>
      <c r="F364" s="4">
        <v>7</v>
      </c>
      <c r="G364" s="4" t="s">
        <v>2</v>
      </c>
      <c r="H364" s="4" t="s">
        <v>10</v>
      </c>
      <c r="I364" s="4" t="s">
        <v>4</v>
      </c>
      <c r="J364" s="4" t="s">
        <v>5</v>
      </c>
      <c r="K364" s="4" t="s">
        <v>18</v>
      </c>
      <c r="L364" s="4">
        <v>0</v>
      </c>
      <c r="M364" s="4">
        <v>0</v>
      </c>
      <c r="N364" s="4">
        <v>18</v>
      </c>
      <c r="O364" s="4" t="s">
        <v>7</v>
      </c>
      <c r="P364" s="4" t="s">
        <v>8</v>
      </c>
      <c r="Q364" s="4" t="e">
        <f>IF(Tabela2[[#This Row],[sex]]="Female",Tabela2[[#This Row],[hours-per-week]],NA())</f>
        <v>#N/A</v>
      </c>
      <c r="R364" s="4">
        <f>IF(Tabela2[[#This Row],[sex]]="Male",Tabela2[[#This Row],[hours-per-week]],NA())</f>
        <v>18</v>
      </c>
    </row>
    <row r="365" spans="1:18">
      <c r="A365" s="3" t="s">
        <v>456</v>
      </c>
      <c r="B365" s="4">
        <v>57</v>
      </c>
      <c r="C365" s="4" t="s">
        <v>49</v>
      </c>
      <c r="D365" s="4">
        <v>368797</v>
      </c>
      <c r="E365" s="4" t="s">
        <v>28</v>
      </c>
      <c r="F365" s="4">
        <v>9</v>
      </c>
      <c r="G365" s="4" t="s">
        <v>29</v>
      </c>
      <c r="H365" s="4" t="s">
        <v>46</v>
      </c>
      <c r="I365" s="4" t="s">
        <v>32</v>
      </c>
      <c r="J365" s="4" t="s">
        <v>5</v>
      </c>
      <c r="K365" s="4" t="s">
        <v>18</v>
      </c>
      <c r="L365" s="4">
        <v>0</v>
      </c>
      <c r="M365" s="4">
        <v>0</v>
      </c>
      <c r="N365" s="4">
        <v>40</v>
      </c>
      <c r="O365" s="4" t="s">
        <v>7</v>
      </c>
      <c r="P365" s="4" t="s">
        <v>8</v>
      </c>
      <c r="Q365" s="4" t="e">
        <f>IF(Tabela2[[#This Row],[sex]]="Female",Tabela2[[#This Row],[hours-per-week]],NA())</f>
        <v>#N/A</v>
      </c>
      <c r="R365" s="4">
        <f>IF(Tabela2[[#This Row],[sex]]="Male",Tabela2[[#This Row],[hours-per-week]],NA())</f>
        <v>40</v>
      </c>
    </row>
    <row r="366" spans="1:18">
      <c r="A366" s="3" t="s">
        <v>457</v>
      </c>
      <c r="B366" s="4">
        <v>37</v>
      </c>
      <c r="C366" s="4" t="s">
        <v>0</v>
      </c>
      <c r="D366" s="4">
        <v>215476</v>
      </c>
      <c r="E366" s="4" t="s">
        <v>28</v>
      </c>
      <c r="F366" s="4">
        <v>9</v>
      </c>
      <c r="G366" s="4" t="s">
        <v>2</v>
      </c>
      <c r="H366" s="4" t="s">
        <v>34</v>
      </c>
      <c r="I366" s="4" t="s">
        <v>35</v>
      </c>
      <c r="J366" s="4" t="s">
        <v>23</v>
      </c>
      <c r="K366" s="4" t="s">
        <v>6</v>
      </c>
      <c r="L366" s="4">
        <v>0</v>
      </c>
      <c r="M366" s="4">
        <v>0</v>
      </c>
      <c r="N366" s="4">
        <v>30</v>
      </c>
      <c r="O366" s="4" t="s">
        <v>7</v>
      </c>
      <c r="P366" s="4" t="s">
        <v>8</v>
      </c>
      <c r="Q366" s="4">
        <f>IF(Tabela2[[#This Row],[sex]]="Female",Tabela2[[#This Row],[hours-per-week]],NA())</f>
        <v>30</v>
      </c>
      <c r="R366" s="4" t="e">
        <f>IF(Tabela2[[#This Row],[sex]]="Male",Tabela2[[#This Row],[hours-per-week]],NA())</f>
        <v>#N/A</v>
      </c>
    </row>
    <row r="367" spans="1:18">
      <c r="A367" s="3" t="s">
        <v>458</v>
      </c>
      <c r="B367" s="4">
        <v>33</v>
      </c>
      <c r="C367" s="4" t="s">
        <v>0</v>
      </c>
      <c r="D367" s="4">
        <v>181091</v>
      </c>
      <c r="E367" s="4" t="s">
        <v>43</v>
      </c>
      <c r="F367" s="4">
        <v>6</v>
      </c>
      <c r="G367" s="4" t="s">
        <v>15</v>
      </c>
      <c r="H367" s="4" t="s">
        <v>16</v>
      </c>
      <c r="I367" s="4" t="s">
        <v>11</v>
      </c>
      <c r="J367" s="4" t="s">
        <v>5</v>
      </c>
      <c r="K367" s="4" t="s">
        <v>18</v>
      </c>
      <c r="L367" s="4">
        <v>0</v>
      </c>
      <c r="M367" s="4">
        <v>0</v>
      </c>
      <c r="N367" s="4">
        <v>35</v>
      </c>
      <c r="O367" s="4" t="s">
        <v>71</v>
      </c>
      <c r="P367" s="4" t="s">
        <v>8</v>
      </c>
      <c r="Q367" s="4" t="e">
        <f>IF(Tabela2[[#This Row],[sex]]="Female",Tabela2[[#This Row],[hours-per-week]],NA())</f>
        <v>#N/A</v>
      </c>
      <c r="R367" s="4">
        <f>IF(Tabela2[[#This Row],[sex]]="Male",Tabela2[[#This Row],[hours-per-week]],NA())</f>
        <v>35</v>
      </c>
    </row>
    <row r="368" spans="1:18">
      <c r="A368" s="3" t="s">
        <v>459</v>
      </c>
      <c r="B368" s="4">
        <v>17</v>
      </c>
      <c r="C368" s="4" t="s">
        <v>37</v>
      </c>
      <c r="D368" s="4">
        <v>104025</v>
      </c>
      <c r="E368" s="4" t="s">
        <v>1</v>
      </c>
      <c r="F368" s="4">
        <v>7</v>
      </c>
      <c r="G368" s="4" t="s">
        <v>2</v>
      </c>
      <c r="H368" s="4" t="s">
        <v>37</v>
      </c>
      <c r="I368" s="4" t="s">
        <v>4</v>
      </c>
      <c r="J368" s="4" t="s">
        <v>5</v>
      </c>
      <c r="K368" s="4" t="s">
        <v>18</v>
      </c>
      <c r="L368" s="4">
        <v>0</v>
      </c>
      <c r="M368" s="4">
        <v>0</v>
      </c>
      <c r="N368" s="4">
        <v>18</v>
      </c>
      <c r="O368" s="4" t="s">
        <v>7</v>
      </c>
      <c r="P368" s="4" t="s">
        <v>8</v>
      </c>
      <c r="Q368" s="4" t="e">
        <f>IF(Tabela2[[#This Row],[sex]]="Female",Tabela2[[#This Row],[hours-per-week]],NA())</f>
        <v>#N/A</v>
      </c>
      <c r="R368" s="4">
        <f>IF(Tabela2[[#This Row],[sex]]="Male",Tabela2[[#This Row],[hours-per-week]],NA())</f>
        <v>18</v>
      </c>
    </row>
    <row r="369" spans="1:18">
      <c r="A369" s="3" t="s">
        <v>460</v>
      </c>
      <c r="B369" s="4">
        <v>64</v>
      </c>
      <c r="C369" s="4" t="s">
        <v>0</v>
      </c>
      <c r="D369" s="4">
        <v>143110</v>
      </c>
      <c r="E369" s="4" t="s">
        <v>26</v>
      </c>
      <c r="F369" s="4">
        <v>13</v>
      </c>
      <c r="G369" s="4" t="s">
        <v>47</v>
      </c>
      <c r="H369" s="4" t="s">
        <v>27</v>
      </c>
      <c r="I369" s="4" t="s">
        <v>11</v>
      </c>
      <c r="J369" s="4" t="s">
        <v>5</v>
      </c>
      <c r="K369" s="4" t="s">
        <v>6</v>
      </c>
      <c r="L369" s="4">
        <v>0</v>
      </c>
      <c r="M369" s="4">
        <v>0</v>
      </c>
      <c r="N369" s="4">
        <v>30</v>
      </c>
      <c r="O369" s="4" t="s">
        <v>7</v>
      </c>
      <c r="P369" s="4" t="s">
        <v>8</v>
      </c>
      <c r="Q369" s="4">
        <f>IF(Tabela2[[#This Row],[sex]]="Female",Tabela2[[#This Row],[hours-per-week]],NA())</f>
        <v>30</v>
      </c>
      <c r="R369" s="4" t="e">
        <f>IF(Tabela2[[#This Row],[sex]]="Male",Tabela2[[#This Row],[hours-per-week]],NA())</f>
        <v>#N/A</v>
      </c>
    </row>
    <row r="370" spans="1:18">
      <c r="A370" s="3" t="s">
        <v>461</v>
      </c>
      <c r="B370" s="4">
        <v>33</v>
      </c>
      <c r="C370" s="4" t="s">
        <v>0</v>
      </c>
      <c r="D370" s="4">
        <v>277455</v>
      </c>
      <c r="E370" s="4" t="s">
        <v>39</v>
      </c>
      <c r="F370" s="4">
        <v>14</v>
      </c>
      <c r="G370" s="4" t="s">
        <v>2</v>
      </c>
      <c r="H370" s="4" t="s">
        <v>27</v>
      </c>
      <c r="I370" s="4" t="s">
        <v>11</v>
      </c>
      <c r="J370" s="4" t="s">
        <v>5</v>
      </c>
      <c r="K370" s="4" t="s">
        <v>18</v>
      </c>
      <c r="L370" s="4">
        <v>0</v>
      </c>
      <c r="M370" s="4">
        <v>0</v>
      </c>
      <c r="N370" s="4">
        <v>40</v>
      </c>
      <c r="O370" s="4" t="s">
        <v>7</v>
      </c>
      <c r="P370" s="4" t="s">
        <v>8</v>
      </c>
      <c r="Q370" s="4" t="e">
        <f>IF(Tabela2[[#This Row],[sex]]="Female",Tabela2[[#This Row],[hours-per-week]],NA())</f>
        <v>#N/A</v>
      </c>
      <c r="R370" s="4">
        <f>IF(Tabela2[[#This Row],[sex]]="Male",Tabela2[[#This Row],[hours-per-week]],NA())</f>
        <v>40</v>
      </c>
    </row>
    <row r="371" spans="1:18">
      <c r="A371" s="3" t="s">
        <v>462</v>
      </c>
      <c r="B371" s="4">
        <v>20</v>
      </c>
      <c r="C371" s="4" t="s">
        <v>0</v>
      </c>
      <c r="D371" s="4">
        <v>219122</v>
      </c>
      <c r="E371" s="4" t="s">
        <v>12</v>
      </c>
      <c r="F371" s="4">
        <v>10</v>
      </c>
      <c r="G371" s="4" t="s">
        <v>2</v>
      </c>
      <c r="H371" s="4" t="s">
        <v>3</v>
      </c>
      <c r="I371" s="4" t="s">
        <v>11</v>
      </c>
      <c r="J371" s="4" t="s">
        <v>5</v>
      </c>
      <c r="K371" s="4" t="s">
        <v>18</v>
      </c>
      <c r="L371" s="4">
        <v>0</v>
      </c>
      <c r="M371" s="4">
        <v>0</v>
      </c>
      <c r="N371" s="4">
        <v>40</v>
      </c>
      <c r="O371" s="4" t="s">
        <v>7</v>
      </c>
      <c r="P371" s="4" t="s">
        <v>8</v>
      </c>
      <c r="Q371" s="4" t="e">
        <f>IF(Tabela2[[#This Row],[sex]]="Female",Tabela2[[#This Row],[hours-per-week]],NA())</f>
        <v>#N/A</v>
      </c>
      <c r="R371" s="4">
        <f>IF(Tabela2[[#This Row],[sex]]="Male",Tabela2[[#This Row],[hours-per-week]],NA())</f>
        <v>40</v>
      </c>
    </row>
    <row r="372" spans="1:18">
      <c r="A372" s="3" t="s">
        <v>463</v>
      </c>
      <c r="B372" s="4">
        <v>44</v>
      </c>
      <c r="C372" s="4" t="s">
        <v>0</v>
      </c>
      <c r="D372" s="4">
        <v>121781</v>
      </c>
      <c r="E372" s="4" t="s">
        <v>12</v>
      </c>
      <c r="F372" s="4">
        <v>10</v>
      </c>
      <c r="G372" s="4" t="s">
        <v>15</v>
      </c>
      <c r="H372" s="4" t="s">
        <v>33</v>
      </c>
      <c r="I372" s="4" t="s">
        <v>11</v>
      </c>
      <c r="J372" s="4" t="s">
        <v>36</v>
      </c>
      <c r="K372" s="4" t="s">
        <v>6</v>
      </c>
      <c r="L372" s="4">
        <v>0</v>
      </c>
      <c r="M372" s="4">
        <v>0</v>
      </c>
      <c r="N372" s="4">
        <v>37</v>
      </c>
      <c r="O372" s="4" t="s">
        <v>7</v>
      </c>
      <c r="P372" s="4" t="s">
        <v>8</v>
      </c>
      <c r="Q372" s="4">
        <f>IF(Tabela2[[#This Row],[sex]]="Female",Tabela2[[#This Row],[hours-per-week]],NA())</f>
        <v>37</v>
      </c>
      <c r="R372" s="4" t="e">
        <f>IF(Tabela2[[#This Row],[sex]]="Male",Tabela2[[#This Row],[hours-per-week]],NA())</f>
        <v>#N/A</v>
      </c>
    </row>
    <row r="373" spans="1:18">
      <c r="A373" s="3" t="s">
        <v>464</v>
      </c>
      <c r="B373" s="4">
        <v>42</v>
      </c>
      <c r="C373" s="4" t="s">
        <v>40</v>
      </c>
      <c r="D373" s="4">
        <v>79036</v>
      </c>
      <c r="E373" s="4" t="s">
        <v>26</v>
      </c>
      <c r="F373" s="4">
        <v>13</v>
      </c>
      <c r="G373" s="4" t="s">
        <v>29</v>
      </c>
      <c r="H373" s="4" t="s">
        <v>24</v>
      </c>
      <c r="I373" s="4" t="s">
        <v>32</v>
      </c>
      <c r="J373" s="4" t="s">
        <v>5</v>
      </c>
      <c r="K373" s="4" t="s">
        <v>18</v>
      </c>
      <c r="L373" s="4">
        <v>0</v>
      </c>
      <c r="M373" s="4">
        <v>0</v>
      </c>
      <c r="N373" s="4">
        <v>65</v>
      </c>
      <c r="O373" s="4" t="s">
        <v>7</v>
      </c>
      <c r="P373" s="4" t="s">
        <v>8</v>
      </c>
      <c r="Q373" s="4" t="e">
        <f>IF(Tabela2[[#This Row],[sex]]="Female",Tabela2[[#This Row],[hours-per-week]],NA())</f>
        <v>#N/A</v>
      </c>
      <c r="R373" s="4">
        <f>IF(Tabela2[[#This Row],[sex]]="Male",Tabela2[[#This Row],[hours-per-week]],NA())</f>
        <v>65</v>
      </c>
    </row>
    <row r="374" spans="1:18">
      <c r="A374" s="3" t="s">
        <v>465</v>
      </c>
      <c r="B374" s="4">
        <v>28</v>
      </c>
      <c r="C374" s="4" t="s">
        <v>0</v>
      </c>
      <c r="D374" s="4">
        <v>168901</v>
      </c>
      <c r="E374" s="4" t="s">
        <v>26</v>
      </c>
      <c r="F374" s="4">
        <v>13</v>
      </c>
      <c r="G374" s="4" t="s">
        <v>29</v>
      </c>
      <c r="H374" s="4" t="s">
        <v>27</v>
      </c>
      <c r="I374" s="4" t="s">
        <v>32</v>
      </c>
      <c r="J374" s="4" t="s">
        <v>36</v>
      </c>
      <c r="K374" s="4" t="s">
        <v>18</v>
      </c>
      <c r="L374" s="4">
        <v>0</v>
      </c>
      <c r="M374" s="4">
        <v>0</v>
      </c>
      <c r="N374" s="4">
        <v>40</v>
      </c>
      <c r="O374" s="4" t="s">
        <v>60</v>
      </c>
      <c r="P374" s="4" t="s">
        <v>8</v>
      </c>
      <c r="Q374" s="4" t="e">
        <f>IF(Tabela2[[#This Row],[sex]]="Female",Tabela2[[#This Row],[hours-per-week]],NA())</f>
        <v>#N/A</v>
      </c>
      <c r="R374" s="4">
        <f>IF(Tabela2[[#This Row],[sex]]="Male",Tabela2[[#This Row],[hours-per-week]],NA())</f>
        <v>40</v>
      </c>
    </row>
    <row r="375" spans="1:18">
      <c r="A375" s="3" t="s">
        <v>466</v>
      </c>
      <c r="B375" s="4">
        <v>39</v>
      </c>
      <c r="C375" s="4" t="s">
        <v>25</v>
      </c>
      <c r="D375" s="4">
        <v>55568</v>
      </c>
      <c r="E375" s="4" t="s">
        <v>28</v>
      </c>
      <c r="F375" s="4">
        <v>9</v>
      </c>
      <c r="G375" s="4" t="s">
        <v>29</v>
      </c>
      <c r="H375" s="4" t="s">
        <v>33</v>
      </c>
      <c r="I375" s="4" t="s">
        <v>31</v>
      </c>
      <c r="J375" s="4" t="s">
        <v>5</v>
      </c>
      <c r="K375" s="4" t="s">
        <v>6</v>
      </c>
      <c r="L375" s="4">
        <v>0</v>
      </c>
      <c r="M375" s="4">
        <v>0</v>
      </c>
      <c r="N375" s="4">
        <v>40</v>
      </c>
      <c r="O375" s="4" t="s">
        <v>7</v>
      </c>
      <c r="P375" s="4" t="s">
        <v>8</v>
      </c>
      <c r="Q375" s="4">
        <f>IF(Tabela2[[#This Row],[sex]]="Female",Tabela2[[#This Row],[hours-per-week]],NA())</f>
        <v>40</v>
      </c>
      <c r="R375" s="4" t="e">
        <f>IF(Tabela2[[#This Row],[sex]]="Male",Tabela2[[#This Row],[hours-per-week]],NA())</f>
        <v>#N/A</v>
      </c>
    </row>
    <row r="376" spans="1:18">
      <c r="A376" s="3" t="s">
        <v>467</v>
      </c>
      <c r="B376" s="4">
        <v>32</v>
      </c>
      <c r="C376" s="4" t="s">
        <v>0</v>
      </c>
      <c r="D376" s="4">
        <v>316470</v>
      </c>
      <c r="E376" s="4" t="s">
        <v>14</v>
      </c>
      <c r="F376" s="4">
        <v>3</v>
      </c>
      <c r="G376" s="4" t="s">
        <v>29</v>
      </c>
      <c r="H376" s="4" t="s">
        <v>16</v>
      </c>
      <c r="I376" s="4" t="s">
        <v>32</v>
      </c>
      <c r="J376" s="4" t="s">
        <v>5</v>
      </c>
      <c r="K376" s="4" t="s">
        <v>18</v>
      </c>
      <c r="L376" s="4">
        <v>0</v>
      </c>
      <c r="M376" s="4">
        <v>0</v>
      </c>
      <c r="N376" s="4">
        <v>60</v>
      </c>
      <c r="O376" s="4" t="s">
        <v>54</v>
      </c>
      <c r="P376" s="4" t="s">
        <v>8</v>
      </c>
      <c r="Q376" s="4" t="e">
        <f>IF(Tabela2[[#This Row],[sex]]="Female",Tabela2[[#This Row],[hours-per-week]],NA())</f>
        <v>#N/A</v>
      </c>
      <c r="R376" s="4">
        <f>IF(Tabela2[[#This Row],[sex]]="Male",Tabela2[[#This Row],[hours-per-week]],NA())</f>
        <v>60</v>
      </c>
    </row>
    <row r="377" spans="1:18">
      <c r="A377" s="3" t="s">
        <v>468</v>
      </c>
      <c r="B377" s="4">
        <v>22</v>
      </c>
      <c r="C377" s="4" t="s">
        <v>41</v>
      </c>
      <c r="D377" s="4">
        <v>32950</v>
      </c>
      <c r="E377" s="4" t="s">
        <v>12</v>
      </c>
      <c r="F377" s="4">
        <v>10</v>
      </c>
      <c r="G377" s="4" t="s">
        <v>29</v>
      </c>
      <c r="H377" s="4" t="s">
        <v>10</v>
      </c>
      <c r="I377" s="4" t="s">
        <v>32</v>
      </c>
      <c r="J377" s="4" t="s">
        <v>5</v>
      </c>
      <c r="K377" s="4" t="s">
        <v>18</v>
      </c>
      <c r="L377" s="4">
        <v>0</v>
      </c>
      <c r="M377" s="4">
        <v>1902</v>
      </c>
      <c r="N377" s="4">
        <v>37</v>
      </c>
      <c r="O377" s="4" t="s">
        <v>7</v>
      </c>
      <c r="P377" s="4" t="s">
        <v>8</v>
      </c>
      <c r="Q377" s="4" t="e">
        <f>IF(Tabela2[[#This Row],[sex]]="Female",Tabela2[[#This Row],[hours-per-week]],NA())</f>
        <v>#N/A</v>
      </c>
      <c r="R377" s="4">
        <f>IF(Tabela2[[#This Row],[sex]]="Male",Tabela2[[#This Row],[hours-per-week]],NA())</f>
        <v>37</v>
      </c>
    </row>
    <row r="378" spans="1:18">
      <c r="A378" s="3" t="s">
        <v>469</v>
      </c>
      <c r="B378" s="4">
        <v>54</v>
      </c>
      <c r="C378" s="4" t="s">
        <v>0</v>
      </c>
      <c r="D378" s="4">
        <v>378747</v>
      </c>
      <c r="E378" s="4" t="s">
        <v>43</v>
      </c>
      <c r="F378" s="4">
        <v>6</v>
      </c>
      <c r="G378" s="4" t="s">
        <v>21</v>
      </c>
      <c r="H378" s="4" t="s">
        <v>38</v>
      </c>
      <c r="I378" s="4" t="s">
        <v>35</v>
      </c>
      <c r="J378" s="4" t="s">
        <v>23</v>
      </c>
      <c r="K378" s="4" t="s">
        <v>18</v>
      </c>
      <c r="L378" s="4">
        <v>0</v>
      </c>
      <c r="M378" s="4">
        <v>0</v>
      </c>
      <c r="N378" s="4">
        <v>45</v>
      </c>
      <c r="O378" s="4" t="s">
        <v>7</v>
      </c>
      <c r="P378" s="4" t="s">
        <v>19</v>
      </c>
      <c r="Q378" s="4" t="e">
        <f>IF(Tabela2[[#This Row],[sex]]="Female",Tabela2[[#This Row],[hours-per-week]],NA())</f>
        <v>#N/A</v>
      </c>
      <c r="R378" s="4">
        <f>IF(Tabela2[[#This Row],[sex]]="Male",Tabela2[[#This Row],[hours-per-week]],NA())</f>
        <v>45</v>
      </c>
    </row>
    <row r="379" spans="1:18">
      <c r="A379" s="3" t="s">
        <v>470</v>
      </c>
      <c r="B379" s="4">
        <v>44</v>
      </c>
      <c r="C379" s="4" t="s">
        <v>0</v>
      </c>
      <c r="D379" s="4">
        <v>322391</v>
      </c>
      <c r="E379" s="4" t="s">
        <v>1</v>
      </c>
      <c r="F379" s="4">
        <v>7</v>
      </c>
      <c r="G379" s="4" t="s">
        <v>21</v>
      </c>
      <c r="H379" s="4" t="s">
        <v>3</v>
      </c>
      <c r="I379" s="4" t="s">
        <v>35</v>
      </c>
      <c r="J379" s="4" t="s">
        <v>23</v>
      </c>
      <c r="K379" s="4" t="s">
        <v>6</v>
      </c>
      <c r="L379" s="4">
        <v>0</v>
      </c>
      <c r="M379" s="4">
        <v>0</v>
      </c>
      <c r="N379" s="4">
        <v>30</v>
      </c>
      <c r="O379" s="4" t="s">
        <v>7</v>
      </c>
      <c r="P379" s="4" t="s">
        <v>8</v>
      </c>
      <c r="Q379" s="4">
        <f>IF(Tabela2[[#This Row],[sex]]="Female",Tabela2[[#This Row],[hours-per-week]],NA())</f>
        <v>30</v>
      </c>
      <c r="R379" s="4" t="e">
        <f>IF(Tabela2[[#This Row],[sex]]="Male",Tabela2[[#This Row],[hours-per-week]],NA())</f>
        <v>#N/A</v>
      </c>
    </row>
    <row r="380" spans="1:18">
      <c r="A380" s="3" t="s">
        <v>471</v>
      </c>
      <c r="B380" s="4">
        <v>62</v>
      </c>
      <c r="C380" s="4" t="s">
        <v>0</v>
      </c>
      <c r="D380" s="4">
        <v>174201</v>
      </c>
      <c r="E380" s="4" t="s">
        <v>64</v>
      </c>
      <c r="F380" s="4">
        <v>5</v>
      </c>
      <c r="G380" s="4" t="s">
        <v>47</v>
      </c>
      <c r="H380" s="4" t="s">
        <v>3</v>
      </c>
      <c r="I380" s="4" t="s">
        <v>35</v>
      </c>
      <c r="J380" s="4" t="s">
        <v>23</v>
      </c>
      <c r="K380" s="4" t="s">
        <v>6</v>
      </c>
      <c r="L380" s="4">
        <v>0</v>
      </c>
      <c r="M380" s="4">
        <v>0</v>
      </c>
      <c r="N380" s="4">
        <v>25</v>
      </c>
      <c r="O380" s="4" t="s">
        <v>7</v>
      </c>
      <c r="P380" s="4" t="s">
        <v>8</v>
      </c>
      <c r="Q380" s="4">
        <f>IF(Tabela2[[#This Row],[sex]]="Female",Tabela2[[#This Row],[hours-per-week]],NA())</f>
        <v>25</v>
      </c>
      <c r="R380" s="4" t="e">
        <f>IF(Tabela2[[#This Row],[sex]]="Male",Tabela2[[#This Row],[hours-per-week]],NA())</f>
        <v>#N/A</v>
      </c>
    </row>
    <row r="381" spans="1:18">
      <c r="A381" s="3" t="s">
        <v>472</v>
      </c>
      <c r="B381" s="4">
        <v>29</v>
      </c>
      <c r="C381" s="4" t="s">
        <v>0</v>
      </c>
      <c r="D381" s="4">
        <v>255949</v>
      </c>
      <c r="E381" s="4" t="s">
        <v>26</v>
      </c>
      <c r="F381" s="4">
        <v>13</v>
      </c>
      <c r="G381" s="4" t="s">
        <v>2</v>
      </c>
      <c r="H381" s="4" t="s">
        <v>10</v>
      </c>
      <c r="I381" s="4" t="s">
        <v>35</v>
      </c>
      <c r="J381" s="4" t="s">
        <v>23</v>
      </c>
      <c r="K381" s="4" t="s">
        <v>18</v>
      </c>
      <c r="L381" s="4">
        <v>0</v>
      </c>
      <c r="M381" s="4">
        <v>0</v>
      </c>
      <c r="N381" s="4">
        <v>40</v>
      </c>
      <c r="O381" s="4" t="s">
        <v>7</v>
      </c>
      <c r="P381" s="4" t="s">
        <v>8</v>
      </c>
      <c r="Q381" s="4" t="e">
        <f>IF(Tabela2[[#This Row],[sex]]="Female",Tabela2[[#This Row],[hours-per-week]],NA())</f>
        <v>#N/A</v>
      </c>
      <c r="R381" s="4">
        <f>IF(Tabela2[[#This Row],[sex]]="Male",Tabela2[[#This Row],[hours-per-week]],NA())</f>
        <v>40</v>
      </c>
    </row>
    <row r="382" spans="1:18">
      <c r="A382" s="3" t="s">
        <v>473</v>
      </c>
      <c r="B382" s="4">
        <v>31</v>
      </c>
      <c r="C382" s="4" t="s">
        <v>0</v>
      </c>
      <c r="D382" s="4">
        <v>145935</v>
      </c>
      <c r="E382" s="4" t="s">
        <v>28</v>
      </c>
      <c r="F382" s="4">
        <v>9</v>
      </c>
      <c r="G382" s="4" t="s">
        <v>2</v>
      </c>
      <c r="H382" s="4" t="s">
        <v>46</v>
      </c>
      <c r="I382" s="4" t="s">
        <v>4</v>
      </c>
      <c r="J382" s="4" t="s">
        <v>23</v>
      </c>
      <c r="K382" s="4" t="s">
        <v>18</v>
      </c>
      <c r="L382" s="4">
        <v>0</v>
      </c>
      <c r="M382" s="4">
        <v>0</v>
      </c>
      <c r="N382" s="4">
        <v>40</v>
      </c>
      <c r="O382" s="4" t="s">
        <v>7</v>
      </c>
      <c r="P382" s="4" t="s">
        <v>8</v>
      </c>
      <c r="Q382" s="4" t="e">
        <f>IF(Tabela2[[#This Row],[sex]]="Female",Tabela2[[#This Row],[hours-per-week]],NA())</f>
        <v>#N/A</v>
      </c>
      <c r="R382" s="4">
        <f>IF(Tabela2[[#This Row],[sex]]="Male",Tabela2[[#This Row],[hours-per-week]],NA())</f>
        <v>40</v>
      </c>
    </row>
    <row r="383" spans="1:18">
      <c r="A383" s="3" t="s">
        <v>474</v>
      </c>
      <c r="B383" s="4">
        <v>33</v>
      </c>
      <c r="C383" s="4" t="s">
        <v>40</v>
      </c>
      <c r="D383" s="4">
        <v>67482</v>
      </c>
      <c r="E383" s="4" t="s">
        <v>44</v>
      </c>
      <c r="F383" s="4">
        <v>11</v>
      </c>
      <c r="G383" s="4" t="s">
        <v>15</v>
      </c>
      <c r="H383" s="4" t="s">
        <v>3</v>
      </c>
      <c r="I383" s="4" t="s">
        <v>35</v>
      </c>
      <c r="J383" s="4" t="s">
        <v>5</v>
      </c>
      <c r="K383" s="4" t="s">
        <v>6</v>
      </c>
      <c r="L383" s="4">
        <v>0</v>
      </c>
      <c r="M383" s="4">
        <v>0</v>
      </c>
      <c r="N383" s="4">
        <v>99</v>
      </c>
      <c r="O383" s="4" t="s">
        <v>7</v>
      </c>
      <c r="P383" s="4" t="s">
        <v>8</v>
      </c>
      <c r="Q383" s="4">
        <f>IF(Tabela2[[#This Row],[sex]]="Female",Tabela2[[#This Row],[hours-per-week]],NA())</f>
        <v>99</v>
      </c>
      <c r="R383" s="4" t="e">
        <f>IF(Tabela2[[#This Row],[sex]]="Male",Tabela2[[#This Row],[hours-per-week]],NA())</f>
        <v>#N/A</v>
      </c>
    </row>
    <row r="384" spans="1:18">
      <c r="A384" s="3" t="s">
        <v>475</v>
      </c>
      <c r="B384" s="4">
        <v>33</v>
      </c>
      <c r="C384" s="4" t="s">
        <v>0</v>
      </c>
      <c r="D384" s="4">
        <v>213308</v>
      </c>
      <c r="E384" s="4" t="s">
        <v>44</v>
      </c>
      <c r="F384" s="4">
        <v>11</v>
      </c>
      <c r="G384" s="4" t="s">
        <v>21</v>
      </c>
      <c r="H384" s="4" t="s">
        <v>33</v>
      </c>
      <c r="I384" s="4" t="s">
        <v>4</v>
      </c>
      <c r="J384" s="4" t="s">
        <v>23</v>
      </c>
      <c r="K384" s="4" t="s">
        <v>6</v>
      </c>
      <c r="L384" s="4">
        <v>0</v>
      </c>
      <c r="M384" s="4">
        <v>0</v>
      </c>
      <c r="N384" s="4">
        <v>50</v>
      </c>
      <c r="O384" s="4" t="s">
        <v>7</v>
      </c>
      <c r="P384" s="4" t="s">
        <v>8</v>
      </c>
      <c r="Q384" s="4">
        <f>IF(Tabela2[[#This Row],[sex]]="Female",Tabela2[[#This Row],[hours-per-week]],NA())</f>
        <v>50</v>
      </c>
      <c r="R384" s="4" t="e">
        <f>IF(Tabela2[[#This Row],[sex]]="Male",Tabela2[[#This Row],[hours-per-week]],NA())</f>
        <v>#N/A</v>
      </c>
    </row>
    <row r="385" spans="1:18">
      <c r="A385" s="3" t="s">
        <v>476</v>
      </c>
      <c r="B385" s="4">
        <v>21</v>
      </c>
      <c r="C385" s="4" t="s">
        <v>37</v>
      </c>
      <c r="D385" s="4">
        <v>170070</v>
      </c>
      <c r="E385" s="4" t="s">
        <v>12</v>
      </c>
      <c r="F385" s="4">
        <v>10</v>
      </c>
      <c r="G385" s="4" t="s">
        <v>2</v>
      </c>
      <c r="H385" s="4" t="s">
        <v>37</v>
      </c>
      <c r="I385" s="4" t="s">
        <v>11</v>
      </c>
      <c r="J385" s="4" t="s">
        <v>5</v>
      </c>
      <c r="K385" s="4" t="s">
        <v>6</v>
      </c>
      <c r="L385" s="4">
        <v>0</v>
      </c>
      <c r="M385" s="4">
        <v>0</v>
      </c>
      <c r="N385" s="4">
        <v>10</v>
      </c>
      <c r="O385" s="4" t="s">
        <v>7</v>
      </c>
      <c r="P385" s="4" t="s">
        <v>8</v>
      </c>
      <c r="Q385" s="4">
        <f>IF(Tabela2[[#This Row],[sex]]="Female",Tabela2[[#This Row],[hours-per-week]],NA())</f>
        <v>10</v>
      </c>
      <c r="R385" s="4" t="e">
        <f>IF(Tabela2[[#This Row],[sex]]="Male",Tabela2[[#This Row],[hours-per-week]],NA())</f>
        <v>#N/A</v>
      </c>
    </row>
    <row r="386" spans="1:18">
      <c r="A386" s="3" t="s">
        <v>477</v>
      </c>
      <c r="B386" s="4">
        <v>44</v>
      </c>
      <c r="C386" s="4" t="s">
        <v>41</v>
      </c>
      <c r="D386" s="4">
        <v>161240</v>
      </c>
      <c r="E386" s="4" t="s">
        <v>28</v>
      </c>
      <c r="F386" s="4">
        <v>9</v>
      </c>
      <c r="G386" s="4" t="s">
        <v>15</v>
      </c>
      <c r="H386" s="4" t="s">
        <v>22</v>
      </c>
      <c r="I386" s="4" t="s">
        <v>11</v>
      </c>
      <c r="J386" s="4" t="s">
        <v>5</v>
      </c>
      <c r="K386" s="4" t="s">
        <v>18</v>
      </c>
      <c r="L386" s="4">
        <v>0</v>
      </c>
      <c r="M386" s="4">
        <v>0</v>
      </c>
      <c r="N386" s="4">
        <v>40</v>
      </c>
      <c r="O386" s="4" t="s">
        <v>7</v>
      </c>
      <c r="P386" s="4" t="s">
        <v>8</v>
      </c>
      <c r="Q386" s="4" t="e">
        <f>IF(Tabela2[[#This Row],[sex]]="Female",Tabela2[[#This Row],[hours-per-week]],NA())</f>
        <v>#N/A</v>
      </c>
      <c r="R386" s="4">
        <f>IF(Tabela2[[#This Row],[sex]]="Male",Tabela2[[#This Row],[hours-per-week]],NA())</f>
        <v>40</v>
      </c>
    </row>
    <row r="387" spans="1:18">
      <c r="A387" s="3" t="s">
        <v>478</v>
      </c>
      <c r="B387" s="4">
        <v>37</v>
      </c>
      <c r="C387" s="4" t="s">
        <v>0</v>
      </c>
      <c r="D387" s="4">
        <v>94334</v>
      </c>
      <c r="E387" s="4" t="s">
        <v>57</v>
      </c>
      <c r="F387" s="4">
        <v>4</v>
      </c>
      <c r="G387" s="4" t="s">
        <v>2</v>
      </c>
      <c r="H387" s="4" t="s">
        <v>22</v>
      </c>
      <c r="I387" s="4" t="s">
        <v>4</v>
      </c>
      <c r="J387" s="4" t="s">
        <v>5</v>
      </c>
      <c r="K387" s="4" t="s">
        <v>6</v>
      </c>
      <c r="L387" s="4">
        <v>0</v>
      </c>
      <c r="M387" s="4">
        <v>0</v>
      </c>
      <c r="N387" s="4">
        <v>25</v>
      </c>
      <c r="O387" s="4" t="s">
        <v>7</v>
      </c>
      <c r="P387" s="4" t="s">
        <v>8</v>
      </c>
      <c r="Q387" s="4">
        <f>IF(Tabela2[[#This Row],[sex]]="Female",Tabela2[[#This Row],[hours-per-week]],NA())</f>
        <v>25</v>
      </c>
      <c r="R387" s="4" t="e">
        <f>IF(Tabela2[[#This Row],[sex]]="Male",Tabela2[[#This Row],[hours-per-week]],NA())</f>
        <v>#N/A</v>
      </c>
    </row>
    <row r="388" spans="1:18">
      <c r="A388" s="3" t="s">
        <v>479</v>
      </c>
      <c r="B388" s="4">
        <v>19</v>
      </c>
      <c r="C388" s="4" t="s">
        <v>0</v>
      </c>
      <c r="D388" s="4">
        <v>144911</v>
      </c>
      <c r="E388" s="4" t="s">
        <v>12</v>
      </c>
      <c r="F388" s="4">
        <v>10</v>
      </c>
      <c r="G388" s="4" t="s">
        <v>2</v>
      </c>
      <c r="H388" s="4" t="s">
        <v>3</v>
      </c>
      <c r="I388" s="4" t="s">
        <v>4</v>
      </c>
      <c r="J388" s="4" t="s">
        <v>5</v>
      </c>
      <c r="K388" s="4" t="s">
        <v>18</v>
      </c>
      <c r="L388" s="4">
        <v>0</v>
      </c>
      <c r="M388" s="4">
        <v>0</v>
      </c>
      <c r="N388" s="4">
        <v>20</v>
      </c>
      <c r="O388" s="4" t="s">
        <v>7</v>
      </c>
      <c r="P388" s="4" t="s">
        <v>8</v>
      </c>
      <c r="Q388" s="4" t="e">
        <f>IF(Tabela2[[#This Row],[sex]]="Female",Tabela2[[#This Row],[hours-per-week]],NA())</f>
        <v>#N/A</v>
      </c>
      <c r="R388" s="4">
        <f>IF(Tabela2[[#This Row],[sex]]="Male",Tabela2[[#This Row],[hours-per-week]],NA())</f>
        <v>20</v>
      </c>
    </row>
    <row r="389" spans="1:18">
      <c r="A389" s="3" t="s">
        <v>480</v>
      </c>
      <c r="B389" s="4">
        <v>32</v>
      </c>
      <c r="C389" s="4" t="s">
        <v>20</v>
      </c>
      <c r="D389" s="4">
        <v>100135</v>
      </c>
      <c r="E389" s="4" t="s">
        <v>28</v>
      </c>
      <c r="F389" s="4">
        <v>9</v>
      </c>
      <c r="G389" s="4" t="s">
        <v>15</v>
      </c>
      <c r="H389" s="4" t="s">
        <v>33</v>
      </c>
      <c r="I389" s="4" t="s">
        <v>35</v>
      </c>
      <c r="J389" s="4" t="s">
        <v>5</v>
      </c>
      <c r="K389" s="4" t="s">
        <v>6</v>
      </c>
      <c r="L389" s="4">
        <v>0</v>
      </c>
      <c r="M389" s="4">
        <v>0</v>
      </c>
      <c r="N389" s="4">
        <v>40</v>
      </c>
      <c r="O389" s="4" t="s">
        <v>7</v>
      </c>
      <c r="P389" s="4" t="s">
        <v>8</v>
      </c>
      <c r="Q389" s="4">
        <f>IF(Tabela2[[#This Row],[sex]]="Female",Tabela2[[#This Row],[hours-per-week]],NA())</f>
        <v>40</v>
      </c>
      <c r="R389" s="4" t="e">
        <f>IF(Tabela2[[#This Row],[sex]]="Male",Tabela2[[#This Row],[hours-per-week]],NA())</f>
        <v>#N/A</v>
      </c>
    </row>
    <row r="390" spans="1:18">
      <c r="A390" s="3" t="s">
        <v>481</v>
      </c>
      <c r="B390" s="4">
        <v>58</v>
      </c>
      <c r="C390" s="4" t="s">
        <v>20</v>
      </c>
      <c r="D390" s="4">
        <v>34878</v>
      </c>
      <c r="E390" s="4" t="s">
        <v>26</v>
      </c>
      <c r="F390" s="4">
        <v>13</v>
      </c>
      <c r="G390" s="4" t="s">
        <v>15</v>
      </c>
      <c r="H390" s="4" t="s">
        <v>27</v>
      </c>
      <c r="I390" s="4" t="s">
        <v>11</v>
      </c>
      <c r="J390" s="4" t="s">
        <v>5</v>
      </c>
      <c r="K390" s="4" t="s">
        <v>6</v>
      </c>
      <c r="L390" s="4">
        <v>0</v>
      </c>
      <c r="M390" s="4">
        <v>0</v>
      </c>
      <c r="N390" s="4">
        <v>50</v>
      </c>
      <c r="O390" s="4" t="s">
        <v>7</v>
      </c>
      <c r="P390" s="4" t="s">
        <v>8</v>
      </c>
      <c r="Q390" s="4">
        <f>IF(Tabela2[[#This Row],[sex]]="Female",Tabela2[[#This Row],[hours-per-week]],NA())</f>
        <v>50</v>
      </c>
      <c r="R390" s="4" t="e">
        <f>IF(Tabela2[[#This Row],[sex]]="Male",Tabela2[[#This Row],[hours-per-week]],NA())</f>
        <v>#N/A</v>
      </c>
    </row>
    <row r="391" spans="1:18">
      <c r="A391" s="3" t="s">
        <v>482</v>
      </c>
      <c r="B391" s="4">
        <v>44</v>
      </c>
      <c r="C391" s="4" t="s">
        <v>49</v>
      </c>
      <c r="D391" s="4">
        <v>37997</v>
      </c>
      <c r="E391" s="4" t="s">
        <v>28</v>
      </c>
      <c r="F391" s="4">
        <v>9</v>
      </c>
      <c r="G391" s="4" t="s">
        <v>29</v>
      </c>
      <c r="H391" s="4" t="s">
        <v>24</v>
      </c>
      <c r="I391" s="4" t="s">
        <v>32</v>
      </c>
      <c r="J391" s="4" t="s">
        <v>5</v>
      </c>
      <c r="K391" s="4" t="s">
        <v>18</v>
      </c>
      <c r="L391" s="4">
        <v>0</v>
      </c>
      <c r="M391" s="4">
        <v>0</v>
      </c>
      <c r="N391" s="4">
        <v>60</v>
      </c>
      <c r="O391" s="4" t="s">
        <v>7</v>
      </c>
      <c r="P391" s="4" t="s">
        <v>8</v>
      </c>
      <c r="Q391" s="4" t="e">
        <f>IF(Tabela2[[#This Row],[sex]]="Female",Tabela2[[#This Row],[hours-per-week]],NA())</f>
        <v>#N/A</v>
      </c>
      <c r="R391" s="4">
        <f>IF(Tabela2[[#This Row],[sex]]="Male",Tabela2[[#This Row],[hours-per-week]],NA())</f>
        <v>60</v>
      </c>
    </row>
    <row r="392" spans="1:18">
      <c r="A392" s="3" t="s">
        <v>483</v>
      </c>
      <c r="B392" s="4">
        <v>25</v>
      </c>
      <c r="C392" s="4" t="s">
        <v>20</v>
      </c>
      <c r="D392" s="4">
        <v>176616</v>
      </c>
      <c r="E392" s="4" t="s">
        <v>28</v>
      </c>
      <c r="F392" s="4">
        <v>9</v>
      </c>
      <c r="G392" s="4" t="s">
        <v>2</v>
      </c>
      <c r="H392" s="4" t="s">
        <v>3</v>
      </c>
      <c r="I392" s="4" t="s">
        <v>4</v>
      </c>
      <c r="J392" s="4" t="s">
        <v>5</v>
      </c>
      <c r="K392" s="4" t="s">
        <v>18</v>
      </c>
      <c r="L392" s="4">
        <v>0</v>
      </c>
      <c r="M392" s="4">
        <v>0</v>
      </c>
      <c r="N392" s="4">
        <v>40</v>
      </c>
      <c r="O392" s="4" t="s">
        <v>7</v>
      </c>
      <c r="P392" s="4" t="s">
        <v>8</v>
      </c>
      <c r="Q392" s="4" t="e">
        <f>IF(Tabela2[[#This Row],[sex]]="Female",Tabela2[[#This Row],[hours-per-week]],NA())</f>
        <v>#N/A</v>
      </c>
      <c r="R392" s="4">
        <f>IF(Tabela2[[#This Row],[sex]]="Male",Tabela2[[#This Row],[hours-per-week]],NA())</f>
        <v>40</v>
      </c>
    </row>
    <row r="393" spans="1:18">
      <c r="A393" s="3" t="s">
        <v>484</v>
      </c>
      <c r="B393" s="4">
        <v>45</v>
      </c>
      <c r="C393" s="4" t="s">
        <v>25</v>
      </c>
      <c r="D393" s="4">
        <v>103406</v>
      </c>
      <c r="E393" s="4" t="s">
        <v>26</v>
      </c>
      <c r="F393" s="4">
        <v>13</v>
      </c>
      <c r="G393" s="4" t="s">
        <v>29</v>
      </c>
      <c r="H393" s="4" t="s">
        <v>46</v>
      </c>
      <c r="I393" s="4" t="s">
        <v>32</v>
      </c>
      <c r="J393" s="4" t="s">
        <v>5</v>
      </c>
      <c r="K393" s="4" t="s">
        <v>18</v>
      </c>
      <c r="L393" s="4">
        <v>0</v>
      </c>
      <c r="M393" s="4">
        <v>1977</v>
      </c>
      <c r="N393" s="4">
        <v>60</v>
      </c>
      <c r="O393" s="4" t="s">
        <v>7</v>
      </c>
      <c r="P393" s="4" t="s">
        <v>19</v>
      </c>
      <c r="Q393" s="4" t="e">
        <f>IF(Tabela2[[#This Row],[sex]]="Female",Tabela2[[#This Row],[hours-per-week]],NA())</f>
        <v>#N/A</v>
      </c>
      <c r="R393" s="4">
        <f>IF(Tabela2[[#This Row],[sex]]="Male",Tabela2[[#This Row],[hours-per-week]],NA())</f>
        <v>60</v>
      </c>
    </row>
    <row r="394" spans="1:18">
      <c r="A394" s="3" t="s">
        <v>485</v>
      </c>
      <c r="B394" s="4">
        <v>46</v>
      </c>
      <c r="C394" s="4" t="s">
        <v>49</v>
      </c>
      <c r="D394" s="4">
        <v>110457</v>
      </c>
      <c r="E394" s="4" t="s">
        <v>39</v>
      </c>
      <c r="F394" s="4">
        <v>14</v>
      </c>
      <c r="G394" s="4" t="s">
        <v>29</v>
      </c>
      <c r="H394" s="4" t="s">
        <v>46</v>
      </c>
      <c r="I394" s="4" t="s">
        <v>32</v>
      </c>
      <c r="J394" s="4" t="s">
        <v>5</v>
      </c>
      <c r="K394" s="4" t="s">
        <v>18</v>
      </c>
      <c r="L394" s="4">
        <v>0</v>
      </c>
      <c r="M394" s="4">
        <v>0</v>
      </c>
      <c r="N394" s="4">
        <v>55</v>
      </c>
      <c r="O394" s="4" t="s">
        <v>7</v>
      </c>
      <c r="P394" s="4" t="s">
        <v>19</v>
      </c>
      <c r="Q394" s="4" t="e">
        <f>IF(Tabela2[[#This Row],[sex]]="Female",Tabela2[[#This Row],[hours-per-week]],NA())</f>
        <v>#N/A</v>
      </c>
      <c r="R394" s="4">
        <f>IF(Tabela2[[#This Row],[sex]]="Male",Tabela2[[#This Row],[hours-per-week]],NA())</f>
        <v>55</v>
      </c>
    </row>
    <row r="395" spans="1:18">
      <c r="A395" s="3" t="s">
        <v>486</v>
      </c>
      <c r="B395" s="4">
        <v>38</v>
      </c>
      <c r="C395" s="4" t="s">
        <v>0</v>
      </c>
      <c r="D395" s="4">
        <v>161141</v>
      </c>
      <c r="E395" s="4" t="s">
        <v>12</v>
      </c>
      <c r="F395" s="4">
        <v>10</v>
      </c>
      <c r="G395" s="4" t="s">
        <v>29</v>
      </c>
      <c r="H395" s="4" t="s">
        <v>30</v>
      </c>
      <c r="I395" s="4" t="s">
        <v>32</v>
      </c>
      <c r="J395" s="4" t="s">
        <v>5</v>
      </c>
      <c r="K395" s="4" t="s">
        <v>18</v>
      </c>
      <c r="L395" s="4">
        <v>0</v>
      </c>
      <c r="M395" s="4">
        <v>0</v>
      </c>
      <c r="N395" s="4">
        <v>45</v>
      </c>
      <c r="O395" s="4" t="s">
        <v>7</v>
      </c>
      <c r="P395" s="4" t="s">
        <v>8</v>
      </c>
      <c r="Q395" s="4" t="e">
        <f>IF(Tabela2[[#This Row],[sex]]="Female",Tabela2[[#This Row],[hours-per-week]],NA())</f>
        <v>#N/A</v>
      </c>
      <c r="R395" s="4">
        <f>IF(Tabela2[[#This Row],[sex]]="Male",Tabela2[[#This Row],[hours-per-week]],NA())</f>
        <v>45</v>
      </c>
    </row>
    <row r="396" spans="1:18">
      <c r="A396" s="3" t="s">
        <v>487</v>
      </c>
      <c r="B396" s="4">
        <v>47</v>
      </c>
      <c r="C396" s="4" t="s">
        <v>0</v>
      </c>
      <c r="D396" s="4">
        <v>128796</v>
      </c>
      <c r="E396" s="4" t="s">
        <v>28</v>
      </c>
      <c r="F396" s="4">
        <v>9</v>
      </c>
      <c r="G396" s="4" t="s">
        <v>29</v>
      </c>
      <c r="H396" s="4" t="s">
        <v>16</v>
      </c>
      <c r="I396" s="4" t="s">
        <v>32</v>
      </c>
      <c r="J396" s="4" t="s">
        <v>5</v>
      </c>
      <c r="K396" s="4" t="s">
        <v>18</v>
      </c>
      <c r="L396" s="4">
        <v>0</v>
      </c>
      <c r="M396" s="4">
        <v>0</v>
      </c>
      <c r="N396" s="4">
        <v>40</v>
      </c>
      <c r="O396" s="4" t="s">
        <v>7</v>
      </c>
      <c r="P396" s="4" t="s">
        <v>19</v>
      </c>
      <c r="Q396" s="4" t="e">
        <f>IF(Tabela2[[#This Row],[sex]]="Female",Tabela2[[#This Row],[hours-per-week]],NA())</f>
        <v>#N/A</v>
      </c>
      <c r="R396" s="4">
        <f>IF(Tabela2[[#This Row],[sex]]="Male",Tabela2[[#This Row],[hours-per-week]],NA())</f>
        <v>40</v>
      </c>
    </row>
    <row r="397" spans="1:18">
      <c r="A397" s="3" t="s">
        <v>488</v>
      </c>
      <c r="B397" s="4">
        <v>39</v>
      </c>
      <c r="C397" s="4" t="s">
        <v>0</v>
      </c>
      <c r="D397" s="4">
        <v>24106</v>
      </c>
      <c r="E397" s="4" t="s">
        <v>12</v>
      </c>
      <c r="F397" s="4">
        <v>10</v>
      </c>
      <c r="G397" s="4" t="s">
        <v>29</v>
      </c>
      <c r="H397" s="4" t="s">
        <v>10</v>
      </c>
      <c r="I397" s="4" t="s">
        <v>32</v>
      </c>
      <c r="J397" s="4" t="s">
        <v>5</v>
      </c>
      <c r="K397" s="4" t="s">
        <v>18</v>
      </c>
      <c r="L397" s="4">
        <v>0</v>
      </c>
      <c r="M397" s="4">
        <v>0</v>
      </c>
      <c r="N397" s="4">
        <v>40</v>
      </c>
      <c r="O397" s="4" t="s">
        <v>72</v>
      </c>
      <c r="P397" s="4" t="s">
        <v>19</v>
      </c>
      <c r="Q397" s="4" t="e">
        <f>IF(Tabela2[[#This Row],[sex]]="Female",Tabela2[[#This Row],[hours-per-week]],NA())</f>
        <v>#N/A</v>
      </c>
      <c r="R397" s="4">
        <f>IF(Tabela2[[#This Row],[sex]]="Male",Tabela2[[#This Row],[hours-per-week]],NA())</f>
        <v>40</v>
      </c>
    </row>
    <row r="398" spans="1:18">
      <c r="A398" s="3" t="s">
        <v>489</v>
      </c>
      <c r="B398" s="4">
        <v>28</v>
      </c>
      <c r="C398" s="4" t="s">
        <v>0</v>
      </c>
      <c r="D398" s="4">
        <v>173611</v>
      </c>
      <c r="E398" s="4" t="s">
        <v>28</v>
      </c>
      <c r="F398" s="4">
        <v>9</v>
      </c>
      <c r="G398" s="4" t="s">
        <v>2</v>
      </c>
      <c r="H398" s="4" t="s">
        <v>46</v>
      </c>
      <c r="I398" s="4" t="s">
        <v>4</v>
      </c>
      <c r="J398" s="4" t="s">
        <v>5</v>
      </c>
      <c r="K398" s="4" t="s">
        <v>6</v>
      </c>
      <c r="L398" s="4">
        <v>0</v>
      </c>
      <c r="M398" s="4">
        <v>0</v>
      </c>
      <c r="N398" s="4">
        <v>40</v>
      </c>
      <c r="O398" s="4" t="s">
        <v>7</v>
      </c>
      <c r="P398" s="4" t="s">
        <v>8</v>
      </c>
      <c r="Q398" s="4">
        <f>IF(Tabela2[[#This Row],[sex]]="Female",Tabela2[[#This Row],[hours-per-week]],NA())</f>
        <v>40</v>
      </c>
      <c r="R398" s="4" t="e">
        <f>IF(Tabela2[[#This Row],[sex]]="Male",Tabela2[[#This Row],[hours-per-week]],NA())</f>
        <v>#N/A</v>
      </c>
    </row>
    <row r="399" spans="1:18">
      <c r="A399" s="3" t="s">
        <v>490</v>
      </c>
      <c r="B399" s="4">
        <v>41</v>
      </c>
      <c r="C399" s="4" t="s">
        <v>0</v>
      </c>
      <c r="D399" s="4">
        <v>121055</v>
      </c>
      <c r="E399" s="4" t="s">
        <v>28</v>
      </c>
      <c r="F399" s="4">
        <v>9</v>
      </c>
      <c r="G399" s="4" t="s">
        <v>15</v>
      </c>
      <c r="H399" s="4" t="s">
        <v>38</v>
      </c>
      <c r="I399" s="4" t="s">
        <v>11</v>
      </c>
      <c r="J399" s="4" t="s">
        <v>5</v>
      </c>
      <c r="K399" s="4" t="s">
        <v>18</v>
      </c>
      <c r="L399" s="4">
        <v>0</v>
      </c>
      <c r="M399" s="4">
        <v>0</v>
      </c>
      <c r="N399" s="4">
        <v>40</v>
      </c>
      <c r="O399" s="4" t="s">
        <v>7</v>
      </c>
      <c r="P399" s="4" t="s">
        <v>8</v>
      </c>
      <c r="Q399" s="4" t="e">
        <f>IF(Tabela2[[#This Row],[sex]]="Female",Tabela2[[#This Row],[hours-per-week]],NA())</f>
        <v>#N/A</v>
      </c>
      <c r="R399" s="4">
        <f>IF(Tabela2[[#This Row],[sex]]="Male",Tabela2[[#This Row],[hours-per-week]],NA())</f>
        <v>40</v>
      </c>
    </row>
    <row r="400" spans="1:18">
      <c r="A400" s="3" t="s">
        <v>491</v>
      </c>
      <c r="B400" s="4">
        <v>23</v>
      </c>
      <c r="C400" s="4" t="s">
        <v>41</v>
      </c>
      <c r="D400" s="4">
        <v>41356</v>
      </c>
      <c r="E400" s="4" t="s">
        <v>9</v>
      </c>
      <c r="F400" s="4">
        <v>12</v>
      </c>
      <c r="G400" s="4" t="s">
        <v>2</v>
      </c>
      <c r="H400" s="4" t="s">
        <v>46</v>
      </c>
      <c r="I400" s="4" t="s">
        <v>35</v>
      </c>
      <c r="J400" s="4" t="s">
        <v>5</v>
      </c>
      <c r="K400" s="4" t="s">
        <v>6</v>
      </c>
      <c r="L400" s="4">
        <v>0</v>
      </c>
      <c r="M400" s="4">
        <v>0</v>
      </c>
      <c r="N400" s="4">
        <v>32</v>
      </c>
      <c r="O400" s="4" t="s">
        <v>7</v>
      </c>
      <c r="P400" s="4" t="s">
        <v>8</v>
      </c>
      <c r="Q400" s="4">
        <f>IF(Tabela2[[#This Row],[sex]]="Female",Tabela2[[#This Row],[hours-per-week]],NA())</f>
        <v>32</v>
      </c>
      <c r="R400" s="4" t="e">
        <f>IF(Tabela2[[#This Row],[sex]]="Male",Tabela2[[#This Row],[hours-per-week]],NA())</f>
        <v>#N/A</v>
      </c>
    </row>
    <row r="401" spans="1:18">
      <c r="A401" s="3" t="s">
        <v>492</v>
      </c>
      <c r="B401" s="4">
        <v>37</v>
      </c>
      <c r="C401" s="4" t="s">
        <v>0</v>
      </c>
      <c r="D401" s="4">
        <v>220314</v>
      </c>
      <c r="E401" s="4" t="s">
        <v>28</v>
      </c>
      <c r="F401" s="4">
        <v>9</v>
      </c>
      <c r="G401" s="4" t="s">
        <v>15</v>
      </c>
      <c r="H401" s="4" t="s">
        <v>33</v>
      </c>
      <c r="I401" s="4" t="s">
        <v>35</v>
      </c>
      <c r="J401" s="4" t="s">
        <v>5</v>
      </c>
      <c r="K401" s="4" t="s">
        <v>6</v>
      </c>
      <c r="L401" s="4">
        <v>0</v>
      </c>
      <c r="M401" s="4">
        <v>0</v>
      </c>
      <c r="N401" s="4">
        <v>40</v>
      </c>
      <c r="O401" s="4" t="s">
        <v>54</v>
      </c>
      <c r="P401" s="4" t="s">
        <v>8</v>
      </c>
      <c r="Q401" s="4">
        <f>IF(Tabela2[[#This Row],[sex]]="Female",Tabela2[[#This Row],[hours-per-week]],NA())</f>
        <v>40</v>
      </c>
      <c r="R401" s="4" t="e">
        <f>IF(Tabela2[[#This Row],[sex]]="Male",Tabela2[[#This Row],[hours-per-week]],NA())</f>
        <v>#N/A</v>
      </c>
    </row>
    <row r="402" spans="1:18">
      <c r="A402" s="3" t="s">
        <v>493</v>
      </c>
      <c r="B402" s="4">
        <v>34</v>
      </c>
      <c r="C402" s="4" t="s">
        <v>0</v>
      </c>
      <c r="D402" s="4">
        <v>118551</v>
      </c>
      <c r="E402" s="4" t="s">
        <v>26</v>
      </c>
      <c r="F402" s="4">
        <v>13</v>
      </c>
      <c r="G402" s="4" t="s">
        <v>2</v>
      </c>
      <c r="H402" s="4" t="s">
        <v>30</v>
      </c>
      <c r="I402" s="4" t="s">
        <v>11</v>
      </c>
      <c r="J402" s="4" t="s">
        <v>5</v>
      </c>
      <c r="K402" s="4" t="s">
        <v>6</v>
      </c>
      <c r="L402" s="4">
        <v>0</v>
      </c>
      <c r="M402" s="4">
        <v>0</v>
      </c>
      <c r="N402" s="4">
        <v>40</v>
      </c>
      <c r="O402" s="4" t="s">
        <v>7</v>
      </c>
      <c r="P402" s="4" t="s">
        <v>8</v>
      </c>
      <c r="Q402" s="4">
        <f>IF(Tabela2[[#This Row],[sex]]="Female",Tabela2[[#This Row],[hours-per-week]],NA())</f>
        <v>40</v>
      </c>
      <c r="R402" s="4" t="e">
        <f>IF(Tabela2[[#This Row],[sex]]="Male",Tabela2[[#This Row],[hours-per-week]],NA())</f>
        <v>#N/A</v>
      </c>
    </row>
    <row r="403" spans="1:18">
      <c r="A403" s="3" t="s">
        <v>494</v>
      </c>
      <c r="B403" s="4">
        <v>46</v>
      </c>
      <c r="C403" s="4" t="s">
        <v>0</v>
      </c>
      <c r="D403" s="4">
        <v>251786</v>
      </c>
      <c r="E403" s="4" t="s">
        <v>65</v>
      </c>
      <c r="F403" s="4">
        <v>2</v>
      </c>
      <c r="G403" s="4" t="s">
        <v>21</v>
      </c>
      <c r="H403" s="4" t="s">
        <v>3</v>
      </c>
      <c r="I403" s="4" t="s">
        <v>11</v>
      </c>
      <c r="J403" s="4" t="s">
        <v>5</v>
      </c>
      <c r="K403" s="4" t="s">
        <v>6</v>
      </c>
      <c r="L403" s="4">
        <v>0</v>
      </c>
      <c r="M403" s="4">
        <v>0</v>
      </c>
      <c r="N403" s="4">
        <v>40</v>
      </c>
      <c r="O403" s="4" t="s">
        <v>54</v>
      </c>
      <c r="P403" s="4" t="s">
        <v>8</v>
      </c>
      <c r="Q403" s="4">
        <f>IF(Tabela2[[#This Row],[sex]]="Female",Tabela2[[#This Row],[hours-per-week]],NA())</f>
        <v>40</v>
      </c>
      <c r="R403" s="4" t="e">
        <f>IF(Tabela2[[#This Row],[sex]]="Male",Tabela2[[#This Row],[hours-per-week]],NA())</f>
        <v>#N/A</v>
      </c>
    </row>
    <row r="404" spans="1:18">
      <c r="A404" s="3" t="s">
        <v>495</v>
      </c>
      <c r="B404" s="4">
        <v>30</v>
      </c>
      <c r="C404" s="4" t="s">
        <v>41</v>
      </c>
      <c r="D404" s="4">
        <v>321990</v>
      </c>
      <c r="E404" s="4" t="s">
        <v>12</v>
      </c>
      <c r="F404" s="4">
        <v>10</v>
      </c>
      <c r="G404" s="4" t="s">
        <v>29</v>
      </c>
      <c r="H404" s="4" t="s">
        <v>33</v>
      </c>
      <c r="I404" s="4" t="s">
        <v>32</v>
      </c>
      <c r="J404" s="4" t="s">
        <v>5</v>
      </c>
      <c r="K404" s="4" t="s">
        <v>18</v>
      </c>
      <c r="L404" s="4">
        <v>7298</v>
      </c>
      <c r="M404" s="4">
        <v>0</v>
      </c>
      <c r="N404" s="4">
        <v>48</v>
      </c>
      <c r="O404" s="4" t="s">
        <v>68</v>
      </c>
      <c r="P404" s="4" t="s">
        <v>19</v>
      </c>
      <c r="Q404" s="4" t="e">
        <f>IF(Tabela2[[#This Row],[sex]]="Female",Tabela2[[#This Row],[hours-per-week]],NA())</f>
        <v>#N/A</v>
      </c>
      <c r="R404" s="4">
        <f>IF(Tabela2[[#This Row],[sex]]="Male",Tabela2[[#This Row],[hours-per-week]],NA())</f>
        <v>48</v>
      </c>
    </row>
    <row r="405" spans="1:18">
      <c r="A405" s="3" t="s">
        <v>496</v>
      </c>
      <c r="B405" s="4">
        <v>30</v>
      </c>
      <c r="C405" s="4" t="s">
        <v>0</v>
      </c>
      <c r="D405" s="4">
        <v>187279</v>
      </c>
      <c r="E405" s="4" t="s">
        <v>28</v>
      </c>
      <c r="F405" s="4">
        <v>9</v>
      </c>
      <c r="G405" s="4" t="s">
        <v>29</v>
      </c>
      <c r="H405" s="4" t="s">
        <v>34</v>
      </c>
      <c r="I405" s="4" t="s">
        <v>32</v>
      </c>
      <c r="J405" s="4" t="s">
        <v>5</v>
      </c>
      <c r="K405" s="4" t="s">
        <v>18</v>
      </c>
      <c r="L405" s="4">
        <v>0</v>
      </c>
      <c r="M405" s="4">
        <v>0</v>
      </c>
      <c r="N405" s="4">
        <v>44</v>
      </c>
      <c r="O405" s="4" t="s">
        <v>7</v>
      </c>
      <c r="P405" s="4" t="s">
        <v>8</v>
      </c>
      <c r="Q405" s="4" t="e">
        <f>IF(Tabela2[[#This Row],[sex]]="Female",Tabela2[[#This Row],[hours-per-week]],NA())</f>
        <v>#N/A</v>
      </c>
      <c r="R405" s="4">
        <f>IF(Tabela2[[#This Row],[sex]]="Male",Tabela2[[#This Row],[hours-per-week]],NA())</f>
        <v>44</v>
      </c>
    </row>
    <row r="406" spans="1:18">
      <c r="A406" s="3" t="s">
        <v>497</v>
      </c>
      <c r="B406" s="4">
        <v>27</v>
      </c>
      <c r="C406" s="4" t="s">
        <v>0</v>
      </c>
      <c r="D406" s="4">
        <v>246440</v>
      </c>
      <c r="E406" s="4" t="s">
        <v>1</v>
      </c>
      <c r="F406" s="4">
        <v>7</v>
      </c>
      <c r="G406" s="4" t="s">
        <v>15</v>
      </c>
      <c r="H406" s="4" t="s">
        <v>22</v>
      </c>
      <c r="I406" s="4" t="s">
        <v>35</v>
      </c>
      <c r="J406" s="4" t="s">
        <v>5</v>
      </c>
      <c r="K406" s="4" t="s">
        <v>6</v>
      </c>
      <c r="L406" s="4">
        <v>0</v>
      </c>
      <c r="M406" s="4">
        <v>0</v>
      </c>
      <c r="N406" s="4">
        <v>40</v>
      </c>
      <c r="O406" s="4" t="s">
        <v>7</v>
      </c>
      <c r="P406" s="4" t="s">
        <v>8</v>
      </c>
      <c r="Q406" s="4">
        <f>IF(Tabela2[[#This Row],[sex]]="Female",Tabela2[[#This Row],[hours-per-week]],NA())</f>
        <v>40</v>
      </c>
      <c r="R406" s="4" t="e">
        <f>IF(Tabela2[[#This Row],[sex]]="Male",Tabela2[[#This Row],[hours-per-week]],NA())</f>
        <v>#N/A</v>
      </c>
    </row>
    <row r="407" spans="1:18">
      <c r="A407" s="3" t="s">
        <v>498</v>
      </c>
      <c r="B407" s="4">
        <v>29</v>
      </c>
      <c r="C407" s="4" t="s">
        <v>0</v>
      </c>
      <c r="D407" s="4">
        <v>197932</v>
      </c>
      <c r="E407" s="4" t="s">
        <v>12</v>
      </c>
      <c r="F407" s="4">
        <v>10</v>
      </c>
      <c r="G407" s="4" t="s">
        <v>21</v>
      </c>
      <c r="H407" s="4" t="s">
        <v>73</v>
      </c>
      <c r="I407" s="4" t="s">
        <v>11</v>
      </c>
      <c r="J407" s="4" t="s">
        <v>5</v>
      </c>
      <c r="K407" s="4" t="s">
        <v>6</v>
      </c>
      <c r="L407" s="4">
        <v>0</v>
      </c>
      <c r="M407" s="4">
        <v>0</v>
      </c>
      <c r="N407" s="4">
        <v>30</v>
      </c>
      <c r="O407" s="4" t="s">
        <v>74</v>
      </c>
      <c r="P407" s="4" t="s">
        <v>8</v>
      </c>
      <c r="Q407" s="4">
        <f>IF(Tabela2[[#This Row],[sex]]="Female",Tabela2[[#This Row],[hours-per-week]],NA())</f>
        <v>30</v>
      </c>
      <c r="R407" s="4" t="e">
        <f>IF(Tabela2[[#This Row],[sex]]="Male",Tabela2[[#This Row],[hours-per-week]],NA())</f>
        <v>#N/A</v>
      </c>
    </row>
    <row r="408" spans="1:18">
      <c r="A408" s="3" t="s">
        <v>499</v>
      </c>
      <c r="B408" s="4">
        <v>25</v>
      </c>
      <c r="C408" s="4" t="s">
        <v>0</v>
      </c>
      <c r="D408" s="4">
        <v>206600</v>
      </c>
      <c r="E408" s="4" t="s">
        <v>43</v>
      </c>
      <c r="F408" s="4">
        <v>6</v>
      </c>
      <c r="G408" s="4" t="s">
        <v>2</v>
      </c>
      <c r="H408" s="4" t="s">
        <v>3</v>
      </c>
      <c r="I408" s="4" t="s">
        <v>11</v>
      </c>
      <c r="J408" s="4" t="s">
        <v>5</v>
      </c>
      <c r="K408" s="4" t="s">
        <v>18</v>
      </c>
      <c r="L408" s="4">
        <v>0</v>
      </c>
      <c r="M408" s="4">
        <v>0</v>
      </c>
      <c r="N408" s="4">
        <v>24</v>
      </c>
      <c r="O408" s="4" t="s">
        <v>75</v>
      </c>
      <c r="P408" s="4" t="s">
        <v>8</v>
      </c>
      <c r="Q408" s="4" t="e">
        <f>IF(Tabela2[[#This Row],[sex]]="Female",Tabela2[[#This Row],[hours-per-week]],NA())</f>
        <v>#N/A</v>
      </c>
      <c r="R408" s="4">
        <f>IF(Tabela2[[#This Row],[sex]]="Male",Tabela2[[#This Row],[hours-per-week]],NA())</f>
        <v>24</v>
      </c>
    </row>
    <row r="409" spans="1:18">
      <c r="A409" s="3" t="s">
        <v>500</v>
      </c>
      <c r="B409" s="4">
        <v>23</v>
      </c>
      <c r="C409" s="4" t="s">
        <v>40</v>
      </c>
      <c r="D409" s="4">
        <v>174714</v>
      </c>
      <c r="E409" s="4" t="s">
        <v>43</v>
      </c>
      <c r="F409" s="4">
        <v>6</v>
      </c>
      <c r="G409" s="4" t="s">
        <v>2</v>
      </c>
      <c r="H409" s="4" t="s">
        <v>16</v>
      </c>
      <c r="I409" s="4" t="s">
        <v>11</v>
      </c>
      <c r="J409" s="4" t="s">
        <v>5</v>
      </c>
      <c r="K409" s="4" t="s">
        <v>18</v>
      </c>
      <c r="L409" s="4">
        <v>0</v>
      </c>
      <c r="M409" s="4">
        <v>0</v>
      </c>
      <c r="N409" s="4">
        <v>60</v>
      </c>
      <c r="O409" s="4" t="s">
        <v>7</v>
      </c>
      <c r="P409" s="4" t="s">
        <v>8</v>
      </c>
      <c r="Q409" s="4" t="e">
        <f>IF(Tabela2[[#This Row],[sex]]="Female",Tabela2[[#This Row],[hours-per-week]],NA())</f>
        <v>#N/A</v>
      </c>
      <c r="R409" s="4">
        <f>IF(Tabela2[[#This Row],[sex]]="Male",Tabela2[[#This Row],[hours-per-week]],NA())</f>
        <v>60</v>
      </c>
    </row>
    <row r="410" spans="1:18">
      <c r="A410" s="3" t="s">
        <v>501</v>
      </c>
      <c r="B410" s="4">
        <v>27</v>
      </c>
      <c r="C410" s="4" t="s">
        <v>0</v>
      </c>
      <c r="D410" s="4">
        <v>180262</v>
      </c>
      <c r="E410" s="4" t="s">
        <v>12</v>
      </c>
      <c r="F410" s="4">
        <v>10</v>
      </c>
      <c r="G410" s="4" t="s">
        <v>2</v>
      </c>
      <c r="H410" s="4" t="s">
        <v>46</v>
      </c>
      <c r="I410" s="4" t="s">
        <v>11</v>
      </c>
      <c r="J410" s="4" t="s">
        <v>5</v>
      </c>
      <c r="K410" s="4" t="s">
        <v>6</v>
      </c>
      <c r="L410" s="4">
        <v>0</v>
      </c>
      <c r="M410" s="4">
        <v>0</v>
      </c>
      <c r="N410" s="4">
        <v>40</v>
      </c>
      <c r="O410" s="4" t="s">
        <v>7</v>
      </c>
      <c r="P410" s="4" t="s">
        <v>8</v>
      </c>
      <c r="Q410" s="4">
        <f>IF(Tabela2[[#This Row],[sex]]="Female",Tabela2[[#This Row],[hours-per-week]],NA())</f>
        <v>40</v>
      </c>
      <c r="R410" s="4" t="e">
        <f>IF(Tabela2[[#This Row],[sex]]="Male",Tabela2[[#This Row],[hours-per-week]],NA())</f>
        <v>#N/A</v>
      </c>
    </row>
    <row r="411" spans="1:18">
      <c r="A411" s="3" t="s">
        <v>502</v>
      </c>
      <c r="B411" s="4">
        <v>40</v>
      </c>
      <c r="C411" s="4" t="s">
        <v>41</v>
      </c>
      <c r="D411" s="4">
        <v>199303</v>
      </c>
      <c r="E411" s="4" t="s">
        <v>9</v>
      </c>
      <c r="F411" s="4">
        <v>12</v>
      </c>
      <c r="G411" s="4" t="s">
        <v>29</v>
      </c>
      <c r="H411" s="4" t="s">
        <v>27</v>
      </c>
      <c r="I411" s="4" t="s">
        <v>32</v>
      </c>
      <c r="J411" s="4" t="s">
        <v>5</v>
      </c>
      <c r="K411" s="4" t="s">
        <v>18</v>
      </c>
      <c r="L411" s="4">
        <v>0</v>
      </c>
      <c r="M411" s="4">
        <v>0</v>
      </c>
      <c r="N411" s="4">
        <v>40</v>
      </c>
      <c r="O411" s="4" t="s">
        <v>7</v>
      </c>
      <c r="P411" s="4" t="s">
        <v>19</v>
      </c>
      <c r="Q411" s="4" t="e">
        <f>IF(Tabela2[[#This Row],[sex]]="Female",Tabela2[[#This Row],[hours-per-week]],NA())</f>
        <v>#N/A</v>
      </c>
      <c r="R411" s="4">
        <f>IF(Tabela2[[#This Row],[sex]]="Male",Tabela2[[#This Row],[hours-per-week]],NA())</f>
        <v>40</v>
      </c>
    </row>
    <row r="412" spans="1:18">
      <c r="A412" s="3" t="s">
        <v>503</v>
      </c>
      <c r="B412" s="4">
        <v>41</v>
      </c>
      <c r="C412" s="4" t="s">
        <v>0</v>
      </c>
      <c r="D412" s="4">
        <v>140886</v>
      </c>
      <c r="E412" s="4" t="s">
        <v>28</v>
      </c>
      <c r="F412" s="4">
        <v>9</v>
      </c>
      <c r="G412" s="4" t="s">
        <v>29</v>
      </c>
      <c r="H412" s="4" t="s">
        <v>24</v>
      </c>
      <c r="I412" s="4" t="s">
        <v>32</v>
      </c>
      <c r="J412" s="4" t="s">
        <v>5</v>
      </c>
      <c r="K412" s="4" t="s">
        <v>18</v>
      </c>
      <c r="L412" s="4">
        <v>0</v>
      </c>
      <c r="M412" s="4">
        <v>0</v>
      </c>
      <c r="N412" s="4">
        <v>40</v>
      </c>
      <c r="O412" s="4" t="s">
        <v>7</v>
      </c>
      <c r="P412" s="4" t="s">
        <v>8</v>
      </c>
      <c r="Q412" s="4" t="e">
        <f>IF(Tabela2[[#This Row],[sex]]="Female",Tabela2[[#This Row],[hours-per-week]],NA())</f>
        <v>#N/A</v>
      </c>
      <c r="R412" s="4">
        <f>IF(Tabela2[[#This Row],[sex]]="Male",Tabela2[[#This Row],[hours-per-week]],NA())</f>
        <v>40</v>
      </c>
    </row>
    <row r="413" spans="1:18">
      <c r="A413" s="3" t="s">
        <v>504</v>
      </c>
      <c r="B413" s="4">
        <v>56</v>
      </c>
      <c r="C413" s="4" t="s">
        <v>40</v>
      </c>
      <c r="D413" s="4">
        <v>39380</v>
      </c>
      <c r="E413" s="4" t="s">
        <v>12</v>
      </c>
      <c r="F413" s="4">
        <v>10</v>
      </c>
      <c r="G413" s="4" t="s">
        <v>56</v>
      </c>
      <c r="H413" s="4" t="s">
        <v>24</v>
      </c>
      <c r="I413" s="4" t="s">
        <v>11</v>
      </c>
      <c r="J413" s="4" t="s">
        <v>5</v>
      </c>
      <c r="K413" s="4" t="s">
        <v>6</v>
      </c>
      <c r="L413" s="4">
        <v>27828</v>
      </c>
      <c r="M413" s="4">
        <v>0</v>
      </c>
      <c r="N413" s="4">
        <v>20</v>
      </c>
      <c r="O413" s="4" t="s">
        <v>7</v>
      </c>
      <c r="P413" s="4" t="s">
        <v>19</v>
      </c>
      <c r="Q413" s="4">
        <f>IF(Tabela2[[#This Row],[sex]]="Female",Tabela2[[#This Row],[hours-per-week]],NA())</f>
        <v>20</v>
      </c>
      <c r="R413" s="4" t="e">
        <f>IF(Tabela2[[#This Row],[sex]]="Male",Tabela2[[#This Row],[hours-per-week]],NA())</f>
        <v>#N/A</v>
      </c>
    </row>
    <row r="414" spans="1:18">
      <c r="A414" s="3" t="s">
        <v>505</v>
      </c>
      <c r="B414" s="4">
        <v>34</v>
      </c>
      <c r="C414" s="4" t="s">
        <v>0</v>
      </c>
      <c r="D414" s="4">
        <v>269723</v>
      </c>
      <c r="E414" s="4" t="s">
        <v>28</v>
      </c>
      <c r="F414" s="4">
        <v>9</v>
      </c>
      <c r="G414" s="4" t="s">
        <v>15</v>
      </c>
      <c r="H414" s="4" t="s">
        <v>46</v>
      </c>
      <c r="I414" s="4" t="s">
        <v>35</v>
      </c>
      <c r="J414" s="4" t="s">
        <v>5</v>
      </c>
      <c r="K414" s="4" t="s">
        <v>6</v>
      </c>
      <c r="L414" s="4">
        <v>2977</v>
      </c>
      <c r="M414" s="4">
        <v>0</v>
      </c>
      <c r="N414" s="4">
        <v>50</v>
      </c>
      <c r="O414" s="4" t="s">
        <v>7</v>
      </c>
      <c r="P414" s="4" t="s">
        <v>8</v>
      </c>
      <c r="Q414" s="4">
        <f>IF(Tabela2[[#This Row],[sex]]="Female",Tabela2[[#This Row],[hours-per-week]],NA())</f>
        <v>50</v>
      </c>
      <c r="R414" s="4" t="e">
        <f>IF(Tabela2[[#This Row],[sex]]="Male",Tabela2[[#This Row],[hours-per-week]],NA())</f>
        <v>#N/A</v>
      </c>
    </row>
    <row r="415" spans="1:18">
      <c r="A415" s="3" t="s">
        <v>506</v>
      </c>
      <c r="B415" s="4">
        <v>23</v>
      </c>
      <c r="C415" s="4" t="s">
        <v>0</v>
      </c>
      <c r="D415" s="4">
        <v>133061</v>
      </c>
      <c r="E415" s="4" t="s">
        <v>28</v>
      </c>
      <c r="F415" s="4">
        <v>9</v>
      </c>
      <c r="G415" s="4" t="s">
        <v>29</v>
      </c>
      <c r="H415" s="4" t="s">
        <v>10</v>
      </c>
      <c r="I415" s="4" t="s">
        <v>32</v>
      </c>
      <c r="J415" s="4" t="s">
        <v>5</v>
      </c>
      <c r="K415" s="4" t="s">
        <v>18</v>
      </c>
      <c r="L415" s="4">
        <v>0</v>
      </c>
      <c r="M415" s="4">
        <v>0</v>
      </c>
      <c r="N415" s="4">
        <v>80</v>
      </c>
      <c r="O415" s="4" t="s">
        <v>7</v>
      </c>
      <c r="P415" s="4" t="s">
        <v>8</v>
      </c>
      <c r="Q415" s="4" t="e">
        <f>IF(Tabela2[[#This Row],[sex]]="Female",Tabela2[[#This Row],[hours-per-week]],NA())</f>
        <v>#N/A</v>
      </c>
      <c r="R415" s="4">
        <f>IF(Tabela2[[#This Row],[sex]]="Male",Tabela2[[#This Row],[hours-per-week]],NA())</f>
        <v>80</v>
      </c>
    </row>
    <row r="416" spans="1:18">
      <c r="A416" s="3" t="s">
        <v>507</v>
      </c>
      <c r="B416" s="4">
        <v>33</v>
      </c>
      <c r="C416" s="4" t="s">
        <v>0</v>
      </c>
      <c r="D416" s="4">
        <v>377283</v>
      </c>
      <c r="E416" s="4" t="s">
        <v>26</v>
      </c>
      <c r="F416" s="4">
        <v>13</v>
      </c>
      <c r="G416" s="4" t="s">
        <v>21</v>
      </c>
      <c r="H416" s="4" t="s">
        <v>10</v>
      </c>
      <c r="I416" s="4" t="s">
        <v>11</v>
      </c>
      <c r="J416" s="4" t="s">
        <v>5</v>
      </c>
      <c r="K416" s="4" t="s">
        <v>6</v>
      </c>
      <c r="L416" s="4">
        <v>0</v>
      </c>
      <c r="M416" s="4">
        <v>0</v>
      </c>
      <c r="N416" s="4">
        <v>50</v>
      </c>
      <c r="O416" s="4" t="s">
        <v>7</v>
      </c>
      <c r="P416" s="4" t="s">
        <v>19</v>
      </c>
      <c r="Q416" s="4">
        <f>IF(Tabela2[[#This Row],[sex]]="Female",Tabela2[[#This Row],[hours-per-week]],NA())</f>
        <v>50</v>
      </c>
      <c r="R416" s="4" t="e">
        <f>IF(Tabela2[[#This Row],[sex]]="Male",Tabela2[[#This Row],[hours-per-week]],NA())</f>
        <v>#N/A</v>
      </c>
    </row>
    <row r="417" spans="1:18">
      <c r="A417" s="3" t="s">
        <v>508</v>
      </c>
      <c r="B417" s="4">
        <v>64</v>
      </c>
      <c r="C417" s="4" t="s">
        <v>40</v>
      </c>
      <c r="D417" s="4">
        <v>149698</v>
      </c>
      <c r="E417" s="4" t="s">
        <v>50</v>
      </c>
      <c r="F417" s="4">
        <v>15</v>
      </c>
      <c r="G417" s="4" t="s">
        <v>29</v>
      </c>
      <c r="H417" s="4" t="s">
        <v>27</v>
      </c>
      <c r="I417" s="4" t="s">
        <v>32</v>
      </c>
      <c r="J417" s="4" t="s">
        <v>5</v>
      </c>
      <c r="K417" s="4" t="s">
        <v>18</v>
      </c>
      <c r="L417" s="4">
        <v>0</v>
      </c>
      <c r="M417" s="4">
        <v>0</v>
      </c>
      <c r="N417" s="4">
        <v>40</v>
      </c>
      <c r="O417" s="4" t="s">
        <v>7</v>
      </c>
      <c r="P417" s="4" t="s">
        <v>19</v>
      </c>
      <c r="Q417" s="4" t="e">
        <f>IF(Tabela2[[#This Row],[sex]]="Female",Tabela2[[#This Row],[hours-per-week]],NA())</f>
        <v>#N/A</v>
      </c>
      <c r="R417" s="4">
        <f>IF(Tabela2[[#This Row],[sex]]="Male",Tabela2[[#This Row],[hours-per-week]],NA())</f>
        <v>40</v>
      </c>
    </row>
    <row r="418" spans="1:18">
      <c r="A418" s="3" t="s">
        <v>509</v>
      </c>
      <c r="B418" s="4">
        <v>21</v>
      </c>
      <c r="C418" s="4" t="s">
        <v>0</v>
      </c>
      <c r="D418" s="4">
        <v>206681</v>
      </c>
      <c r="E418" s="4" t="s">
        <v>12</v>
      </c>
      <c r="F418" s="4">
        <v>10</v>
      </c>
      <c r="G418" s="4" t="s">
        <v>2</v>
      </c>
      <c r="H418" s="4" t="s">
        <v>10</v>
      </c>
      <c r="I418" s="4" t="s">
        <v>4</v>
      </c>
      <c r="J418" s="4" t="s">
        <v>5</v>
      </c>
      <c r="K418" s="4" t="s">
        <v>6</v>
      </c>
      <c r="L418" s="4">
        <v>0</v>
      </c>
      <c r="M418" s="4">
        <v>0</v>
      </c>
      <c r="N418" s="4">
        <v>15</v>
      </c>
      <c r="O418" s="4" t="s">
        <v>7</v>
      </c>
      <c r="P418" s="4" t="s">
        <v>8</v>
      </c>
      <c r="Q418" s="4">
        <f>IF(Tabela2[[#This Row],[sex]]="Female",Tabela2[[#This Row],[hours-per-week]],NA())</f>
        <v>15</v>
      </c>
      <c r="R418" s="4" t="e">
        <f>IF(Tabela2[[#This Row],[sex]]="Male",Tabela2[[#This Row],[hours-per-week]],NA())</f>
        <v>#N/A</v>
      </c>
    </row>
    <row r="419" spans="1:18">
      <c r="A419" s="3" t="s">
        <v>510</v>
      </c>
      <c r="B419" s="4">
        <v>59</v>
      </c>
      <c r="C419" s="4" t="s">
        <v>25</v>
      </c>
      <c r="D419" s="4">
        <v>132717</v>
      </c>
      <c r="E419" s="4" t="s">
        <v>43</v>
      </c>
      <c r="F419" s="4">
        <v>6</v>
      </c>
      <c r="G419" s="4" t="s">
        <v>29</v>
      </c>
      <c r="H419" s="4" t="s">
        <v>24</v>
      </c>
      <c r="I419" s="4" t="s">
        <v>32</v>
      </c>
      <c r="J419" s="4" t="s">
        <v>5</v>
      </c>
      <c r="K419" s="4" t="s">
        <v>18</v>
      </c>
      <c r="L419" s="4">
        <v>0</v>
      </c>
      <c r="M419" s="4">
        <v>0</v>
      </c>
      <c r="N419" s="4">
        <v>40</v>
      </c>
      <c r="O419" s="4" t="s">
        <v>7</v>
      </c>
      <c r="P419" s="4" t="s">
        <v>8</v>
      </c>
      <c r="Q419" s="4" t="e">
        <f>IF(Tabela2[[#This Row],[sex]]="Female",Tabela2[[#This Row],[hours-per-week]],NA())</f>
        <v>#N/A</v>
      </c>
      <c r="R419" s="4">
        <f>IF(Tabela2[[#This Row],[sex]]="Male",Tabela2[[#This Row],[hours-per-week]],NA())</f>
        <v>40</v>
      </c>
    </row>
    <row r="420" spans="1:18">
      <c r="A420" s="3" t="s">
        <v>511</v>
      </c>
      <c r="B420" s="4">
        <v>27</v>
      </c>
      <c r="C420" s="4" t="s">
        <v>0</v>
      </c>
      <c r="D420" s="4">
        <v>178709</v>
      </c>
      <c r="E420" s="4" t="s">
        <v>39</v>
      </c>
      <c r="F420" s="4">
        <v>14</v>
      </c>
      <c r="G420" s="4" t="s">
        <v>2</v>
      </c>
      <c r="H420" s="4" t="s">
        <v>22</v>
      </c>
      <c r="I420" s="4" t="s">
        <v>11</v>
      </c>
      <c r="J420" s="4" t="s">
        <v>5</v>
      </c>
      <c r="K420" s="4" t="s">
        <v>6</v>
      </c>
      <c r="L420" s="4">
        <v>0</v>
      </c>
      <c r="M420" s="4">
        <v>0</v>
      </c>
      <c r="N420" s="4">
        <v>40</v>
      </c>
      <c r="O420" s="4" t="s">
        <v>7</v>
      </c>
      <c r="P420" s="4" t="s">
        <v>8</v>
      </c>
      <c r="Q420" s="4">
        <f>IF(Tabela2[[#This Row],[sex]]="Female",Tabela2[[#This Row],[hours-per-week]],NA())</f>
        <v>40</v>
      </c>
      <c r="R420" s="4" t="e">
        <f>IF(Tabela2[[#This Row],[sex]]="Male",Tabela2[[#This Row],[hours-per-week]],NA())</f>
        <v>#N/A</v>
      </c>
    </row>
    <row r="421" spans="1:18">
      <c r="A421" s="3" t="s">
        <v>512</v>
      </c>
      <c r="B421" s="4">
        <v>40</v>
      </c>
      <c r="C421" s="4" t="s">
        <v>0</v>
      </c>
      <c r="D421" s="4">
        <v>198873</v>
      </c>
      <c r="E421" s="4" t="s">
        <v>50</v>
      </c>
      <c r="F421" s="4">
        <v>15</v>
      </c>
      <c r="G421" s="4" t="s">
        <v>29</v>
      </c>
      <c r="H421" s="4" t="s">
        <v>27</v>
      </c>
      <c r="I421" s="4" t="s">
        <v>31</v>
      </c>
      <c r="J421" s="4" t="s">
        <v>5</v>
      </c>
      <c r="K421" s="4" t="s">
        <v>6</v>
      </c>
      <c r="L421" s="4">
        <v>15024</v>
      </c>
      <c r="M421" s="4">
        <v>0</v>
      </c>
      <c r="N421" s="4">
        <v>30</v>
      </c>
      <c r="O421" s="4" t="s">
        <v>7</v>
      </c>
      <c r="P421" s="4" t="s">
        <v>19</v>
      </c>
      <c r="Q421" s="4">
        <f>IF(Tabela2[[#This Row],[sex]]="Female",Tabela2[[#This Row],[hours-per-week]],NA())</f>
        <v>30</v>
      </c>
      <c r="R421" s="4" t="e">
        <f>IF(Tabela2[[#This Row],[sex]]="Male",Tabela2[[#This Row],[hours-per-week]],NA())</f>
        <v>#N/A</v>
      </c>
    </row>
    <row r="422" spans="1:18">
      <c r="A422" s="3" t="s">
        <v>513</v>
      </c>
      <c r="B422" s="4">
        <v>36</v>
      </c>
      <c r="C422" s="4" t="s">
        <v>20</v>
      </c>
      <c r="D422" s="4">
        <v>251091</v>
      </c>
      <c r="E422" s="4" t="s">
        <v>12</v>
      </c>
      <c r="F422" s="4">
        <v>10</v>
      </c>
      <c r="G422" s="4" t="s">
        <v>29</v>
      </c>
      <c r="H422" s="4" t="s">
        <v>55</v>
      </c>
      <c r="I422" s="4" t="s">
        <v>32</v>
      </c>
      <c r="J422" s="4" t="s">
        <v>5</v>
      </c>
      <c r="K422" s="4" t="s">
        <v>18</v>
      </c>
      <c r="L422" s="4">
        <v>0</v>
      </c>
      <c r="M422" s="4">
        <v>0</v>
      </c>
      <c r="N422" s="4">
        <v>40</v>
      </c>
      <c r="O422" s="4" t="s">
        <v>7</v>
      </c>
      <c r="P422" s="4" t="s">
        <v>19</v>
      </c>
      <c r="Q422" s="4" t="e">
        <f>IF(Tabela2[[#This Row],[sex]]="Female",Tabela2[[#This Row],[hours-per-week]],NA())</f>
        <v>#N/A</v>
      </c>
      <c r="R422" s="4">
        <f>IF(Tabela2[[#This Row],[sex]]="Male",Tabela2[[#This Row],[hours-per-week]],NA())</f>
        <v>40</v>
      </c>
    </row>
    <row r="423" spans="1:18">
      <c r="A423" s="3" t="s">
        <v>514</v>
      </c>
      <c r="B423" s="4">
        <v>49</v>
      </c>
      <c r="C423" s="4" t="s">
        <v>41</v>
      </c>
      <c r="D423" s="4">
        <v>118701</v>
      </c>
      <c r="E423" s="4" t="s">
        <v>28</v>
      </c>
      <c r="F423" s="4">
        <v>9</v>
      </c>
      <c r="G423" s="4" t="s">
        <v>15</v>
      </c>
      <c r="H423" s="4" t="s">
        <v>33</v>
      </c>
      <c r="I423" s="4" t="s">
        <v>35</v>
      </c>
      <c r="J423" s="4" t="s">
        <v>23</v>
      </c>
      <c r="K423" s="4" t="s">
        <v>6</v>
      </c>
      <c r="L423" s="4">
        <v>0</v>
      </c>
      <c r="M423" s="4">
        <v>0</v>
      </c>
      <c r="N423" s="4">
        <v>40</v>
      </c>
      <c r="O423" s="4" t="s">
        <v>7</v>
      </c>
      <c r="P423" s="4" t="s">
        <v>8</v>
      </c>
      <c r="Q423" s="4">
        <f>IF(Tabela2[[#This Row],[sex]]="Female",Tabela2[[#This Row],[hours-per-week]],NA())</f>
        <v>40</v>
      </c>
      <c r="R423" s="4" t="e">
        <f>IF(Tabela2[[#This Row],[sex]]="Male",Tabela2[[#This Row],[hours-per-week]],NA())</f>
        <v>#N/A</v>
      </c>
    </row>
    <row r="424" spans="1:18">
      <c r="A424" s="3" t="s">
        <v>515</v>
      </c>
      <c r="B424" s="4">
        <v>57</v>
      </c>
      <c r="C424" s="4" t="s">
        <v>0</v>
      </c>
      <c r="D424" s="4">
        <v>195876</v>
      </c>
      <c r="E424" s="4" t="s">
        <v>28</v>
      </c>
      <c r="F424" s="4">
        <v>9</v>
      </c>
      <c r="G424" s="4" t="s">
        <v>29</v>
      </c>
      <c r="H424" s="4" t="s">
        <v>16</v>
      </c>
      <c r="I424" s="4" t="s">
        <v>32</v>
      </c>
      <c r="J424" s="4" t="s">
        <v>5</v>
      </c>
      <c r="K424" s="4" t="s">
        <v>18</v>
      </c>
      <c r="L424" s="4">
        <v>0</v>
      </c>
      <c r="M424" s="4">
        <v>0</v>
      </c>
      <c r="N424" s="4">
        <v>40</v>
      </c>
      <c r="O424" s="4" t="s">
        <v>7</v>
      </c>
      <c r="P424" s="4" t="s">
        <v>8</v>
      </c>
      <c r="Q424" s="4" t="e">
        <f>IF(Tabela2[[#This Row],[sex]]="Female",Tabela2[[#This Row],[hours-per-week]],NA())</f>
        <v>#N/A</v>
      </c>
      <c r="R424" s="4">
        <f>IF(Tabela2[[#This Row],[sex]]="Male",Tabela2[[#This Row],[hours-per-week]],NA())</f>
        <v>40</v>
      </c>
    </row>
    <row r="425" spans="1:18">
      <c r="A425" s="3" t="s">
        <v>516</v>
      </c>
      <c r="B425" s="4">
        <v>55</v>
      </c>
      <c r="C425" s="4" t="s">
        <v>37</v>
      </c>
      <c r="D425" s="4">
        <v>316027</v>
      </c>
      <c r="E425" s="4" t="s">
        <v>57</v>
      </c>
      <c r="F425" s="4">
        <v>4</v>
      </c>
      <c r="G425" s="4" t="s">
        <v>29</v>
      </c>
      <c r="H425" s="4" t="s">
        <v>37</v>
      </c>
      <c r="I425" s="4" t="s">
        <v>32</v>
      </c>
      <c r="J425" s="4" t="s">
        <v>5</v>
      </c>
      <c r="K425" s="4" t="s">
        <v>18</v>
      </c>
      <c r="L425" s="4">
        <v>0</v>
      </c>
      <c r="M425" s="4">
        <v>0</v>
      </c>
      <c r="N425" s="4">
        <v>40</v>
      </c>
      <c r="O425" s="4" t="s">
        <v>37</v>
      </c>
      <c r="P425" s="4" t="s">
        <v>8</v>
      </c>
      <c r="Q425" s="4" t="e">
        <f>IF(Tabela2[[#This Row],[sex]]="Female",Tabela2[[#This Row],[hours-per-week]],NA())</f>
        <v>#N/A</v>
      </c>
      <c r="R425" s="4">
        <f>IF(Tabela2[[#This Row],[sex]]="Male",Tabela2[[#This Row],[hours-per-week]],NA())</f>
        <v>40</v>
      </c>
    </row>
    <row r="426" spans="1:18">
      <c r="A426" s="3" t="s">
        <v>517</v>
      </c>
      <c r="B426" s="4">
        <v>59</v>
      </c>
      <c r="C426" s="4" t="s">
        <v>0</v>
      </c>
      <c r="D426" s="4">
        <v>31782</v>
      </c>
      <c r="E426" s="4" t="s">
        <v>43</v>
      </c>
      <c r="F426" s="4">
        <v>6</v>
      </c>
      <c r="G426" s="4" t="s">
        <v>29</v>
      </c>
      <c r="H426" s="4" t="s">
        <v>38</v>
      </c>
      <c r="I426" s="4" t="s">
        <v>32</v>
      </c>
      <c r="J426" s="4" t="s">
        <v>5</v>
      </c>
      <c r="K426" s="4" t="s">
        <v>18</v>
      </c>
      <c r="L426" s="4">
        <v>0</v>
      </c>
      <c r="M426" s="4">
        <v>0</v>
      </c>
      <c r="N426" s="4">
        <v>45</v>
      </c>
      <c r="O426" s="4" t="s">
        <v>7</v>
      </c>
      <c r="P426" s="4" t="s">
        <v>19</v>
      </c>
      <c r="Q426" s="4" t="e">
        <f>IF(Tabela2[[#This Row],[sex]]="Female",Tabela2[[#This Row],[hours-per-week]],NA())</f>
        <v>#N/A</v>
      </c>
      <c r="R426" s="4">
        <f>IF(Tabela2[[#This Row],[sex]]="Male",Tabela2[[#This Row],[hours-per-week]],NA())</f>
        <v>45</v>
      </c>
    </row>
    <row r="427" spans="1:18">
      <c r="A427" s="3" t="s">
        <v>518</v>
      </c>
      <c r="B427" s="4">
        <v>35</v>
      </c>
      <c r="C427" s="4" t="s">
        <v>40</v>
      </c>
      <c r="D427" s="4">
        <v>176101</v>
      </c>
      <c r="E427" s="4" t="s">
        <v>28</v>
      </c>
      <c r="F427" s="4">
        <v>9</v>
      </c>
      <c r="G427" s="4" t="s">
        <v>29</v>
      </c>
      <c r="H427" s="4" t="s">
        <v>24</v>
      </c>
      <c r="I427" s="4" t="s">
        <v>32</v>
      </c>
      <c r="J427" s="4" t="s">
        <v>5</v>
      </c>
      <c r="K427" s="4" t="s">
        <v>18</v>
      </c>
      <c r="L427" s="4">
        <v>0</v>
      </c>
      <c r="M427" s="4">
        <v>0</v>
      </c>
      <c r="N427" s="4">
        <v>80</v>
      </c>
      <c r="O427" s="4" t="s">
        <v>7</v>
      </c>
      <c r="P427" s="4" t="s">
        <v>19</v>
      </c>
      <c r="Q427" s="4" t="e">
        <f>IF(Tabela2[[#This Row],[sex]]="Female",Tabela2[[#This Row],[hours-per-week]],NA())</f>
        <v>#N/A</v>
      </c>
      <c r="R427" s="4">
        <f>IF(Tabela2[[#This Row],[sex]]="Male",Tabela2[[#This Row],[hours-per-week]],NA())</f>
        <v>80</v>
      </c>
    </row>
    <row r="428" spans="1:18">
      <c r="A428" s="3" t="s">
        <v>519</v>
      </c>
      <c r="B428" s="4">
        <v>42</v>
      </c>
      <c r="C428" s="4" t="s">
        <v>0</v>
      </c>
      <c r="D428" s="4">
        <v>227397</v>
      </c>
      <c r="E428" s="4" t="s">
        <v>26</v>
      </c>
      <c r="F428" s="4">
        <v>13</v>
      </c>
      <c r="G428" s="4" t="s">
        <v>29</v>
      </c>
      <c r="H428" s="4" t="s">
        <v>33</v>
      </c>
      <c r="I428" s="4" t="s">
        <v>31</v>
      </c>
      <c r="J428" s="4" t="s">
        <v>5</v>
      </c>
      <c r="K428" s="4" t="s">
        <v>6</v>
      </c>
      <c r="L428" s="4">
        <v>0</v>
      </c>
      <c r="M428" s="4">
        <v>0</v>
      </c>
      <c r="N428" s="4">
        <v>40</v>
      </c>
      <c r="O428" s="4" t="s">
        <v>7</v>
      </c>
      <c r="P428" s="4" t="s">
        <v>19</v>
      </c>
      <c r="Q428" s="4">
        <f>IF(Tabela2[[#This Row],[sex]]="Female",Tabela2[[#This Row],[hours-per-week]],NA())</f>
        <v>40</v>
      </c>
      <c r="R428" s="4" t="e">
        <f>IF(Tabela2[[#This Row],[sex]]="Male",Tabela2[[#This Row],[hours-per-week]],NA())</f>
        <v>#N/A</v>
      </c>
    </row>
    <row r="429" spans="1:18">
      <c r="A429" s="3" t="s">
        <v>520</v>
      </c>
      <c r="B429" s="4">
        <v>42</v>
      </c>
      <c r="C429" s="4" t="s">
        <v>37</v>
      </c>
      <c r="D429" s="4">
        <v>32533</v>
      </c>
      <c r="E429" s="4" t="s">
        <v>12</v>
      </c>
      <c r="F429" s="4">
        <v>10</v>
      </c>
      <c r="G429" s="4" t="s">
        <v>2</v>
      </c>
      <c r="H429" s="4" t="s">
        <v>37</v>
      </c>
      <c r="I429" s="4" t="s">
        <v>11</v>
      </c>
      <c r="J429" s="4" t="s">
        <v>5</v>
      </c>
      <c r="K429" s="4" t="s">
        <v>18</v>
      </c>
      <c r="L429" s="4">
        <v>0</v>
      </c>
      <c r="M429" s="4">
        <v>0</v>
      </c>
      <c r="N429" s="4">
        <v>45</v>
      </c>
      <c r="O429" s="4" t="s">
        <v>7</v>
      </c>
      <c r="P429" s="4" t="s">
        <v>8</v>
      </c>
      <c r="Q429" s="4" t="e">
        <f>IF(Tabela2[[#This Row],[sex]]="Female",Tabela2[[#This Row],[hours-per-week]],NA())</f>
        <v>#N/A</v>
      </c>
      <c r="R429" s="4">
        <f>IF(Tabela2[[#This Row],[sex]]="Male",Tabela2[[#This Row],[hours-per-week]],NA())</f>
        <v>45</v>
      </c>
    </row>
    <row r="430" spans="1:18">
      <c r="A430" s="3" t="s">
        <v>521</v>
      </c>
      <c r="B430" s="4">
        <v>41</v>
      </c>
      <c r="C430" s="4" t="s">
        <v>0</v>
      </c>
      <c r="D430" s="4">
        <v>187802</v>
      </c>
      <c r="E430" s="4" t="s">
        <v>12</v>
      </c>
      <c r="F430" s="4">
        <v>10</v>
      </c>
      <c r="G430" s="4" t="s">
        <v>15</v>
      </c>
      <c r="H430" s="4" t="s">
        <v>30</v>
      </c>
      <c r="I430" s="4" t="s">
        <v>11</v>
      </c>
      <c r="J430" s="4" t="s">
        <v>5</v>
      </c>
      <c r="K430" s="4" t="s">
        <v>18</v>
      </c>
      <c r="L430" s="4">
        <v>0</v>
      </c>
      <c r="M430" s="4">
        <v>0</v>
      </c>
      <c r="N430" s="4">
        <v>50</v>
      </c>
      <c r="O430" s="4" t="s">
        <v>7</v>
      </c>
      <c r="P430" s="4" t="s">
        <v>8</v>
      </c>
      <c r="Q430" s="4" t="e">
        <f>IF(Tabela2[[#This Row],[sex]]="Female",Tabela2[[#This Row],[hours-per-week]],NA())</f>
        <v>#N/A</v>
      </c>
      <c r="R430" s="4">
        <f>IF(Tabela2[[#This Row],[sex]]="Male",Tabela2[[#This Row],[hours-per-week]],NA())</f>
        <v>50</v>
      </c>
    </row>
    <row r="431" spans="1:18">
      <c r="A431" s="3" t="s">
        <v>522</v>
      </c>
      <c r="B431" s="4">
        <v>43</v>
      </c>
      <c r="C431" s="4" t="s">
        <v>0</v>
      </c>
      <c r="D431" s="4">
        <v>248094</v>
      </c>
      <c r="E431" s="4" t="s">
        <v>28</v>
      </c>
      <c r="F431" s="4">
        <v>9</v>
      </c>
      <c r="G431" s="4" t="s">
        <v>15</v>
      </c>
      <c r="H431" s="4" t="s">
        <v>16</v>
      </c>
      <c r="I431" s="4" t="s">
        <v>35</v>
      </c>
      <c r="J431" s="4" t="s">
        <v>5</v>
      </c>
      <c r="K431" s="4" t="s">
        <v>18</v>
      </c>
      <c r="L431" s="4">
        <v>0</v>
      </c>
      <c r="M431" s="4">
        <v>0</v>
      </c>
      <c r="N431" s="4">
        <v>40</v>
      </c>
      <c r="O431" s="4" t="s">
        <v>7</v>
      </c>
      <c r="P431" s="4" t="s">
        <v>8</v>
      </c>
      <c r="Q431" s="4" t="e">
        <f>IF(Tabela2[[#This Row],[sex]]="Female",Tabela2[[#This Row],[hours-per-week]],NA())</f>
        <v>#N/A</v>
      </c>
      <c r="R431" s="4">
        <f>IF(Tabela2[[#This Row],[sex]]="Male",Tabela2[[#This Row],[hours-per-week]],NA())</f>
        <v>40</v>
      </c>
    </row>
    <row r="432" spans="1:18">
      <c r="A432" s="3" t="s">
        <v>523</v>
      </c>
      <c r="B432" s="4">
        <v>26</v>
      </c>
      <c r="C432" s="4" t="s">
        <v>0</v>
      </c>
      <c r="D432" s="4">
        <v>35917</v>
      </c>
      <c r="E432" s="4" t="s">
        <v>12</v>
      </c>
      <c r="F432" s="4">
        <v>10</v>
      </c>
      <c r="G432" s="4" t="s">
        <v>2</v>
      </c>
      <c r="H432" s="4" t="s">
        <v>38</v>
      </c>
      <c r="I432" s="4" t="s">
        <v>11</v>
      </c>
      <c r="J432" s="4" t="s">
        <v>5</v>
      </c>
      <c r="K432" s="4" t="s">
        <v>18</v>
      </c>
      <c r="L432" s="4">
        <v>0</v>
      </c>
      <c r="M432" s="4">
        <v>0</v>
      </c>
      <c r="N432" s="4">
        <v>50</v>
      </c>
      <c r="O432" s="4" t="s">
        <v>7</v>
      </c>
      <c r="P432" s="4" t="s">
        <v>8</v>
      </c>
      <c r="Q432" s="4" t="e">
        <f>IF(Tabela2[[#This Row],[sex]]="Female",Tabela2[[#This Row],[hours-per-week]],NA())</f>
        <v>#N/A</v>
      </c>
      <c r="R432" s="4">
        <f>IF(Tabela2[[#This Row],[sex]]="Male",Tabela2[[#This Row],[hours-per-week]],NA())</f>
        <v>50</v>
      </c>
    </row>
    <row r="433" spans="1:18">
      <c r="A433" s="3" t="s">
        <v>524</v>
      </c>
      <c r="B433" s="4">
        <v>27</v>
      </c>
      <c r="C433" s="4" t="s">
        <v>0</v>
      </c>
      <c r="D433" s="4">
        <v>213152</v>
      </c>
      <c r="E433" s="4" t="s">
        <v>12</v>
      </c>
      <c r="F433" s="4">
        <v>10</v>
      </c>
      <c r="G433" s="4" t="s">
        <v>2</v>
      </c>
      <c r="H433" s="4" t="s">
        <v>10</v>
      </c>
      <c r="I433" s="4" t="s">
        <v>11</v>
      </c>
      <c r="J433" s="4" t="s">
        <v>5</v>
      </c>
      <c r="K433" s="4" t="s">
        <v>18</v>
      </c>
      <c r="L433" s="4">
        <v>0</v>
      </c>
      <c r="M433" s="4">
        <v>0</v>
      </c>
      <c r="N433" s="4">
        <v>40</v>
      </c>
      <c r="O433" s="4" t="s">
        <v>7</v>
      </c>
      <c r="P433" s="4" t="s">
        <v>8</v>
      </c>
      <c r="Q433" s="4" t="e">
        <f>IF(Tabela2[[#This Row],[sex]]="Female",Tabela2[[#This Row],[hours-per-week]],NA())</f>
        <v>#N/A</v>
      </c>
      <c r="R433" s="4">
        <f>IF(Tabela2[[#This Row],[sex]]="Male",Tabela2[[#This Row],[hours-per-week]],NA())</f>
        <v>40</v>
      </c>
    </row>
    <row r="434" spans="1:18">
      <c r="A434" s="3" t="s">
        <v>525</v>
      </c>
      <c r="B434" s="4">
        <v>51</v>
      </c>
      <c r="C434" s="4" t="s">
        <v>20</v>
      </c>
      <c r="D434" s="4">
        <v>349431</v>
      </c>
      <c r="E434" s="4" t="s">
        <v>28</v>
      </c>
      <c r="F434" s="4">
        <v>9</v>
      </c>
      <c r="G434" s="4" t="s">
        <v>29</v>
      </c>
      <c r="H434" s="4" t="s">
        <v>16</v>
      </c>
      <c r="I434" s="4" t="s">
        <v>32</v>
      </c>
      <c r="J434" s="4" t="s">
        <v>5</v>
      </c>
      <c r="K434" s="4" t="s">
        <v>18</v>
      </c>
      <c r="L434" s="4">
        <v>4386</v>
      </c>
      <c r="M434" s="4">
        <v>0</v>
      </c>
      <c r="N434" s="4">
        <v>40</v>
      </c>
      <c r="O434" s="4" t="s">
        <v>7</v>
      </c>
      <c r="P434" s="4" t="s">
        <v>19</v>
      </c>
      <c r="Q434" s="4" t="e">
        <f>IF(Tabela2[[#This Row],[sex]]="Female",Tabela2[[#This Row],[hours-per-week]],NA())</f>
        <v>#N/A</v>
      </c>
      <c r="R434" s="4">
        <f>IF(Tabela2[[#This Row],[sex]]="Male",Tabela2[[#This Row],[hours-per-week]],NA())</f>
        <v>40</v>
      </c>
    </row>
    <row r="435" spans="1:18">
      <c r="A435" s="3" t="s">
        <v>526</v>
      </c>
      <c r="B435" s="4">
        <v>19</v>
      </c>
      <c r="C435" s="4" t="s">
        <v>0</v>
      </c>
      <c r="D435" s="4">
        <v>183041</v>
      </c>
      <c r="E435" s="4" t="s">
        <v>1</v>
      </c>
      <c r="F435" s="4">
        <v>7</v>
      </c>
      <c r="G435" s="4" t="s">
        <v>2</v>
      </c>
      <c r="H435" s="4" t="s">
        <v>34</v>
      </c>
      <c r="I435" s="4" t="s">
        <v>4</v>
      </c>
      <c r="J435" s="4" t="s">
        <v>5</v>
      </c>
      <c r="K435" s="4" t="s">
        <v>18</v>
      </c>
      <c r="L435" s="4">
        <v>0</v>
      </c>
      <c r="M435" s="4">
        <v>0</v>
      </c>
      <c r="N435" s="4">
        <v>24</v>
      </c>
      <c r="O435" s="4" t="s">
        <v>7</v>
      </c>
      <c r="P435" s="4" t="s">
        <v>8</v>
      </c>
      <c r="Q435" s="4" t="e">
        <f>IF(Tabela2[[#This Row],[sex]]="Female",Tabela2[[#This Row],[hours-per-week]],NA())</f>
        <v>#N/A</v>
      </c>
      <c r="R435" s="4">
        <f>IF(Tabela2[[#This Row],[sex]]="Male",Tabela2[[#This Row],[hours-per-week]],NA())</f>
        <v>24</v>
      </c>
    </row>
    <row r="436" spans="1:18">
      <c r="A436" s="3" t="s">
        <v>527</v>
      </c>
      <c r="B436" s="4">
        <v>43</v>
      </c>
      <c r="C436" s="4" t="s">
        <v>0</v>
      </c>
      <c r="D436" s="4">
        <v>178976</v>
      </c>
      <c r="E436" s="4" t="s">
        <v>28</v>
      </c>
      <c r="F436" s="4">
        <v>9</v>
      </c>
      <c r="G436" s="4" t="s">
        <v>2</v>
      </c>
      <c r="H436" s="4" t="s">
        <v>33</v>
      </c>
      <c r="I436" s="4" t="s">
        <v>35</v>
      </c>
      <c r="J436" s="4" t="s">
        <v>5</v>
      </c>
      <c r="K436" s="4" t="s">
        <v>6</v>
      </c>
      <c r="L436" s="4">
        <v>0</v>
      </c>
      <c r="M436" s="4">
        <v>0</v>
      </c>
      <c r="N436" s="4">
        <v>40</v>
      </c>
      <c r="O436" s="4" t="s">
        <v>7</v>
      </c>
      <c r="P436" s="4" t="s">
        <v>8</v>
      </c>
      <c r="Q436" s="4">
        <f>IF(Tabela2[[#This Row],[sex]]="Female",Tabela2[[#This Row],[hours-per-week]],NA())</f>
        <v>40</v>
      </c>
      <c r="R436" s="4" t="e">
        <f>IF(Tabela2[[#This Row],[sex]]="Male",Tabela2[[#This Row],[hours-per-week]],NA())</f>
        <v>#N/A</v>
      </c>
    </row>
    <row r="437" spans="1:18">
      <c r="A437" s="3" t="s">
        <v>528</v>
      </c>
      <c r="B437" s="4">
        <v>33</v>
      </c>
      <c r="C437" s="4" t="s">
        <v>0</v>
      </c>
      <c r="D437" s="4">
        <v>176185</v>
      </c>
      <c r="E437" s="4" t="s">
        <v>17</v>
      </c>
      <c r="F437" s="4">
        <v>8</v>
      </c>
      <c r="G437" s="4" t="s">
        <v>15</v>
      </c>
      <c r="H437" s="4" t="s">
        <v>16</v>
      </c>
      <c r="I437" s="4" t="s">
        <v>11</v>
      </c>
      <c r="J437" s="4" t="s">
        <v>5</v>
      </c>
      <c r="K437" s="4" t="s">
        <v>18</v>
      </c>
      <c r="L437" s="4">
        <v>0</v>
      </c>
      <c r="M437" s="4">
        <v>2258</v>
      </c>
      <c r="N437" s="4">
        <v>42</v>
      </c>
      <c r="O437" s="4" t="s">
        <v>7</v>
      </c>
      <c r="P437" s="4" t="s">
        <v>8</v>
      </c>
      <c r="Q437" s="4" t="e">
        <f>IF(Tabela2[[#This Row],[sex]]="Female",Tabela2[[#This Row],[hours-per-week]],NA())</f>
        <v>#N/A</v>
      </c>
      <c r="R437" s="4">
        <f>IF(Tabela2[[#This Row],[sex]]="Male",Tabela2[[#This Row],[hours-per-week]],NA())</f>
        <v>42</v>
      </c>
    </row>
    <row r="438" spans="1:18">
      <c r="A438" s="3" t="s">
        <v>529</v>
      </c>
      <c r="B438" s="4">
        <v>18</v>
      </c>
      <c r="C438" s="4" t="s">
        <v>0</v>
      </c>
      <c r="D438" s="4">
        <v>452452</v>
      </c>
      <c r="E438" s="4" t="s">
        <v>43</v>
      </c>
      <c r="F438" s="4">
        <v>6</v>
      </c>
      <c r="G438" s="4" t="s">
        <v>2</v>
      </c>
      <c r="H438" s="4" t="s">
        <v>73</v>
      </c>
      <c r="I438" s="4" t="s">
        <v>4</v>
      </c>
      <c r="J438" s="4" t="s">
        <v>23</v>
      </c>
      <c r="K438" s="4" t="s">
        <v>6</v>
      </c>
      <c r="L438" s="4">
        <v>0</v>
      </c>
      <c r="M438" s="4">
        <v>0</v>
      </c>
      <c r="N438" s="4">
        <v>20</v>
      </c>
      <c r="O438" s="4" t="s">
        <v>7</v>
      </c>
      <c r="P438" s="4" t="s">
        <v>8</v>
      </c>
      <c r="Q438" s="4">
        <f>IF(Tabela2[[#This Row],[sex]]="Female",Tabela2[[#This Row],[hours-per-week]],NA())</f>
        <v>20</v>
      </c>
      <c r="R438" s="4" t="e">
        <f>IF(Tabela2[[#This Row],[sex]]="Male",Tabela2[[#This Row],[hours-per-week]],NA())</f>
        <v>#N/A</v>
      </c>
    </row>
    <row r="439" spans="1:18">
      <c r="A439" s="3" t="s">
        <v>530</v>
      </c>
      <c r="B439" s="4">
        <v>45</v>
      </c>
      <c r="C439" s="4" t="s">
        <v>0</v>
      </c>
      <c r="D439" s="4">
        <v>207540</v>
      </c>
      <c r="E439" s="4" t="s">
        <v>63</v>
      </c>
      <c r="F439" s="4">
        <v>16</v>
      </c>
      <c r="G439" s="4" t="s">
        <v>21</v>
      </c>
      <c r="H439" s="4" t="s">
        <v>46</v>
      </c>
      <c r="I439" s="4" t="s">
        <v>35</v>
      </c>
      <c r="J439" s="4" t="s">
        <v>5</v>
      </c>
      <c r="K439" s="4" t="s">
        <v>18</v>
      </c>
      <c r="L439" s="4">
        <v>0</v>
      </c>
      <c r="M439" s="4">
        <v>0</v>
      </c>
      <c r="N439" s="4">
        <v>40</v>
      </c>
      <c r="O439" s="4" t="s">
        <v>7</v>
      </c>
      <c r="P439" s="4" t="s">
        <v>19</v>
      </c>
      <c r="Q439" s="4" t="e">
        <f>IF(Tabela2[[#This Row],[sex]]="Female",Tabela2[[#This Row],[hours-per-week]],NA())</f>
        <v>#N/A</v>
      </c>
      <c r="R439" s="4">
        <f>IF(Tabela2[[#This Row],[sex]]="Male",Tabela2[[#This Row],[hours-per-week]],NA())</f>
        <v>40</v>
      </c>
    </row>
    <row r="440" spans="1:18">
      <c r="A440" s="3" t="s">
        <v>531</v>
      </c>
      <c r="B440" s="4">
        <v>58</v>
      </c>
      <c r="C440" s="4" t="s">
        <v>0</v>
      </c>
      <c r="D440" s="4">
        <v>147707</v>
      </c>
      <c r="E440" s="4" t="s">
        <v>28</v>
      </c>
      <c r="F440" s="4">
        <v>9</v>
      </c>
      <c r="G440" s="4" t="s">
        <v>29</v>
      </c>
      <c r="H440" s="4" t="s">
        <v>46</v>
      </c>
      <c r="I440" s="4" t="s">
        <v>32</v>
      </c>
      <c r="J440" s="4" t="s">
        <v>5</v>
      </c>
      <c r="K440" s="4" t="s">
        <v>18</v>
      </c>
      <c r="L440" s="4">
        <v>15024</v>
      </c>
      <c r="M440" s="4">
        <v>0</v>
      </c>
      <c r="N440" s="4">
        <v>60</v>
      </c>
      <c r="O440" s="4" t="s">
        <v>7</v>
      </c>
      <c r="P440" s="4" t="s">
        <v>19</v>
      </c>
      <c r="Q440" s="4" t="e">
        <f>IF(Tabela2[[#This Row],[sex]]="Female",Tabela2[[#This Row],[hours-per-week]],NA())</f>
        <v>#N/A</v>
      </c>
      <c r="R440" s="4">
        <f>IF(Tabela2[[#This Row],[sex]]="Male",Tabela2[[#This Row],[hours-per-week]],NA())</f>
        <v>60</v>
      </c>
    </row>
    <row r="441" spans="1:18">
      <c r="A441" s="3" t="s">
        <v>532</v>
      </c>
      <c r="B441" s="4">
        <v>47</v>
      </c>
      <c r="C441" s="4" t="s">
        <v>0</v>
      </c>
      <c r="D441" s="4">
        <v>270079</v>
      </c>
      <c r="E441" s="4" t="s">
        <v>57</v>
      </c>
      <c r="F441" s="4">
        <v>4</v>
      </c>
      <c r="G441" s="4" t="s">
        <v>29</v>
      </c>
      <c r="H441" s="4" t="s">
        <v>16</v>
      </c>
      <c r="I441" s="4" t="s">
        <v>32</v>
      </c>
      <c r="J441" s="4" t="s">
        <v>5</v>
      </c>
      <c r="K441" s="4" t="s">
        <v>18</v>
      </c>
      <c r="L441" s="4">
        <v>0</v>
      </c>
      <c r="M441" s="4">
        <v>0</v>
      </c>
      <c r="N441" s="4">
        <v>40</v>
      </c>
      <c r="O441" s="4" t="s">
        <v>7</v>
      </c>
      <c r="P441" s="4" t="s">
        <v>8</v>
      </c>
      <c r="Q441" s="4" t="e">
        <f>IF(Tabela2[[#This Row],[sex]]="Female",Tabela2[[#This Row],[hours-per-week]],NA())</f>
        <v>#N/A</v>
      </c>
      <c r="R441" s="4">
        <f>IF(Tabela2[[#This Row],[sex]]="Male",Tabela2[[#This Row],[hours-per-week]],NA())</f>
        <v>40</v>
      </c>
    </row>
    <row r="442" spans="1:18">
      <c r="A442" s="3" t="s">
        <v>533</v>
      </c>
      <c r="B442" s="4">
        <v>34</v>
      </c>
      <c r="C442" s="4" t="s">
        <v>0</v>
      </c>
      <c r="D442" s="4">
        <v>118605</v>
      </c>
      <c r="E442" s="4" t="s">
        <v>9</v>
      </c>
      <c r="F442" s="4">
        <v>12</v>
      </c>
      <c r="G442" s="4" t="s">
        <v>29</v>
      </c>
      <c r="H442" s="4" t="s">
        <v>27</v>
      </c>
      <c r="I442" s="4" t="s">
        <v>32</v>
      </c>
      <c r="J442" s="4" t="s">
        <v>5</v>
      </c>
      <c r="K442" s="4" t="s">
        <v>18</v>
      </c>
      <c r="L442" s="4">
        <v>0</v>
      </c>
      <c r="M442" s="4">
        <v>0</v>
      </c>
      <c r="N442" s="4">
        <v>55</v>
      </c>
      <c r="O442" s="4" t="s">
        <v>7</v>
      </c>
      <c r="P442" s="4" t="s">
        <v>8</v>
      </c>
      <c r="Q442" s="4" t="e">
        <f>IF(Tabela2[[#This Row],[sex]]="Female",Tabela2[[#This Row],[hours-per-week]],NA())</f>
        <v>#N/A</v>
      </c>
      <c r="R442" s="4">
        <f>IF(Tabela2[[#This Row],[sex]]="Male",Tabela2[[#This Row],[hours-per-week]],NA())</f>
        <v>55</v>
      </c>
    </row>
    <row r="443" spans="1:18">
      <c r="A443" s="3" t="s">
        <v>534</v>
      </c>
      <c r="B443" s="4">
        <v>34</v>
      </c>
      <c r="C443" s="4" t="s">
        <v>37</v>
      </c>
      <c r="D443" s="4">
        <v>170276</v>
      </c>
      <c r="E443" s="4" t="s">
        <v>26</v>
      </c>
      <c r="F443" s="4">
        <v>13</v>
      </c>
      <c r="G443" s="4" t="s">
        <v>29</v>
      </c>
      <c r="H443" s="4" t="s">
        <v>37</v>
      </c>
      <c r="I443" s="4" t="s">
        <v>31</v>
      </c>
      <c r="J443" s="4" t="s">
        <v>5</v>
      </c>
      <c r="K443" s="4" t="s">
        <v>6</v>
      </c>
      <c r="L443" s="4">
        <v>0</v>
      </c>
      <c r="M443" s="4">
        <v>0</v>
      </c>
      <c r="N443" s="4">
        <v>10</v>
      </c>
      <c r="O443" s="4" t="s">
        <v>7</v>
      </c>
      <c r="P443" s="4" t="s">
        <v>19</v>
      </c>
      <c r="Q443" s="4">
        <f>IF(Tabela2[[#This Row],[sex]]="Female",Tabela2[[#This Row],[hours-per-week]],NA())</f>
        <v>10</v>
      </c>
      <c r="R443" s="4" t="e">
        <f>IF(Tabela2[[#This Row],[sex]]="Male",Tabela2[[#This Row],[hours-per-week]],NA())</f>
        <v>#N/A</v>
      </c>
    </row>
    <row r="444" spans="1:18">
      <c r="A444" s="3" t="s">
        <v>535</v>
      </c>
      <c r="B444" s="4">
        <v>23</v>
      </c>
      <c r="C444" s="4" t="s">
        <v>41</v>
      </c>
      <c r="D444" s="4">
        <v>41031</v>
      </c>
      <c r="E444" s="4" t="s">
        <v>12</v>
      </c>
      <c r="F444" s="4">
        <v>10</v>
      </c>
      <c r="G444" s="4" t="s">
        <v>2</v>
      </c>
      <c r="H444" s="4" t="s">
        <v>10</v>
      </c>
      <c r="I444" s="4" t="s">
        <v>11</v>
      </c>
      <c r="J444" s="4" t="s">
        <v>5</v>
      </c>
      <c r="K444" s="4" t="s">
        <v>6</v>
      </c>
      <c r="L444" s="4">
        <v>0</v>
      </c>
      <c r="M444" s="4">
        <v>0</v>
      </c>
      <c r="N444" s="4">
        <v>35</v>
      </c>
      <c r="O444" s="4" t="s">
        <v>7</v>
      </c>
      <c r="P444" s="4" t="s">
        <v>8</v>
      </c>
      <c r="Q444" s="4">
        <f>IF(Tabela2[[#This Row],[sex]]="Female",Tabela2[[#This Row],[hours-per-week]],NA())</f>
        <v>35</v>
      </c>
      <c r="R444" s="4" t="e">
        <f>IF(Tabela2[[#This Row],[sex]]="Male",Tabela2[[#This Row],[hours-per-week]],NA())</f>
        <v>#N/A</v>
      </c>
    </row>
    <row r="445" spans="1:18">
      <c r="A445" s="3" t="s">
        <v>536</v>
      </c>
      <c r="B445" s="4">
        <v>25</v>
      </c>
      <c r="C445" s="4" t="s">
        <v>0</v>
      </c>
      <c r="D445" s="4">
        <v>93223</v>
      </c>
      <c r="E445" s="4" t="s">
        <v>12</v>
      </c>
      <c r="F445" s="4">
        <v>10</v>
      </c>
      <c r="G445" s="4" t="s">
        <v>15</v>
      </c>
      <c r="H445" s="4" t="s">
        <v>27</v>
      </c>
      <c r="I445" s="4" t="s">
        <v>35</v>
      </c>
      <c r="J445" s="4" t="s">
        <v>5</v>
      </c>
      <c r="K445" s="4" t="s">
        <v>6</v>
      </c>
      <c r="L445" s="4">
        <v>0</v>
      </c>
      <c r="M445" s="4">
        <v>0</v>
      </c>
      <c r="N445" s="4">
        <v>35</v>
      </c>
      <c r="O445" s="4" t="s">
        <v>7</v>
      </c>
      <c r="P445" s="4" t="s">
        <v>8</v>
      </c>
      <c r="Q445" s="4">
        <f>IF(Tabela2[[#This Row],[sex]]="Female",Tabela2[[#This Row],[hours-per-week]],NA())</f>
        <v>35</v>
      </c>
      <c r="R445" s="4" t="e">
        <f>IF(Tabela2[[#This Row],[sex]]="Male",Tabela2[[#This Row],[hours-per-week]],NA())</f>
        <v>#N/A</v>
      </c>
    </row>
    <row r="446" spans="1:18">
      <c r="A446" s="3" t="s">
        <v>537</v>
      </c>
      <c r="B446" s="4">
        <v>36</v>
      </c>
      <c r="C446" s="4" t="s">
        <v>0</v>
      </c>
      <c r="D446" s="4">
        <v>215503</v>
      </c>
      <c r="E446" s="4" t="s">
        <v>28</v>
      </c>
      <c r="F446" s="4">
        <v>9</v>
      </c>
      <c r="G446" s="4" t="s">
        <v>2</v>
      </c>
      <c r="H446" s="4" t="s">
        <v>16</v>
      </c>
      <c r="I446" s="4" t="s">
        <v>11</v>
      </c>
      <c r="J446" s="4" t="s">
        <v>5</v>
      </c>
      <c r="K446" s="4" t="s">
        <v>18</v>
      </c>
      <c r="L446" s="4">
        <v>0</v>
      </c>
      <c r="M446" s="4">
        <v>0</v>
      </c>
      <c r="N446" s="4">
        <v>65</v>
      </c>
      <c r="O446" s="4" t="s">
        <v>7</v>
      </c>
      <c r="P446" s="4" t="s">
        <v>8</v>
      </c>
      <c r="Q446" s="4" t="e">
        <f>IF(Tabela2[[#This Row],[sex]]="Female",Tabela2[[#This Row],[hours-per-week]],NA())</f>
        <v>#N/A</v>
      </c>
      <c r="R446" s="4">
        <f>IF(Tabela2[[#This Row],[sex]]="Male",Tabela2[[#This Row],[hours-per-week]],NA())</f>
        <v>65</v>
      </c>
    </row>
    <row r="447" spans="1:18">
      <c r="A447" s="3" t="s">
        <v>538</v>
      </c>
      <c r="B447" s="4">
        <v>25</v>
      </c>
      <c r="C447" s="4" t="s">
        <v>40</v>
      </c>
      <c r="D447" s="4">
        <v>37741</v>
      </c>
      <c r="E447" s="4" t="s">
        <v>26</v>
      </c>
      <c r="F447" s="4">
        <v>13</v>
      </c>
      <c r="G447" s="4" t="s">
        <v>29</v>
      </c>
      <c r="H447" s="4" t="s">
        <v>46</v>
      </c>
      <c r="I447" s="4" t="s">
        <v>31</v>
      </c>
      <c r="J447" s="4" t="s">
        <v>5</v>
      </c>
      <c r="K447" s="4" t="s">
        <v>6</v>
      </c>
      <c r="L447" s="4">
        <v>0</v>
      </c>
      <c r="M447" s="4">
        <v>0</v>
      </c>
      <c r="N447" s="4">
        <v>40</v>
      </c>
      <c r="O447" s="4" t="s">
        <v>7</v>
      </c>
      <c r="P447" s="4" t="s">
        <v>8</v>
      </c>
      <c r="Q447" s="4">
        <f>IF(Tabela2[[#This Row],[sex]]="Female",Tabela2[[#This Row],[hours-per-week]],NA())</f>
        <v>40</v>
      </c>
      <c r="R447" s="4" t="e">
        <f>IF(Tabela2[[#This Row],[sex]]="Male",Tabela2[[#This Row],[hours-per-week]],NA())</f>
        <v>#N/A</v>
      </c>
    </row>
    <row r="448" spans="1:18">
      <c r="A448" s="3" t="s">
        <v>539</v>
      </c>
      <c r="B448" s="4">
        <v>25</v>
      </c>
      <c r="C448" s="4" t="s">
        <v>0</v>
      </c>
      <c r="D448" s="4">
        <v>281627</v>
      </c>
      <c r="E448" s="4" t="s">
        <v>39</v>
      </c>
      <c r="F448" s="4">
        <v>14</v>
      </c>
      <c r="G448" s="4" t="s">
        <v>2</v>
      </c>
      <c r="H448" s="4" t="s">
        <v>27</v>
      </c>
      <c r="I448" s="4" t="s">
        <v>11</v>
      </c>
      <c r="J448" s="4" t="s">
        <v>5</v>
      </c>
      <c r="K448" s="4" t="s">
        <v>6</v>
      </c>
      <c r="L448" s="4">
        <v>0</v>
      </c>
      <c r="M448" s="4">
        <v>0</v>
      </c>
      <c r="N448" s="4">
        <v>40</v>
      </c>
      <c r="O448" s="4" t="s">
        <v>7</v>
      </c>
      <c r="P448" s="4" t="s">
        <v>8</v>
      </c>
      <c r="Q448" s="4">
        <f>IF(Tabela2[[#This Row],[sex]]="Female",Tabela2[[#This Row],[hours-per-week]],NA())</f>
        <v>40</v>
      </c>
      <c r="R448" s="4" t="e">
        <f>IF(Tabela2[[#This Row],[sex]]="Male",Tabela2[[#This Row],[hours-per-week]],NA())</f>
        <v>#N/A</v>
      </c>
    </row>
    <row r="449" spans="1:18">
      <c r="A449" s="3" t="s">
        <v>540</v>
      </c>
      <c r="B449" s="4">
        <v>38</v>
      </c>
      <c r="C449" s="4" t="s">
        <v>0</v>
      </c>
      <c r="D449" s="4">
        <v>187870</v>
      </c>
      <c r="E449" s="4" t="s">
        <v>26</v>
      </c>
      <c r="F449" s="4">
        <v>13</v>
      </c>
      <c r="G449" s="4" t="s">
        <v>29</v>
      </c>
      <c r="H449" s="4" t="s">
        <v>27</v>
      </c>
      <c r="I449" s="4" t="s">
        <v>32</v>
      </c>
      <c r="J449" s="4" t="s">
        <v>5</v>
      </c>
      <c r="K449" s="4" t="s">
        <v>18</v>
      </c>
      <c r="L449" s="4">
        <v>7298</v>
      </c>
      <c r="M449" s="4">
        <v>0</v>
      </c>
      <c r="N449" s="4">
        <v>50</v>
      </c>
      <c r="O449" s="4" t="s">
        <v>7</v>
      </c>
      <c r="P449" s="4" t="s">
        <v>19</v>
      </c>
      <c r="Q449" s="4" t="e">
        <f>IF(Tabela2[[#This Row],[sex]]="Female",Tabela2[[#This Row],[hours-per-week]],NA())</f>
        <v>#N/A</v>
      </c>
      <c r="R449" s="4">
        <f>IF(Tabela2[[#This Row],[sex]]="Male",Tabela2[[#This Row],[hours-per-week]],NA())</f>
        <v>50</v>
      </c>
    </row>
    <row r="450" spans="1:18">
      <c r="A450" s="3" t="s">
        <v>541</v>
      </c>
      <c r="B450" s="4">
        <v>37</v>
      </c>
      <c r="C450" s="4" t="s">
        <v>0</v>
      </c>
      <c r="D450" s="4">
        <v>99374</v>
      </c>
      <c r="E450" s="4" t="s">
        <v>43</v>
      </c>
      <c r="F450" s="4">
        <v>6</v>
      </c>
      <c r="G450" s="4" t="s">
        <v>29</v>
      </c>
      <c r="H450" s="4" t="s">
        <v>38</v>
      </c>
      <c r="I450" s="4" t="s">
        <v>32</v>
      </c>
      <c r="J450" s="4" t="s">
        <v>5</v>
      </c>
      <c r="K450" s="4" t="s">
        <v>18</v>
      </c>
      <c r="L450" s="4">
        <v>0</v>
      </c>
      <c r="M450" s="4">
        <v>0</v>
      </c>
      <c r="N450" s="4">
        <v>55</v>
      </c>
      <c r="O450" s="4" t="s">
        <v>7</v>
      </c>
      <c r="P450" s="4" t="s">
        <v>8</v>
      </c>
      <c r="Q450" s="4" t="e">
        <f>IF(Tabela2[[#This Row],[sex]]="Female",Tabela2[[#This Row],[hours-per-week]],NA())</f>
        <v>#N/A</v>
      </c>
      <c r="R450" s="4">
        <f>IF(Tabela2[[#This Row],[sex]]="Male",Tabela2[[#This Row],[hours-per-week]],NA())</f>
        <v>55</v>
      </c>
    </row>
    <row r="451" spans="1:18">
      <c r="A451" s="3" t="s">
        <v>542</v>
      </c>
      <c r="B451" s="4">
        <v>54</v>
      </c>
      <c r="C451" s="4" t="s">
        <v>0</v>
      </c>
      <c r="D451" s="4">
        <v>227832</v>
      </c>
      <c r="E451" s="4" t="s">
        <v>17</v>
      </c>
      <c r="F451" s="4">
        <v>8</v>
      </c>
      <c r="G451" s="4" t="s">
        <v>29</v>
      </c>
      <c r="H451" s="4" t="s">
        <v>16</v>
      </c>
      <c r="I451" s="4" t="s">
        <v>32</v>
      </c>
      <c r="J451" s="4" t="s">
        <v>5</v>
      </c>
      <c r="K451" s="4" t="s">
        <v>18</v>
      </c>
      <c r="L451" s="4">
        <v>0</v>
      </c>
      <c r="M451" s="4">
        <v>0</v>
      </c>
      <c r="N451" s="4">
        <v>40</v>
      </c>
      <c r="O451" s="4" t="s">
        <v>7</v>
      </c>
      <c r="P451" s="4" t="s">
        <v>8</v>
      </c>
      <c r="Q451" s="4" t="e">
        <f>IF(Tabela2[[#This Row],[sex]]="Female",Tabela2[[#This Row],[hours-per-week]],NA())</f>
        <v>#N/A</v>
      </c>
      <c r="R451" s="4">
        <f>IF(Tabela2[[#This Row],[sex]]="Male",Tabela2[[#This Row],[hours-per-week]],NA())</f>
        <v>40</v>
      </c>
    </row>
    <row r="452" spans="1:18">
      <c r="A452" s="3" t="s">
        <v>543</v>
      </c>
      <c r="B452" s="4">
        <v>40</v>
      </c>
      <c r="C452" s="4" t="s">
        <v>0</v>
      </c>
      <c r="D452" s="4">
        <v>109762</v>
      </c>
      <c r="E452" s="4" t="s">
        <v>12</v>
      </c>
      <c r="F452" s="4">
        <v>10</v>
      </c>
      <c r="G452" s="4" t="s">
        <v>15</v>
      </c>
      <c r="H452" s="4" t="s">
        <v>16</v>
      </c>
      <c r="I452" s="4" t="s">
        <v>35</v>
      </c>
      <c r="J452" s="4" t="s">
        <v>5</v>
      </c>
      <c r="K452" s="4" t="s">
        <v>18</v>
      </c>
      <c r="L452" s="4">
        <v>0</v>
      </c>
      <c r="M452" s="4">
        <v>0</v>
      </c>
      <c r="N452" s="4">
        <v>40</v>
      </c>
      <c r="O452" s="4" t="s">
        <v>7</v>
      </c>
      <c r="P452" s="4" t="s">
        <v>8</v>
      </c>
      <c r="Q452" s="4" t="e">
        <f>IF(Tabela2[[#This Row],[sex]]="Female",Tabela2[[#This Row],[hours-per-week]],NA())</f>
        <v>#N/A</v>
      </c>
      <c r="R452" s="4">
        <f>IF(Tabela2[[#This Row],[sex]]="Male",Tabela2[[#This Row],[hours-per-week]],NA())</f>
        <v>40</v>
      </c>
    </row>
    <row r="453" spans="1:18">
      <c r="A453" s="3" t="s">
        <v>544</v>
      </c>
      <c r="B453" s="4">
        <v>21</v>
      </c>
      <c r="C453" s="4" t="s">
        <v>40</v>
      </c>
      <c r="D453" s="4">
        <v>103277</v>
      </c>
      <c r="E453" s="4" t="s">
        <v>17</v>
      </c>
      <c r="F453" s="4">
        <v>8</v>
      </c>
      <c r="G453" s="4" t="s">
        <v>29</v>
      </c>
      <c r="H453" s="4" t="s">
        <v>33</v>
      </c>
      <c r="I453" s="4" t="s">
        <v>31</v>
      </c>
      <c r="J453" s="4" t="s">
        <v>5</v>
      </c>
      <c r="K453" s="4" t="s">
        <v>6</v>
      </c>
      <c r="L453" s="4">
        <v>4508</v>
      </c>
      <c r="M453" s="4">
        <v>0</v>
      </c>
      <c r="N453" s="4">
        <v>30</v>
      </c>
      <c r="O453" s="4" t="s">
        <v>76</v>
      </c>
      <c r="P453" s="4" t="s">
        <v>8</v>
      </c>
      <c r="Q453" s="4">
        <f>IF(Tabela2[[#This Row],[sex]]="Female",Tabela2[[#This Row],[hours-per-week]],NA())</f>
        <v>30</v>
      </c>
      <c r="R453" s="4" t="e">
        <f>IF(Tabela2[[#This Row],[sex]]="Male",Tabela2[[#This Row],[hours-per-week]],NA())</f>
        <v>#N/A</v>
      </c>
    </row>
    <row r="454" spans="1:18">
      <c r="A454" s="3" t="s">
        <v>545</v>
      </c>
      <c r="B454" s="4">
        <v>76</v>
      </c>
      <c r="C454" s="4" t="s">
        <v>37</v>
      </c>
      <c r="D454" s="4">
        <v>42209</v>
      </c>
      <c r="E454" s="4" t="s">
        <v>64</v>
      </c>
      <c r="F454" s="4">
        <v>5</v>
      </c>
      <c r="G454" s="4" t="s">
        <v>47</v>
      </c>
      <c r="H454" s="4" t="s">
        <v>37</v>
      </c>
      <c r="I454" s="4" t="s">
        <v>11</v>
      </c>
      <c r="J454" s="4" t="s">
        <v>5</v>
      </c>
      <c r="K454" s="4" t="s">
        <v>18</v>
      </c>
      <c r="L454" s="4">
        <v>0</v>
      </c>
      <c r="M454" s="4">
        <v>0</v>
      </c>
      <c r="N454" s="4">
        <v>25</v>
      </c>
      <c r="O454" s="4" t="s">
        <v>7</v>
      </c>
      <c r="P454" s="4" t="s">
        <v>8</v>
      </c>
      <c r="Q454" s="4" t="e">
        <f>IF(Tabela2[[#This Row],[sex]]="Female",Tabela2[[#This Row],[hours-per-week]],NA())</f>
        <v>#N/A</v>
      </c>
      <c r="R454" s="4">
        <f>IF(Tabela2[[#This Row],[sex]]="Male",Tabela2[[#This Row],[hours-per-week]],NA())</f>
        <v>25</v>
      </c>
    </row>
    <row r="455" spans="1:18">
      <c r="A455" s="3" t="s">
        <v>546</v>
      </c>
      <c r="B455" s="4">
        <v>28</v>
      </c>
      <c r="C455" s="4" t="s">
        <v>0</v>
      </c>
      <c r="D455" s="4">
        <v>239130</v>
      </c>
      <c r="E455" s="4" t="s">
        <v>12</v>
      </c>
      <c r="F455" s="4">
        <v>10</v>
      </c>
      <c r="G455" s="4" t="s">
        <v>2</v>
      </c>
      <c r="H455" s="4" t="s">
        <v>46</v>
      </c>
      <c r="I455" s="4" t="s">
        <v>11</v>
      </c>
      <c r="J455" s="4" t="s">
        <v>5</v>
      </c>
      <c r="K455" s="4" t="s">
        <v>18</v>
      </c>
      <c r="L455" s="4">
        <v>0</v>
      </c>
      <c r="M455" s="4">
        <v>0</v>
      </c>
      <c r="N455" s="4">
        <v>50</v>
      </c>
      <c r="O455" s="4" t="s">
        <v>7</v>
      </c>
      <c r="P455" s="4" t="s">
        <v>8</v>
      </c>
      <c r="Q455" s="4" t="e">
        <f>IF(Tabela2[[#This Row],[sex]]="Female",Tabela2[[#This Row],[hours-per-week]],NA())</f>
        <v>#N/A</v>
      </c>
      <c r="R455" s="4">
        <f>IF(Tabela2[[#This Row],[sex]]="Male",Tabela2[[#This Row],[hours-per-week]],NA())</f>
        <v>50</v>
      </c>
    </row>
    <row r="456" spans="1:18">
      <c r="A456" s="3" t="s">
        <v>547</v>
      </c>
      <c r="B456" s="4">
        <v>47</v>
      </c>
      <c r="C456" s="4" t="s">
        <v>40</v>
      </c>
      <c r="D456" s="4">
        <v>122307</v>
      </c>
      <c r="E456" s="4" t="s">
        <v>26</v>
      </c>
      <c r="F456" s="4">
        <v>13</v>
      </c>
      <c r="G456" s="4" t="s">
        <v>29</v>
      </c>
      <c r="H456" s="4" t="s">
        <v>10</v>
      </c>
      <c r="I456" s="4" t="s">
        <v>32</v>
      </c>
      <c r="J456" s="4" t="s">
        <v>5</v>
      </c>
      <c r="K456" s="4" t="s">
        <v>18</v>
      </c>
      <c r="L456" s="4">
        <v>0</v>
      </c>
      <c r="M456" s="4">
        <v>1887</v>
      </c>
      <c r="N456" s="4">
        <v>40</v>
      </c>
      <c r="O456" s="4" t="s">
        <v>7</v>
      </c>
      <c r="P456" s="4" t="s">
        <v>19</v>
      </c>
      <c r="Q456" s="4" t="e">
        <f>IF(Tabela2[[#This Row],[sex]]="Female",Tabela2[[#This Row],[hours-per-week]],NA())</f>
        <v>#N/A</v>
      </c>
      <c r="R456" s="4">
        <f>IF(Tabela2[[#This Row],[sex]]="Male",Tabela2[[#This Row],[hours-per-week]],NA())</f>
        <v>40</v>
      </c>
    </row>
    <row r="457" spans="1:18">
      <c r="A457" s="3" t="s">
        <v>548</v>
      </c>
      <c r="B457" s="4">
        <v>58</v>
      </c>
      <c r="C457" s="4" t="s">
        <v>49</v>
      </c>
      <c r="D457" s="4">
        <v>174864</v>
      </c>
      <c r="E457" s="4" t="s">
        <v>28</v>
      </c>
      <c r="F457" s="4">
        <v>9</v>
      </c>
      <c r="G457" s="4" t="s">
        <v>29</v>
      </c>
      <c r="H457" s="4" t="s">
        <v>10</v>
      </c>
      <c r="I457" s="4" t="s">
        <v>32</v>
      </c>
      <c r="J457" s="4" t="s">
        <v>5</v>
      </c>
      <c r="K457" s="4" t="s">
        <v>18</v>
      </c>
      <c r="L457" s="4">
        <v>0</v>
      </c>
      <c r="M457" s="4">
        <v>0</v>
      </c>
      <c r="N457" s="4">
        <v>55</v>
      </c>
      <c r="O457" s="4" t="s">
        <v>7</v>
      </c>
      <c r="P457" s="4" t="s">
        <v>19</v>
      </c>
      <c r="Q457" s="4" t="e">
        <f>IF(Tabela2[[#This Row],[sex]]="Female",Tabela2[[#This Row],[hours-per-week]],NA())</f>
        <v>#N/A</v>
      </c>
      <c r="R457" s="4">
        <f>IF(Tabela2[[#This Row],[sex]]="Male",Tabela2[[#This Row],[hours-per-week]],NA())</f>
        <v>55</v>
      </c>
    </row>
    <row r="458" spans="1:18">
      <c r="A458" s="3" t="s">
        <v>549</v>
      </c>
      <c r="B458" s="4">
        <v>19</v>
      </c>
      <c r="C458" s="4" t="s">
        <v>37</v>
      </c>
      <c r="D458" s="4">
        <v>225775</v>
      </c>
      <c r="E458" s="4" t="s">
        <v>12</v>
      </c>
      <c r="F458" s="4">
        <v>10</v>
      </c>
      <c r="G458" s="4" t="s">
        <v>2</v>
      </c>
      <c r="H458" s="4" t="s">
        <v>37</v>
      </c>
      <c r="I458" s="4" t="s">
        <v>4</v>
      </c>
      <c r="J458" s="4" t="s">
        <v>5</v>
      </c>
      <c r="K458" s="4" t="s">
        <v>18</v>
      </c>
      <c r="L458" s="4">
        <v>0</v>
      </c>
      <c r="M458" s="4">
        <v>0</v>
      </c>
      <c r="N458" s="4">
        <v>40</v>
      </c>
      <c r="O458" s="4" t="s">
        <v>7</v>
      </c>
      <c r="P458" s="4" t="s">
        <v>8</v>
      </c>
      <c r="Q458" s="4" t="e">
        <f>IF(Tabela2[[#This Row],[sex]]="Female",Tabela2[[#This Row],[hours-per-week]],NA())</f>
        <v>#N/A</v>
      </c>
      <c r="R458" s="4">
        <f>IF(Tabela2[[#This Row],[sex]]="Male",Tabela2[[#This Row],[hours-per-week]],NA())</f>
        <v>40</v>
      </c>
    </row>
    <row r="459" spans="1:18">
      <c r="A459" s="3" t="s">
        <v>550</v>
      </c>
      <c r="B459" s="4">
        <v>42</v>
      </c>
      <c r="C459" s="4" t="s">
        <v>0</v>
      </c>
      <c r="D459" s="4">
        <v>165599</v>
      </c>
      <c r="E459" s="4" t="s">
        <v>28</v>
      </c>
      <c r="F459" s="4">
        <v>9</v>
      </c>
      <c r="G459" s="4" t="s">
        <v>29</v>
      </c>
      <c r="H459" s="4" t="s">
        <v>34</v>
      </c>
      <c r="I459" s="4" t="s">
        <v>32</v>
      </c>
      <c r="J459" s="4" t="s">
        <v>5</v>
      </c>
      <c r="K459" s="4" t="s">
        <v>18</v>
      </c>
      <c r="L459" s="4">
        <v>0</v>
      </c>
      <c r="M459" s="4">
        <v>0</v>
      </c>
      <c r="N459" s="4">
        <v>40</v>
      </c>
      <c r="O459" s="4" t="s">
        <v>7</v>
      </c>
      <c r="P459" s="4" t="s">
        <v>19</v>
      </c>
      <c r="Q459" s="4" t="e">
        <f>IF(Tabela2[[#This Row],[sex]]="Female",Tabela2[[#This Row],[hours-per-week]],NA())</f>
        <v>#N/A</v>
      </c>
      <c r="R459" s="4">
        <f>IF(Tabela2[[#This Row],[sex]]="Male",Tabela2[[#This Row],[hours-per-week]],NA())</f>
        <v>40</v>
      </c>
    </row>
    <row r="460" spans="1:18">
      <c r="A460" s="3" t="s">
        <v>551</v>
      </c>
      <c r="B460" s="4">
        <v>48</v>
      </c>
      <c r="C460" s="4" t="s">
        <v>0</v>
      </c>
      <c r="D460" s="4">
        <v>344415</v>
      </c>
      <c r="E460" s="4" t="s">
        <v>26</v>
      </c>
      <c r="F460" s="4">
        <v>13</v>
      </c>
      <c r="G460" s="4" t="s">
        <v>56</v>
      </c>
      <c r="H460" s="4" t="s">
        <v>27</v>
      </c>
      <c r="I460" s="4" t="s">
        <v>11</v>
      </c>
      <c r="J460" s="4" t="s">
        <v>5</v>
      </c>
      <c r="K460" s="4" t="s">
        <v>18</v>
      </c>
      <c r="L460" s="4">
        <v>0</v>
      </c>
      <c r="M460" s="4">
        <v>0</v>
      </c>
      <c r="N460" s="4">
        <v>37</v>
      </c>
      <c r="O460" s="4" t="s">
        <v>7</v>
      </c>
      <c r="P460" s="4" t="s">
        <v>19</v>
      </c>
      <c r="Q460" s="4" t="e">
        <f>IF(Tabela2[[#This Row],[sex]]="Female",Tabela2[[#This Row],[hours-per-week]],NA())</f>
        <v>#N/A</v>
      </c>
      <c r="R460" s="4">
        <f>IF(Tabela2[[#This Row],[sex]]="Male",Tabela2[[#This Row],[hours-per-week]],NA())</f>
        <v>37</v>
      </c>
    </row>
    <row r="461" spans="1:18">
      <c r="A461" s="3" t="s">
        <v>552</v>
      </c>
      <c r="B461" s="4">
        <v>33</v>
      </c>
      <c r="C461" s="4" t="s">
        <v>0</v>
      </c>
      <c r="D461" s="4">
        <v>100154</v>
      </c>
      <c r="E461" s="4" t="s">
        <v>43</v>
      </c>
      <c r="F461" s="4">
        <v>6</v>
      </c>
      <c r="G461" s="4" t="s">
        <v>21</v>
      </c>
      <c r="H461" s="4" t="s">
        <v>34</v>
      </c>
      <c r="I461" s="4" t="s">
        <v>11</v>
      </c>
      <c r="J461" s="4" t="s">
        <v>5</v>
      </c>
      <c r="K461" s="4" t="s">
        <v>18</v>
      </c>
      <c r="L461" s="4">
        <v>0</v>
      </c>
      <c r="M461" s="4">
        <v>0</v>
      </c>
      <c r="N461" s="4">
        <v>40</v>
      </c>
      <c r="O461" s="4" t="s">
        <v>7</v>
      </c>
      <c r="P461" s="4" t="s">
        <v>8</v>
      </c>
      <c r="Q461" s="4" t="e">
        <f>IF(Tabela2[[#This Row],[sex]]="Female",Tabela2[[#This Row],[hours-per-week]],NA())</f>
        <v>#N/A</v>
      </c>
      <c r="R461" s="4">
        <f>IF(Tabela2[[#This Row],[sex]]="Male",Tabela2[[#This Row],[hours-per-week]],NA())</f>
        <v>40</v>
      </c>
    </row>
    <row r="462" spans="1:18">
      <c r="A462" s="3" t="s">
        <v>553</v>
      </c>
      <c r="B462" s="4">
        <v>45</v>
      </c>
      <c r="C462" s="4" t="s">
        <v>0</v>
      </c>
      <c r="D462" s="4">
        <v>172960</v>
      </c>
      <c r="E462" s="4" t="s">
        <v>12</v>
      </c>
      <c r="F462" s="4">
        <v>10</v>
      </c>
      <c r="G462" s="4" t="s">
        <v>15</v>
      </c>
      <c r="H462" s="4" t="s">
        <v>55</v>
      </c>
      <c r="I462" s="4" t="s">
        <v>11</v>
      </c>
      <c r="J462" s="4" t="s">
        <v>5</v>
      </c>
      <c r="K462" s="4" t="s">
        <v>18</v>
      </c>
      <c r="L462" s="4">
        <v>0</v>
      </c>
      <c r="M462" s="4">
        <v>0</v>
      </c>
      <c r="N462" s="4">
        <v>70</v>
      </c>
      <c r="O462" s="4" t="s">
        <v>7</v>
      </c>
      <c r="P462" s="4" t="s">
        <v>8</v>
      </c>
      <c r="Q462" s="4" t="e">
        <f>IF(Tabela2[[#This Row],[sex]]="Female",Tabela2[[#This Row],[hours-per-week]],NA())</f>
        <v>#N/A</v>
      </c>
      <c r="R462" s="4">
        <f>IF(Tabela2[[#This Row],[sex]]="Male",Tabela2[[#This Row],[hours-per-week]],NA())</f>
        <v>70</v>
      </c>
    </row>
    <row r="463" spans="1:18">
      <c r="A463" s="3" t="s">
        <v>554</v>
      </c>
      <c r="B463" s="4">
        <v>46</v>
      </c>
      <c r="C463" s="4" t="s">
        <v>0</v>
      </c>
      <c r="D463" s="4">
        <v>167915</v>
      </c>
      <c r="E463" s="4" t="s">
        <v>28</v>
      </c>
      <c r="F463" s="4">
        <v>9</v>
      </c>
      <c r="G463" s="4" t="s">
        <v>29</v>
      </c>
      <c r="H463" s="4" t="s">
        <v>16</v>
      </c>
      <c r="I463" s="4" t="s">
        <v>32</v>
      </c>
      <c r="J463" s="4" t="s">
        <v>5</v>
      </c>
      <c r="K463" s="4" t="s">
        <v>18</v>
      </c>
      <c r="L463" s="4">
        <v>0</v>
      </c>
      <c r="M463" s="4">
        <v>0</v>
      </c>
      <c r="N463" s="4">
        <v>40</v>
      </c>
      <c r="O463" s="4" t="s">
        <v>7</v>
      </c>
      <c r="P463" s="4" t="s">
        <v>8</v>
      </c>
      <c r="Q463" s="4" t="e">
        <f>IF(Tabela2[[#This Row],[sex]]="Female",Tabela2[[#This Row],[hours-per-week]],NA())</f>
        <v>#N/A</v>
      </c>
      <c r="R463" s="4">
        <f>IF(Tabela2[[#This Row],[sex]]="Male",Tabela2[[#This Row],[hours-per-week]],NA())</f>
        <v>40</v>
      </c>
    </row>
    <row r="464" spans="1:18">
      <c r="A464" s="3" t="s">
        <v>555</v>
      </c>
      <c r="B464" s="4">
        <v>23</v>
      </c>
      <c r="C464" s="4" t="s">
        <v>0</v>
      </c>
      <c r="D464" s="4">
        <v>64520</v>
      </c>
      <c r="E464" s="4" t="s">
        <v>28</v>
      </c>
      <c r="F464" s="4">
        <v>9</v>
      </c>
      <c r="G464" s="4" t="s">
        <v>2</v>
      </c>
      <c r="H464" s="4" t="s">
        <v>33</v>
      </c>
      <c r="I464" s="4" t="s">
        <v>4</v>
      </c>
      <c r="J464" s="4" t="s">
        <v>5</v>
      </c>
      <c r="K464" s="4" t="s">
        <v>18</v>
      </c>
      <c r="L464" s="4">
        <v>0</v>
      </c>
      <c r="M464" s="4">
        <v>0</v>
      </c>
      <c r="N464" s="4">
        <v>30</v>
      </c>
      <c r="O464" s="4" t="s">
        <v>7</v>
      </c>
      <c r="P464" s="4" t="s">
        <v>8</v>
      </c>
      <c r="Q464" s="4" t="e">
        <f>IF(Tabela2[[#This Row],[sex]]="Female",Tabela2[[#This Row],[hours-per-week]],NA())</f>
        <v>#N/A</v>
      </c>
      <c r="R464" s="4">
        <f>IF(Tabela2[[#This Row],[sex]]="Male",Tabela2[[#This Row],[hours-per-week]],NA())</f>
        <v>30</v>
      </c>
    </row>
    <row r="465" spans="1:18">
      <c r="A465" s="3" t="s">
        <v>556</v>
      </c>
      <c r="B465" s="4">
        <v>59</v>
      </c>
      <c r="C465" s="4" t="s">
        <v>37</v>
      </c>
      <c r="D465" s="4">
        <v>182836</v>
      </c>
      <c r="E465" s="4" t="s">
        <v>28</v>
      </c>
      <c r="F465" s="4">
        <v>9</v>
      </c>
      <c r="G465" s="4" t="s">
        <v>29</v>
      </c>
      <c r="H465" s="4" t="s">
        <v>37</v>
      </c>
      <c r="I465" s="4" t="s">
        <v>31</v>
      </c>
      <c r="J465" s="4" t="s">
        <v>5</v>
      </c>
      <c r="K465" s="4" t="s">
        <v>6</v>
      </c>
      <c r="L465" s="4">
        <v>0</v>
      </c>
      <c r="M465" s="4">
        <v>0</v>
      </c>
      <c r="N465" s="4">
        <v>40</v>
      </c>
      <c r="O465" s="4" t="s">
        <v>7</v>
      </c>
      <c r="P465" s="4" t="s">
        <v>19</v>
      </c>
      <c r="Q465" s="4">
        <f>IF(Tabela2[[#This Row],[sex]]="Female",Tabela2[[#This Row],[hours-per-week]],NA())</f>
        <v>40</v>
      </c>
      <c r="R465" s="4" t="e">
        <f>IF(Tabela2[[#This Row],[sex]]="Male",Tabela2[[#This Row],[hours-per-week]],NA())</f>
        <v>#N/A</v>
      </c>
    </row>
    <row r="466" spans="1:18">
      <c r="A466" s="3" t="s">
        <v>557</v>
      </c>
      <c r="B466" s="4">
        <v>56</v>
      </c>
      <c r="C466" s="4" t="s">
        <v>40</v>
      </c>
      <c r="D466" s="4">
        <v>66356</v>
      </c>
      <c r="E466" s="4" t="s">
        <v>12</v>
      </c>
      <c r="F466" s="4">
        <v>10</v>
      </c>
      <c r="G466" s="4" t="s">
        <v>29</v>
      </c>
      <c r="H466" s="4" t="s">
        <v>24</v>
      </c>
      <c r="I466" s="4" t="s">
        <v>32</v>
      </c>
      <c r="J466" s="4" t="s">
        <v>5</v>
      </c>
      <c r="K466" s="4" t="s">
        <v>18</v>
      </c>
      <c r="L466" s="4">
        <v>0</v>
      </c>
      <c r="M466" s="4">
        <v>0</v>
      </c>
      <c r="N466" s="4">
        <v>50</v>
      </c>
      <c r="O466" s="4" t="s">
        <v>7</v>
      </c>
      <c r="P466" s="4" t="s">
        <v>8</v>
      </c>
      <c r="Q466" s="4" t="e">
        <f>IF(Tabela2[[#This Row],[sex]]="Female",Tabela2[[#This Row],[hours-per-week]],NA())</f>
        <v>#N/A</v>
      </c>
      <c r="R466" s="4">
        <f>IF(Tabela2[[#This Row],[sex]]="Male",Tabela2[[#This Row],[hours-per-week]],NA())</f>
        <v>50</v>
      </c>
    </row>
    <row r="467" spans="1:18">
      <c r="A467" s="3" t="s">
        <v>558</v>
      </c>
      <c r="B467" s="4">
        <v>44</v>
      </c>
      <c r="C467" s="4" t="s">
        <v>0</v>
      </c>
      <c r="D467" s="4">
        <v>30126</v>
      </c>
      <c r="E467" s="4" t="s">
        <v>12</v>
      </c>
      <c r="F467" s="4">
        <v>10</v>
      </c>
      <c r="G467" s="4" t="s">
        <v>15</v>
      </c>
      <c r="H467" s="4" t="s">
        <v>33</v>
      </c>
      <c r="I467" s="4" t="s">
        <v>35</v>
      </c>
      <c r="J467" s="4" t="s">
        <v>5</v>
      </c>
      <c r="K467" s="4" t="s">
        <v>6</v>
      </c>
      <c r="L467" s="4">
        <v>0</v>
      </c>
      <c r="M467" s="4">
        <v>0</v>
      </c>
      <c r="N467" s="4">
        <v>40</v>
      </c>
      <c r="O467" s="4" t="s">
        <v>7</v>
      </c>
      <c r="P467" s="4" t="s">
        <v>8</v>
      </c>
      <c r="Q467" s="4">
        <f>IF(Tabela2[[#This Row],[sex]]="Female",Tabela2[[#This Row],[hours-per-week]],NA())</f>
        <v>40</v>
      </c>
      <c r="R467" s="4" t="e">
        <f>IF(Tabela2[[#This Row],[sex]]="Male",Tabela2[[#This Row],[hours-per-week]],NA())</f>
        <v>#N/A</v>
      </c>
    </row>
    <row r="468" spans="1:18">
      <c r="A468" s="3" t="s">
        <v>559</v>
      </c>
      <c r="B468" s="4">
        <v>47</v>
      </c>
      <c r="C468" s="4" t="s">
        <v>0</v>
      </c>
      <c r="D468" s="4">
        <v>23545</v>
      </c>
      <c r="E468" s="4" t="s">
        <v>12</v>
      </c>
      <c r="F468" s="4">
        <v>10</v>
      </c>
      <c r="G468" s="4" t="s">
        <v>29</v>
      </c>
      <c r="H468" s="4" t="s">
        <v>34</v>
      </c>
      <c r="I468" s="4" t="s">
        <v>32</v>
      </c>
      <c r="J468" s="4" t="s">
        <v>5</v>
      </c>
      <c r="K468" s="4" t="s">
        <v>18</v>
      </c>
      <c r="L468" s="4">
        <v>0</v>
      </c>
      <c r="M468" s="4">
        <v>0</v>
      </c>
      <c r="N468" s="4">
        <v>40</v>
      </c>
      <c r="O468" s="4" t="s">
        <v>7</v>
      </c>
      <c r="P468" s="4" t="s">
        <v>8</v>
      </c>
      <c r="Q468" s="4" t="e">
        <f>IF(Tabela2[[#This Row],[sex]]="Female",Tabela2[[#This Row],[hours-per-week]],NA())</f>
        <v>#N/A</v>
      </c>
      <c r="R468" s="4">
        <f>IF(Tabela2[[#This Row],[sex]]="Male",Tabela2[[#This Row],[hours-per-week]],NA())</f>
        <v>40</v>
      </c>
    </row>
    <row r="469" spans="1:18">
      <c r="A469" s="3" t="s">
        <v>560</v>
      </c>
      <c r="B469" s="4">
        <v>55</v>
      </c>
      <c r="C469" s="4" t="s">
        <v>0</v>
      </c>
      <c r="D469" s="4">
        <v>86505</v>
      </c>
      <c r="E469" s="4" t="s">
        <v>28</v>
      </c>
      <c r="F469" s="4">
        <v>9</v>
      </c>
      <c r="G469" s="4" t="s">
        <v>29</v>
      </c>
      <c r="H469" s="4" t="s">
        <v>30</v>
      </c>
      <c r="I469" s="4" t="s">
        <v>32</v>
      </c>
      <c r="J469" s="4" t="s">
        <v>5</v>
      </c>
      <c r="K469" s="4" t="s">
        <v>18</v>
      </c>
      <c r="L469" s="4">
        <v>0</v>
      </c>
      <c r="M469" s="4">
        <v>0</v>
      </c>
      <c r="N469" s="4">
        <v>20</v>
      </c>
      <c r="O469" s="4" t="s">
        <v>7</v>
      </c>
      <c r="P469" s="4" t="s">
        <v>8</v>
      </c>
      <c r="Q469" s="4" t="e">
        <f>IF(Tabela2[[#This Row],[sex]]="Female",Tabela2[[#This Row],[hours-per-week]],NA())</f>
        <v>#N/A</v>
      </c>
      <c r="R469" s="4">
        <f>IF(Tabela2[[#This Row],[sex]]="Male",Tabela2[[#This Row],[hours-per-week]],NA())</f>
        <v>20</v>
      </c>
    </row>
    <row r="470" spans="1:18">
      <c r="A470" s="3" t="s">
        <v>561</v>
      </c>
      <c r="B470" s="4">
        <v>32</v>
      </c>
      <c r="C470" s="4" t="s">
        <v>0</v>
      </c>
      <c r="D470" s="4">
        <v>111836</v>
      </c>
      <c r="E470" s="4" t="s">
        <v>12</v>
      </c>
      <c r="F470" s="4">
        <v>10</v>
      </c>
      <c r="G470" s="4" t="s">
        <v>29</v>
      </c>
      <c r="H470" s="4" t="s">
        <v>3</v>
      </c>
      <c r="I470" s="4" t="s">
        <v>32</v>
      </c>
      <c r="J470" s="4" t="s">
        <v>23</v>
      </c>
      <c r="K470" s="4" t="s">
        <v>18</v>
      </c>
      <c r="L470" s="4">
        <v>0</v>
      </c>
      <c r="M470" s="4">
        <v>0</v>
      </c>
      <c r="N470" s="4">
        <v>50</v>
      </c>
      <c r="O470" s="4" t="s">
        <v>7</v>
      </c>
      <c r="P470" s="4" t="s">
        <v>8</v>
      </c>
      <c r="Q470" s="4" t="e">
        <f>IF(Tabela2[[#This Row],[sex]]="Female",Tabela2[[#This Row],[hours-per-week]],NA())</f>
        <v>#N/A</v>
      </c>
      <c r="R470" s="4">
        <f>IF(Tabela2[[#This Row],[sex]]="Male",Tabela2[[#This Row],[hours-per-week]],NA())</f>
        <v>50</v>
      </c>
    </row>
    <row r="471" spans="1:18">
      <c r="A471" s="3" t="s">
        <v>562</v>
      </c>
      <c r="B471" s="4">
        <v>26</v>
      </c>
      <c r="C471" s="4" t="s">
        <v>0</v>
      </c>
      <c r="D471" s="4">
        <v>388812</v>
      </c>
      <c r="E471" s="4" t="s">
        <v>12</v>
      </c>
      <c r="F471" s="4">
        <v>10</v>
      </c>
      <c r="G471" s="4" t="s">
        <v>2</v>
      </c>
      <c r="H471" s="4" t="s">
        <v>10</v>
      </c>
      <c r="I471" s="4" t="s">
        <v>11</v>
      </c>
      <c r="J471" s="4" t="s">
        <v>23</v>
      </c>
      <c r="K471" s="4" t="s">
        <v>18</v>
      </c>
      <c r="L471" s="4">
        <v>0</v>
      </c>
      <c r="M471" s="4">
        <v>0</v>
      </c>
      <c r="N471" s="4">
        <v>35</v>
      </c>
      <c r="O471" s="4" t="s">
        <v>7</v>
      </c>
      <c r="P471" s="4" t="s">
        <v>8</v>
      </c>
      <c r="Q471" s="4" t="e">
        <f>IF(Tabela2[[#This Row],[sex]]="Female",Tabela2[[#This Row],[hours-per-week]],NA())</f>
        <v>#N/A</v>
      </c>
      <c r="R471" s="4">
        <f>IF(Tabela2[[#This Row],[sex]]="Male",Tabela2[[#This Row],[hours-per-week]],NA())</f>
        <v>35</v>
      </c>
    </row>
    <row r="472" spans="1:18">
      <c r="A472" s="3" t="s">
        <v>563</v>
      </c>
      <c r="B472" s="4">
        <v>25</v>
      </c>
      <c r="C472" s="4" t="s">
        <v>0</v>
      </c>
      <c r="D472" s="4">
        <v>404951</v>
      </c>
      <c r="E472" s="4" t="s">
        <v>26</v>
      </c>
      <c r="F472" s="4">
        <v>13</v>
      </c>
      <c r="G472" s="4" t="s">
        <v>2</v>
      </c>
      <c r="H472" s="4" t="s">
        <v>46</v>
      </c>
      <c r="I472" s="4" t="s">
        <v>11</v>
      </c>
      <c r="J472" s="4" t="s">
        <v>23</v>
      </c>
      <c r="K472" s="4" t="s">
        <v>6</v>
      </c>
      <c r="L472" s="4">
        <v>0</v>
      </c>
      <c r="M472" s="4">
        <v>0</v>
      </c>
      <c r="N472" s="4">
        <v>38</v>
      </c>
      <c r="O472" s="4" t="s">
        <v>7</v>
      </c>
      <c r="P472" s="4" t="s">
        <v>8</v>
      </c>
      <c r="Q472" s="4">
        <f>IF(Tabela2[[#This Row],[sex]]="Female",Tabela2[[#This Row],[hours-per-week]],NA())</f>
        <v>38</v>
      </c>
      <c r="R472" s="4" t="e">
        <f>IF(Tabela2[[#This Row],[sex]]="Male",Tabela2[[#This Row],[hours-per-week]],NA())</f>
        <v>#N/A</v>
      </c>
    </row>
    <row r="473" spans="1:18">
      <c r="A473" s="3" t="s">
        <v>564</v>
      </c>
      <c r="B473" s="4">
        <v>18</v>
      </c>
      <c r="C473" s="4" t="s">
        <v>0</v>
      </c>
      <c r="D473" s="4">
        <v>167979</v>
      </c>
      <c r="E473" s="4" t="s">
        <v>1</v>
      </c>
      <c r="F473" s="4">
        <v>7</v>
      </c>
      <c r="G473" s="4" t="s">
        <v>2</v>
      </c>
      <c r="H473" s="4" t="s">
        <v>10</v>
      </c>
      <c r="I473" s="4" t="s">
        <v>4</v>
      </c>
      <c r="J473" s="4" t="s">
        <v>5</v>
      </c>
      <c r="K473" s="4" t="s">
        <v>18</v>
      </c>
      <c r="L473" s="4">
        <v>0</v>
      </c>
      <c r="M473" s="4">
        <v>0</v>
      </c>
      <c r="N473" s="4">
        <v>15</v>
      </c>
      <c r="O473" s="4" t="s">
        <v>7</v>
      </c>
      <c r="P473" s="4" t="s">
        <v>8</v>
      </c>
      <c r="Q473" s="4" t="e">
        <f>IF(Tabela2[[#This Row],[sex]]="Female",Tabela2[[#This Row],[hours-per-week]],NA())</f>
        <v>#N/A</v>
      </c>
      <c r="R473" s="4">
        <f>IF(Tabela2[[#This Row],[sex]]="Male",Tabela2[[#This Row],[hours-per-week]],NA())</f>
        <v>15</v>
      </c>
    </row>
    <row r="474" spans="1:18">
      <c r="A474" s="3" t="s">
        <v>565</v>
      </c>
      <c r="B474" s="4">
        <v>60</v>
      </c>
      <c r="C474" s="4" t="s">
        <v>40</v>
      </c>
      <c r="D474" s="4">
        <v>95490</v>
      </c>
      <c r="E474" s="4" t="s">
        <v>28</v>
      </c>
      <c r="F474" s="4">
        <v>9</v>
      </c>
      <c r="G474" s="4" t="s">
        <v>29</v>
      </c>
      <c r="H474" s="4" t="s">
        <v>10</v>
      </c>
      <c r="I474" s="4" t="s">
        <v>32</v>
      </c>
      <c r="J474" s="4" t="s">
        <v>5</v>
      </c>
      <c r="K474" s="4" t="s">
        <v>18</v>
      </c>
      <c r="L474" s="4">
        <v>0</v>
      </c>
      <c r="M474" s="4">
        <v>0</v>
      </c>
      <c r="N474" s="4">
        <v>45</v>
      </c>
      <c r="O474" s="4" t="s">
        <v>7</v>
      </c>
      <c r="P474" s="4" t="s">
        <v>8</v>
      </c>
      <c r="Q474" s="4" t="e">
        <f>IF(Tabela2[[#This Row],[sex]]="Female",Tabela2[[#This Row],[hours-per-week]],NA())</f>
        <v>#N/A</v>
      </c>
      <c r="R474" s="4">
        <f>IF(Tabela2[[#This Row],[sex]]="Male",Tabela2[[#This Row],[hours-per-week]],NA())</f>
        <v>45</v>
      </c>
    </row>
    <row r="475" spans="1:18">
      <c r="A475" s="3" t="s">
        <v>566</v>
      </c>
      <c r="B475" s="4">
        <v>25</v>
      </c>
      <c r="C475" s="4" t="s">
        <v>0</v>
      </c>
      <c r="D475" s="4">
        <v>268222</v>
      </c>
      <c r="E475" s="4" t="s">
        <v>28</v>
      </c>
      <c r="F475" s="4">
        <v>9</v>
      </c>
      <c r="G475" s="4" t="s">
        <v>21</v>
      </c>
      <c r="H475" s="4" t="s">
        <v>34</v>
      </c>
      <c r="I475" s="4" t="s">
        <v>35</v>
      </c>
      <c r="J475" s="4" t="s">
        <v>23</v>
      </c>
      <c r="K475" s="4" t="s">
        <v>6</v>
      </c>
      <c r="L475" s="4">
        <v>0</v>
      </c>
      <c r="M475" s="4">
        <v>0</v>
      </c>
      <c r="N475" s="4">
        <v>40</v>
      </c>
      <c r="O475" s="4" t="s">
        <v>7</v>
      </c>
      <c r="P475" s="4" t="s">
        <v>8</v>
      </c>
      <c r="Q475" s="4">
        <f>IF(Tabela2[[#This Row],[sex]]="Female",Tabela2[[#This Row],[hours-per-week]],NA())</f>
        <v>40</v>
      </c>
      <c r="R475" s="4" t="e">
        <f>IF(Tabela2[[#This Row],[sex]]="Male",Tabela2[[#This Row],[hours-per-week]],NA())</f>
        <v>#N/A</v>
      </c>
    </row>
    <row r="476" spans="1:18">
      <c r="A476" s="3" t="s">
        <v>567</v>
      </c>
      <c r="B476" s="4">
        <v>54</v>
      </c>
      <c r="C476" s="4" t="s">
        <v>0</v>
      </c>
      <c r="D476" s="4">
        <v>202415</v>
      </c>
      <c r="E476" s="4" t="s">
        <v>28</v>
      </c>
      <c r="F476" s="4">
        <v>9</v>
      </c>
      <c r="G476" s="4" t="s">
        <v>29</v>
      </c>
      <c r="H476" s="4" t="s">
        <v>16</v>
      </c>
      <c r="I476" s="4" t="s">
        <v>32</v>
      </c>
      <c r="J476" s="4" t="s">
        <v>5</v>
      </c>
      <c r="K476" s="4" t="s">
        <v>18</v>
      </c>
      <c r="L476" s="4">
        <v>0</v>
      </c>
      <c r="M476" s="4">
        <v>0</v>
      </c>
      <c r="N476" s="4">
        <v>40</v>
      </c>
      <c r="O476" s="4" t="s">
        <v>7</v>
      </c>
      <c r="P476" s="4" t="s">
        <v>19</v>
      </c>
      <c r="Q476" s="4" t="e">
        <f>IF(Tabela2[[#This Row],[sex]]="Female",Tabela2[[#This Row],[hours-per-week]],NA())</f>
        <v>#N/A</v>
      </c>
      <c r="R476" s="4">
        <f>IF(Tabela2[[#This Row],[sex]]="Male",Tabela2[[#This Row],[hours-per-week]],NA())</f>
        <v>40</v>
      </c>
    </row>
    <row r="477" spans="1:18">
      <c r="A477" s="3" t="s">
        <v>568</v>
      </c>
      <c r="B477" s="4">
        <v>17</v>
      </c>
      <c r="C477" s="4" t="s">
        <v>37</v>
      </c>
      <c r="D477" s="4">
        <v>332666</v>
      </c>
      <c r="E477" s="4" t="s">
        <v>43</v>
      </c>
      <c r="F477" s="4">
        <v>6</v>
      </c>
      <c r="G477" s="4" t="s">
        <v>2</v>
      </c>
      <c r="H477" s="4" t="s">
        <v>37</v>
      </c>
      <c r="I477" s="4" t="s">
        <v>4</v>
      </c>
      <c r="J477" s="4" t="s">
        <v>5</v>
      </c>
      <c r="K477" s="4" t="s">
        <v>6</v>
      </c>
      <c r="L477" s="4">
        <v>0</v>
      </c>
      <c r="M477" s="4">
        <v>0</v>
      </c>
      <c r="N477" s="4">
        <v>4</v>
      </c>
      <c r="O477" s="4" t="s">
        <v>7</v>
      </c>
      <c r="P477" s="4" t="s">
        <v>8</v>
      </c>
      <c r="Q477" s="4">
        <f>IF(Tabela2[[#This Row],[sex]]="Female",Tabela2[[#This Row],[hours-per-week]],NA())</f>
        <v>4</v>
      </c>
      <c r="R477" s="4" t="e">
        <f>IF(Tabela2[[#This Row],[sex]]="Male",Tabela2[[#This Row],[hours-per-week]],NA())</f>
        <v>#N/A</v>
      </c>
    </row>
    <row r="478" spans="1:18">
      <c r="A478" s="3" t="s">
        <v>569</v>
      </c>
      <c r="B478" s="4">
        <v>40</v>
      </c>
      <c r="C478" s="4" t="s">
        <v>0</v>
      </c>
      <c r="D478" s="4">
        <v>83859</v>
      </c>
      <c r="E478" s="4" t="s">
        <v>28</v>
      </c>
      <c r="F478" s="4">
        <v>9</v>
      </c>
      <c r="G478" s="4" t="s">
        <v>47</v>
      </c>
      <c r="H478" s="4" t="s">
        <v>22</v>
      </c>
      <c r="I478" s="4" t="s">
        <v>4</v>
      </c>
      <c r="J478" s="4" t="s">
        <v>5</v>
      </c>
      <c r="K478" s="4" t="s">
        <v>6</v>
      </c>
      <c r="L478" s="4">
        <v>0</v>
      </c>
      <c r="M478" s="4">
        <v>0</v>
      </c>
      <c r="N478" s="4">
        <v>30</v>
      </c>
      <c r="O478" s="4" t="s">
        <v>7</v>
      </c>
      <c r="P478" s="4" t="s">
        <v>8</v>
      </c>
      <c r="Q478" s="4">
        <f>IF(Tabela2[[#This Row],[sex]]="Female",Tabela2[[#This Row],[hours-per-week]],NA())</f>
        <v>30</v>
      </c>
      <c r="R478" s="4" t="e">
        <f>IF(Tabela2[[#This Row],[sex]]="Male",Tabela2[[#This Row],[hours-per-week]],NA())</f>
        <v>#N/A</v>
      </c>
    </row>
    <row r="479" spans="1:18">
      <c r="A479" s="3" t="s">
        <v>570</v>
      </c>
      <c r="B479" s="4">
        <v>62</v>
      </c>
      <c r="C479" s="4" t="s">
        <v>0</v>
      </c>
      <c r="D479" s="4">
        <v>98076</v>
      </c>
      <c r="E479" s="4" t="s">
        <v>26</v>
      </c>
      <c r="F479" s="4">
        <v>13</v>
      </c>
      <c r="G479" s="4" t="s">
        <v>29</v>
      </c>
      <c r="H479" s="4" t="s">
        <v>46</v>
      </c>
      <c r="I479" s="4" t="s">
        <v>32</v>
      </c>
      <c r="J479" s="4" t="s">
        <v>5</v>
      </c>
      <c r="K479" s="4" t="s">
        <v>18</v>
      </c>
      <c r="L479" s="4">
        <v>0</v>
      </c>
      <c r="M479" s="4">
        <v>0</v>
      </c>
      <c r="N479" s="4">
        <v>40</v>
      </c>
      <c r="O479" s="4" t="s">
        <v>7</v>
      </c>
      <c r="P479" s="4" t="s">
        <v>19</v>
      </c>
      <c r="Q479" s="4" t="e">
        <f>IF(Tabela2[[#This Row],[sex]]="Female",Tabela2[[#This Row],[hours-per-week]],NA())</f>
        <v>#N/A</v>
      </c>
      <c r="R479" s="4">
        <f>IF(Tabela2[[#This Row],[sex]]="Male",Tabela2[[#This Row],[hours-per-week]],NA())</f>
        <v>40</v>
      </c>
    </row>
    <row r="480" spans="1:18">
      <c r="A480" s="3" t="s">
        <v>571</v>
      </c>
      <c r="B480" s="4">
        <v>56</v>
      </c>
      <c r="C480" s="4" t="s">
        <v>0</v>
      </c>
      <c r="D480" s="4">
        <v>193453</v>
      </c>
      <c r="E480" s="4" t="s">
        <v>26</v>
      </c>
      <c r="F480" s="4">
        <v>13</v>
      </c>
      <c r="G480" s="4" t="s">
        <v>29</v>
      </c>
      <c r="H480" s="4" t="s">
        <v>27</v>
      </c>
      <c r="I480" s="4" t="s">
        <v>32</v>
      </c>
      <c r="J480" s="4" t="s">
        <v>5</v>
      </c>
      <c r="K480" s="4" t="s">
        <v>18</v>
      </c>
      <c r="L480" s="4">
        <v>0</v>
      </c>
      <c r="M480" s="4">
        <v>1902</v>
      </c>
      <c r="N480" s="4">
        <v>65</v>
      </c>
      <c r="O480" s="4" t="s">
        <v>7</v>
      </c>
      <c r="P480" s="4" t="s">
        <v>19</v>
      </c>
      <c r="Q480" s="4" t="e">
        <f>IF(Tabela2[[#This Row],[sex]]="Female",Tabela2[[#This Row],[hours-per-week]],NA())</f>
        <v>#N/A</v>
      </c>
      <c r="R480" s="4">
        <f>IF(Tabela2[[#This Row],[sex]]="Male",Tabela2[[#This Row],[hours-per-week]],NA())</f>
        <v>65</v>
      </c>
    </row>
    <row r="481" spans="1:18">
      <c r="A481" s="3" t="s">
        <v>572</v>
      </c>
      <c r="B481" s="4">
        <v>23</v>
      </c>
      <c r="C481" s="4" t="s">
        <v>0</v>
      </c>
      <c r="D481" s="4">
        <v>293565</v>
      </c>
      <c r="E481" s="4" t="s">
        <v>43</v>
      </c>
      <c r="F481" s="4">
        <v>6</v>
      </c>
      <c r="G481" s="4" t="s">
        <v>2</v>
      </c>
      <c r="H481" s="4" t="s">
        <v>34</v>
      </c>
      <c r="I481" s="4" t="s">
        <v>11</v>
      </c>
      <c r="J481" s="4" t="s">
        <v>5</v>
      </c>
      <c r="K481" s="4" t="s">
        <v>18</v>
      </c>
      <c r="L481" s="4">
        <v>0</v>
      </c>
      <c r="M481" s="4">
        <v>0</v>
      </c>
      <c r="N481" s="4">
        <v>40</v>
      </c>
      <c r="O481" s="4" t="s">
        <v>7</v>
      </c>
      <c r="P481" s="4" t="s">
        <v>8</v>
      </c>
      <c r="Q481" s="4" t="e">
        <f>IF(Tabela2[[#This Row],[sex]]="Female",Tabela2[[#This Row],[hours-per-week]],NA())</f>
        <v>#N/A</v>
      </c>
      <c r="R481" s="4">
        <f>IF(Tabela2[[#This Row],[sex]]="Male",Tabela2[[#This Row],[hours-per-week]],NA())</f>
        <v>40</v>
      </c>
    </row>
    <row r="482" spans="1:18">
      <c r="A482" s="3" t="s">
        <v>573</v>
      </c>
      <c r="B482" s="4">
        <v>48</v>
      </c>
      <c r="C482" s="4" t="s">
        <v>0</v>
      </c>
      <c r="D482" s="4">
        <v>101684</v>
      </c>
      <c r="E482" s="4" t="s">
        <v>28</v>
      </c>
      <c r="F482" s="4">
        <v>9</v>
      </c>
      <c r="G482" s="4" t="s">
        <v>29</v>
      </c>
      <c r="H482" s="4" t="s">
        <v>10</v>
      </c>
      <c r="I482" s="4" t="s">
        <v>32</v>
      </c>
      <c r="J482" s="4" t="s">
        <v>5</v>
      </c>
      <c r="K482" s="4" t="s">
        <v>18</v>
      </c>
      <c r="L482" s="4">
        <v>0</v>
      </c>
      <c r="M482" s="4">
        <v>0</v>
      </c>
      <c r="N482" s="4">
        <v>40</v>
      </c>
      <c r="O482" s="4" t="s">
        <v>7</v>
      </c>
      <c r="P482" s="4" t="s">
        <v>8</v>
      </c>
      <c r="Q482" s="4" t="e">
        <f>IF(Tabela2[[#This Row],[sex]]="Female",Tabela2[[#This Row],[hours-per-week]],NA())</f>
        <v>#N/A</v>
      </c>
      <c r="R482" s="4">
        <f>IF(Tabela2[[#This Row],[sex]]="Male",Tabela2[[#This Row],[hours-per-week]],NA())</f>
        <v>40</v>
      </c>
    </row>
    <row r="483" spans="1:18">
      <c r="A483" s="3" t="s">
        <v>574</v>
      </c>
      <c r="B483" s="4">
        <v>50</v>
      </c>
      <c r="C483" s="4" t="s">
        <v>0</v>
      </c>
      <c r="D483" s="4">
        <v>195784</v>
      </c>
      <c r="E483" s="4" t="s">
        <v>17</v>
      </c>
      <c r="F483" s="4">
        <v>8</v>
      </c>
      <c r="G483" s="4" t="s">
        <v>15</v>
      </c>
      <c r="H483" s="4" t="s">
        <v>34</v>
      </c>
      <c r="I483" s="4" t="s">
        <v>35</v>
      </c>
      <c r="J483" s="4" t="s">
        <v>5</v>
      </c>
      <c r="K483" s="4" t="s">
        <v>18</v>
      </c>
      <c r="L483" s="4">
        <v>0</v>
      </c>
      <c r="M483" s="4">
        <v>0</v>
      </c>
      <c r="N483" s="4">
        <v>40</v>
      </c>
      <c r="O483" s="4" t="s">
        <v>7</v>
      </c>
      <c r="P483" s="4" t="s">
        <v>8</v>
      </c>
      <c r="Q483" s="4" t="e">
        <f>IF(Tabela2[[#This Row],[sex]]="Female",Tabela2[[#This Row],[hours-per-week]],NA())</f>
        <v>#N/A</v>
      </c>
      <c r="R483" s="4">
        <f>IF(Tabela2[[#This Row],[sex]]="Male",Tabela2[[#This Row],[hours-per-week]],NA())</f>
        <v>40</v>
      </c>
    </row>
    <row r="484" spans="1:18">
      <c r="A484" s="3" t="s">
        <v>575</v>
      </c>
      <c r="B484" s="4">
        <v>18</v>
      </c>
      <c r="C484" s="4" t="s">
        <v>37</v>
      </c>
      <c r="D484" s="4">
        <v>78181</v>
      </c>
      <c r="E484" s="4" t="s">
        <v>28</v>
      </c>
      <c r="F484" s="4">
        <v>9</v>
      </c>
      <c r="G484" s="4" t="s">
        <v>2</v>
      </c>
      <c r="H484" s="4" t="s">
        <v>37</v>
      </c>
      <c r="I484" s="4" t="s">
        <v>4</v>
      </c>
      <c r="J484" s="4" t="s">
        <v>5</v>
      </c>
      <c r="K484" s="4" t="s">
        <v>6</v>
      </c>
      <c r="L484" s="4">
        <v>0</v>
      </c>
      <c r="M484" s="4">
        <v>0</v>
      </c>
      <c r="N484" s="4">
        <v>20</v>
      </c>
      <c r="O484" s="4" t="s">
        <v>7</v>
      </c>
      <c r="P484" s="4" t="s">
        <v>8</v>
      </c>
      <c r="Q484" s="4">
        <f>IF(Tabela2[[#This Row],[sex]]="Female",Tabela2[[#This Row],[hours-per-week]],NA())</f>
        <v>20</v>
      </c>
      <c r="R484" s="4" t="e">
        <f>IF(Tabela2[[#This Row],[sex]]="Male",Tabela2[[#This Row],[hours-per-week]],NA())</f>
        <v>#N/A</v>
      </c>
    </row>
    <row r="485" spans="1:18">
      <c r="A485" s="3" t="s">
        <v>576</v>
      </c>
      <c r="B485" s="4">
        <v>31</v>
      </c>
      <c r="C485" s="4" t="s">
        <v>0</v>
      </c>
      <c r="D485" s="4">
        <v>511289</v>
      </c>
      <c r="E485" s="4" t="s">
        <v>28</v>
      </c>
      <c r="F485" s="4">
        <v>9</v>
      </c>
      <c r="G485" s="4" t="s">
        <v>2</v>
      </c>
      <c r="H485" s="4" t="s">
        <v>24</v>
      </c>
      <c r="I485" s="4" t="s">
        <v>11</v>
      </c>
      <c r="J485" s="4" t="s">
        <v>5</v>
      </c>
      <c r="K485" s="4" t="s">
        <v>18</v>
      </c>
      <c r="L485" s="4">
        <v>2907</v>
      </c>
      <c r="M485" s="4">
        <v>0</v>
      </c>
      <c r="N485" s="4">
        <v>99</v>
      </c>
      <c r="O485" s="4" t="s">
        <v>7</v>
      </c>
      <c r="P485" s="4" t="s">
        <v>8</v>
      </c>
      <c r="Q485" s="4" t="e">
        <f>IF(Tabela2[[#This Row],[sex]]="Female",Tabela2[[#This Row],[hours-per-week]],NA())</f>
        <v>#N/A</v>
      </c>
      <c r="R485" s="4">
        <f>IF(Tabela2[[#This Row],[sex]]="Male",Tabela2[[#This Row],[hours-per-week]],NA())</f>
        <v>99</v>
      </c>
    </row>
    <row r="486" spans="1:18">
      <c r="A486" s="3" t="s">
        <v>577</v>
      </c>
      <c r="B486" s="4">
        <v>24</v>
      </c>
      <c r="C486" s="4" t="s">
        <v>0</v>
      </c>
      <c r="D486" s="4">
        <v>62952</v>
      </c>
      <c r="E486" s="4" t="s">
        <v>28</v>
      </c>
      <c r="F486" s="4">
        <v>9</v>
      </c>
      <c r="G486" s="4" t="s">
        <v>2</v>
      </c>
      <c r="H486" s="4" t="s">
        <v>16</v>
      </c>
      <c r="I486" s="4" t="s">
        <v>4</v>
      </c>
      <c r="J486" s="4" t="s">
        <v>5</v>
      </c>
      <c r="K486" s="4" t="s">
        <v>18</v>
      </c>
      <c r="L486" s="4">
        <v>0</v>
      </c>
      <c r="M486" s="4">
        <v>0</v>
      </c>
      <c r="N486" s="4">
        <v>40</v>
      </c>
      <c r="O486" s="4" t="s">
        <v>7</v>
      </c>
      <c r="P486" s="4" t="s">
        <v>8</v>
      </c>
      <c r="Q486" s="4" t="e">
        <f>IF(Tabela2[[#This Row],[sex]]="Female",Tabela2[[#This Row],[hours-per-week]],NA())</f>
        <v>#N/A</v>
      </c>
      <c r="R486" s="4">
        <f>IF(Tabela2[[#This Row],[sex]]="Male",Tabela2[[#This Row],[hours-per-week]],NA())</f>
        <v>40</v>
      </c>
    </row>
    <row r="487" spans="1:18">
      <c r="A487" s="3" t="s">
        <v>578</v>
      </c>
      <c r="B487" s="4">
        <v>38</v>
      </c>
      <c r="C487" s="4" t="s">
        <v>0</v>
      </c>
      <c r="D487" s="4">
        <v>391040</v>
      </c>
      <c r="E487" s="4" t="s">
        <v>44</v>
      </c>
      <c r="F487" s="4">
        <v>11</v>
      </c>
      <c r="G487" s="4" t="s">
        <v>21</v>
      </c>
      <c r="H487" s="4" t="s">
        <v>30</v>
      </c>
      <c r="I487" s="4" t="s">
        <v>35</v>
      </c>
      <c r="J487" s="4" t="s">
        <v>5</v>
      </c>
      <c r="K487" s="4" t="s">
        <v>6</v>
      </c>
      <c r="L487" s="4">
        <v>0</v>
      </c>
      <c r="M487" s="4">
        <v>0</v>
      </c>
      <c r="N487" s="4">
        <v>20</v>
      </c>
      <c r="O487" s="4" t="s">
        <v>7</v>
      </c>
      <c r="P487" s="4" t="s">
        <v>8</v>
      </c>
      <c r="Q487" s="4">
        <f>IF(Tabela2[[#This Row],[sex]]="Female",Tabela2[[#This Row],[hours-per-week]],NA())</f>
        <v>20</v>
      </c>
      <c r="R487" s="4" t="e">
        <f>IF(Tabela2[[#This Row],[sex]]="Male",Tabela2[[#This Row],[hours-per-week]],NA())</f>
        <v>#N/A</v>
      </c>
    </row>
    <row r="488" spans="1:18">
      <c r="A488" s="3" t="s">
        <v>579</v>
      </c>
      <c r="B488" s="4">
        <v>20</v>
      </c>
      <c r="C488" s="4" t="s">
        <v>0</v>
      </c>
      <c r="D488" s="4">
        <v>153583</v>
      </c>
      <c r="E488" s="4" t="s">
        <v>12</v>
      </c>
      <c r="F488" s="4">
        <v>10</v>
      </c>
      <c r="G488" s="4" t="s">
        <v>2</v>
      </c>
      <c r="H488" s="4" t="s">
        <v>33</v>
      </c>
      <c r="I488" s="4" t="s">
        <v>4</v>
      </c>
      <c r="J488" s="4" t="s">
        <v>5</v>
      </c>
      <c r="K488" s="4" t="s">
        <v>6</v>
      </c>
      <c r="L488" s="4">
        <v>0</v>
      </c>
      <c r="M488" s="4">
        <v>0</v>
      </c>
      <c r="N488" s="4">
        <v>40</v>
      </c>
      <c r="O488" s="4" t="s">
        <v>37</v>
      </c>
      <c r="P488" s="4" t="s">
        <v>8</v>
      </c>
      <c r="Q488" s="4">
        <f>IF(Tabela2[[#This Row],[sex]]="Female",Tabela2[[#This Row],[hours-per-week]],NA())</f>
        <v>40</v>
      </c>
      <c r="R488" s="4" t="e">
        <f>IF(Tabela2[[#This Row],[sex]]="Male",Tabela2[[#This Row],[hours-per-week]],NA())</f>
        <v>#N/A</v>
      </c>
    </row>
    <row r="489" spans="1:18">
      <c r="A489" s="3" t="s">
        <v>580</v>
      </c>
      <c r="B489" s="4">
        <v>45</v>
      </c>
      <c r="C489" s="4" t="s">
        <v>0</v>
      </c>
      <c r="D489" s="4">
        <v>168038</v>
      </c>
      <c r="E489" s="4" t="s">
        <v>26</v>
      </c>
      <c r="F489" s="4">
        <v>13</v>
      </c>
      <c r="G489" s="4" t="s">
        <v>15</v>
      </c>
      <c r="H489" s="4" t="s">
        <v>10</v>
      </c>
      <c r="I489" s="4" t="s">
        <v>11</v>
      </c>
      <c r="J489" s="4" t="s">
        <v>5</v>
      </c>
      <c r="K489" s="4" t="s">
        <v>18</v>
      </c>
      <c r="L489" s="4">
        <v>0</v>
      </c>
      <c r="M489" s="4">
        <v>0</v>
      </c>
      <c r="N489" s="4">
        <v>60</v>
      </c>
      <c r="O489" s="4" t="s">
        <v>7</v>
      </c>
      <c r="P489" s="4" t="s">
        <v>19</v>
      </c>
      <c r="Q489" s="4" t="e">
        <f>IF(Tabela2[[#This Row],[sex]]="Female",Tabela2[[#This Row],[hours-per-week]],NA())</f>
        <v>#N/A</v>
      </c>
      <c r="R489" s="4">
        <f>IF(Tabela2[[#This Row],[sex]]="Male",Tabela2[[#This Row],[hours-per-week]],NA())</f>
        <v>60</v>
      </c>
    </row>
    <row r="490" spans="1:18">
      <c r="A490" s="3" t="s">
        <v>581</v>
      </c>
      <c r="B490" s="4">
        <v>45</v>
      </c>
      <c r="C490" s="4" t="s">
        <v>0</v>
      </c>
      <c r="D490" s="4">
        <v>260490</v>
      </c>
      <c r="E490" s="4" t="s">
        <v>39</v>
      </c>
      <c r="F490" s="4">
        <v>14</v>
      </c>
      <c r="G490" s="4" t="s">
        <v>29</v>
      </c>
      <c r="H490" s="4" t="s">
        <v>46</v>
      </c>
      <c r="I490" s="4" t="s">
        <v>32</v>
      </c>
      <c r="J490" s="4" t="s">
        <v>5</v>
      </c>
      <c r="K490" s="4" t="s">
        <v>18</v>
      </c>
      <c r="L490" s="4">
        <v>0</v>
      </c>
      <c r="M490" s="4">
        <v>0</v>
      </c>
      <c r="N490" s="4">
        <v>50</v>
      </c>
      <c r="O490" s="4" t="s">
        <v>7</v>
      </c>
      <c r="P490" s="4" t="s">
        <v>19</v>
      </c>
      <c r="Q490" s="4" t="e">
        <f>IF(Tabela2[[#This Row],[sex]]="Female",Tabela2[[#This Row],[hours-per-week]],NA())</f>
        <v>#N/A</v>
      </c>
      <c r="R490" s="4">
        <f>IF(Tabela2[[#This Row],[sex]]="Male",Tabela2[[#This Row],[hours-per-week]],NA())</f>
        <v>50</v>
      </c>
    </row>
    <row r="491" spans="1:18">
      <c r="A491" s="3" t="s">
        <v>582</v>
      </c>
      <c r="B491" s="4">
        <v>63</v>
      </c>
      <c r="C491" s="4" t="s">
        <v>40</v>
      </c>
      <c r="D491" s="4">
        <v>28612</v>
      </c>
      <c r="E491" s="4" t="s">
        <v>28</v>
      </c>
      <c r="F491" s="4">
        <v>9</v>
      </c>
      <c r="G491" s="4" t="s">
        <v>47</v>
      </c>
      <c r="H491" s="4" t="s">
        <v>10</v>
      </c>
      <c r="I491" s="4" t="s">
        <v>11</v>
      </c>
      <c r="J491" s="4" t="s">
        <v>5</v>
      </c>
      <c r="K491" s="4" t="s">
        <v>18</v>
      </c>
      <c r="L491" s="4">
        <v>0</v>
      </c>
      <c r="M491" s="4">
        <v>0</v>
      </c>
      <c r="N491" s="4">
        <v>70</v>
      </c>
      <c r="O491" s="4" t="s">
        <v>7</v>
      </c>
      <c r="P491" s="4" t="s">
        <v>8</v>
      </c>
      <c r="Q491" s="4" t="e">
        <f>IF(Tabela2[[#This Row],[sex]]="Female",Tabela2[[#This Row],[hours-per-week]],NA())</f>
        <v>#N/A</v>
      </c>
      <c r="R491" s="4">
        <f>IF(Tabela2[[#This Row],[sex]]="Male",Tabela2[[#This Row],[hours-per-week]],NA())</f>
        <v>70</v>
      </c>
    </row>
    <row r="492" spans="1:18">
      <c r="A492" s="3" t="s">
        <v>583</v>
      </c>
      <c r="B492" s="4">
        <v>40</v>
      </c>
      <c r="C492" s="4" t="s">
        <v>0</v>
      </c>
      <c r="D492" s="4">
        <v>346189</v>
      </c>
      <c r="E492" s="4" t="s">
        <v>63</v>
      </c>
      <c r="F492" s="4">
        <v>16</v>
      </c>
      <c r="G492" s="4" t="s">
        <v>29</v>
      </c>
      <c r="H492" s="4" t="s">
        <v>27</v>
      </c>
      <c r="I492" s="4" t="s">
        <v>32</v>
      </c>
      <c r="J492" s="4" t="s">
        <v>5</v>
      </c>
      <c r="K492" s="4" t="s">
        <v>18</v>
      </c>
      <c r="L492" s="4">
        <v>0</v>
      </c>
      <c r="M492" s="4">
        <v>0</v>
      </c>
      <c r="N492" s="4">
        <v>40</v>
      </c>
      <c r="O492" s="4" t="s">
        <v>7</v>
      </c>
      <c r="P492" s="4" t="s">
        <v>19</v>
      </c>
      <c r="Q492" s="4" t="e">
        <f>IF(Tabela2[[#This Row],[sex]]="Female",Tabela2[[#This Row],[hours-per-week]],NA())</f>
        <v>#N/A</v>
      </c>
      <c r="R492" s="4">
        <f>IF(Tabela2[[#This Row],[sex]]="Male",Tabela2[[#This Row],[hours-per-week]],NA())</f>
        <v>40</v>
      </c>
    </row>
    <row r="493" spans="1:18">
      <c r="A493" s="3" t="s">
        <v>584</v>
      </c>
      <c r="B493" s="4">
        <v>32</v>
      </c>
      <c r="C493" s="4" t="s">
        <v>0</v>
      </c>
      <c r="D493" s="4">
        <v>212064</v>
      </c>
      <c r="E493" s="4" t="s">
        <v>26</v>
      </c>
      <c r="F493" s="4">
        <v>13</v>
      </c>
      <c r="G493" s="4" t="s">
        <v>29</v>
      </c>
      <c r="H493" s="4" t="s">
        <v>46</v>
      </c>
      <c r="I493" s="4" t="s">
        <v>31</v>
      </c>
      <c r="J493" s="4" t="s">
        <v>5</v>
      </c>
      <c r="K493" s="4" t="s">
        <v>6</v>
      </c>
      <c r="L493" s="4">
        <v>0</v>
      </c>
      <c r="M493" s="4">
        <v>0</v>
      </c>
      <c r="N493" s="4">
        <v>40</v>
      </c>
      <c r="O493" s="4" t="s">
        <v>7</v>
      </c>
      <c r="P493" s="4" t="s">
        <v>19</v>
      </c>
      <c r="Q493" s="4">
        <f>IF(Tabela2[[#This Row],[sex]]="Female",Tabela2[[#This Row],[hours-per-week]],NA())</f>
        <v>40</v>
      </c>
      <c r="R493" s="4" t="e">
        <f>IF(Tabela2[[#This Row],[sex]]="Male",Tabela2[[#This Row],[hours-per-week]],NA())</f>
        <v>#N/A</v>
      </c>
    </row>
    <row r="494" spans="1:18">
      <c r="A494" s="3" t="s">
        <v>585</v>
      </c>
      <c r="B494" s="4">
        <v>37</v>
      </c>
      <c r="C494" s="4" t="s">
        <v>0</v>
      </c>
      <c r="D494" s="4">
        <v>135436</v>
      </c>
      <c r="E494" s="4" t="s">
        <v>26</v>
      </c>
      <c r="F494" s="4">
        <v>13</v>
      </c>
      <c r="G494" s="4" t="s">
        <v>29</v>
      </c>
      <c r="H494" s="4" t="s">
        <v>46</v>
      </c>
      <c r="I494" s="4" t="s">
        <v>32</v>
      </c>
      <c r="J494" s="4" t="s">
        <v>5</v>
      </c>
      <c r="K494" s="4" t="s">
        <v>18</v>
      </c>
      <c r="L494" s="4">
        <v>0</v>
      </c>
      <c r="M494" s="4">
        <v>1977</v>
      </c>
      <c r="N494" s="4">
        <v>60</v>
      </c>
      <c r="O494" s="4" t="s">
        <v>7</v>
      </c>
      <c r="P494" s="4" t="s">
        <v>19</v>
      </c>
      <c r="Q494" s="4" t="e">
        <f>IF(Tabela2[[#This Row],[sex]]="Female",Tabela2[[#This Row],[hours-per-week]],NA())</f>
        <v>#N/A</v>
      </c>
      <c r="R494" s="4">
        <f>IF(Tabela2[[#This Row],[sex]]="Male",Tabela2[[#This Row],[hours-per-week]],NA())</f>
        <v>60</v>
      </c>
    </row>
    <row r="495" spans="1:18">
      <c r="A495" s="3" t="s">
        <v>586</v>
      </c>
      <c r="B495" s="4">
        <v>34</v>
      </c>
      <c r="C495" s="4" t="s">
        <v>0</v>
      </c>
      <c r="D495" s="4">
        <v>184147</v>
      </c>
      <c r="E495" s="4" t="s">
        <v>28</v>
      </c>
      <c r="F495" s="4">
        <v>9</v>
      </c>
      <c r="G495" s="4" t="s">
        <v>21</v>
      </c>
      <c r="H495" s="4" t="s">
        <v>10</v>
      </c>
      <c r="I495" s="4" t="s">
        <v>35</v>
      </c>
      <c r="J495" s="4" t="s">
        <v>23</v>
      </c>
      <c r="K495" s="4" t="s">
        <v>6</v>
      </c>
      <c r="L495" s="4">
        <v>0</v>
      </c>
      <c r="M495" s="4">
        <v>0</v>
      </c>
      <c r="N495" s="4">
        <v>20</v>
      </c>
      <c r="O495" s="4" t="s">
        <v>7</v>
      </c>
      <c r="P495" s="4" t="s">
        <v>8</v>
      </c>
      <c r="Q495" s="4">
        <f>IF(Tabela2[[#This Row],[sex]]="Female",Tabela2[[#This Row],[hours-per-week]],NA())</f>
        <v>20</v>
      </c>
      <c r="R495" s="4" t="e">
        <f>IF(Tabela2[[#This Row],[sex]]="Male",Tabela2[[#This Row],[hours-per-week]],NA())</f>
        <v>#N/A</v>
      </c>
    </row>
    <row r="496" spans="1:18">
      <c r="A496" s="3" t="s">
        <v>587</v>
      </c>
      <c r="B496" s="4">
        <v>35</v>
      </c>
      <c r="C496" s="4" t="s">
        <v>0</v>
      </c>
      <c r="D496" s="4">
        <v>241998</v>
      </c>
      <c r="E496" s="4" t="s">
        <v>26</v>
      </c>
      <c r="F496" s="4">
        <v>13</v>
      </c>
      <c r="G496" s="4" t="s">
        <v>29</v>
      </c>
      <c r="H496" s="4" t="s">
        <v>46</v>
      </c>
      <c r="I496" s="4" t="s">
        <v>32</v>
      </c>
      <c r="J496" s="4" t="s">
        <v>5</v>
      </c>
      <c r="K496" s="4" t="s">
        <v>18</v>
      </c>
      <c r="L496" s="4">
        <v>0</v>
      </c>
      <c r="M496" s="4">
        <v>0</v>
      </c>
      <c r="N496" s="4">
        <v>45</v>
      </c>
      <c r="O496" s="4" t="s">
        <v>7</v>
      </c>
      <c r="P496" s="4" t="s">
        <v>19</v>
      </c>
      <c r="Q496" s="4" t="e">
        <f>IF(Tabela2[[#This Row],[sex]]="Female",Tabela2[[#This Row],[hours-per-week]],NA())</f>
        <v>#N/A</v>
      </c>
      <c r="R496" s="4">
        <f>IF(Tabela2[[#This Row],[sex]]="Male",Tabela2[[#This Row],[hours-per-week]],NA())</f>
        <v>45</v>
      </c>
    </row>
    <row r="497" spans="1:18">
      <c r="A497" s="3" t="s">
        <v>588</v>
      </c>
      <c r="B497" s="4">
        <v>35</v>
      </c>
      <c r="C497" s="4" t="s">
        <v>40</v>
      </c>
      <c r="D497" s="4">
        <v>115618</v>
      </c>
      <c r="E497" s="4" t="s">
        <v>28</v>
      </c>
      <c r="F497" s="4">
        <v>9</v>
      </c>
      <c r="G497" s="4" t="s">
        <v>15</v>
      </c>
      <c r="H497" s="4" t="s">
        <v>10</v>
      </c>
      <c r="I497" s="4" t="s">
        <v>11</v>
      </c>
      <c r="J497" s="4" t="s">
        <v>5</v>
      </c>
      <c r="K497" s="4" t="s">
        <v>18</v>
      </c>
      <c r="L497" s="4">
        <v>0</v>
      </c>
      <c r="M497" s="4">
        <v>0</v>
      </c>
      <c r="N497" s="4">
        <v>50</v>
      </c>
      <c r="O497" s="4" t="s">
        <v>7</v>
      </c>
      <c r="P497" s="4" t="s">
        <v>19</v>
      </c>
      <c r="Q497" s="4" t="e">
        <f>IF(Tabela2[[#This Row],[sex]]="Female",Tabela2[[#This Row],[hours-per-week]],NA())</f>
        <v>#N/A</v>
      </c>
      <c r="R497" s="4">
        <f>IF(Tabela2[[#This Row],[sex]]="Male",Tabela2[[#This Row],[hours-per-week]],NA())</f>
        <v>50</v>
      </c>
    </row>
    <row r="498" spans="1:18">
      <c r="A498" s="3" t="s">
        <v>589</v>
      </c>
      <c r="B498" s="4">
        <v>59</v>
      </c>
      <c r="C498" s="4" t="s">
        <v>0</v>
      </c>
      <c r="D498" s="4">
        <v>200700</v>
      </c>
      <c r="E498" s="4" t="s">
        <v>26</v>
      </c>
      <c r="F498" s="4">
        <v>13</v>
      </c>
      <c r="G498" s="4" t="s">
        <v>29</v>
      </c>
      <c r="H498" s="4" t="s">
        <v>16</v>
      </c>
      <c r="I498" s="4" t="s">
        <v>32</v>
      </c>
      <c r="J498" s="4" t="s">
        <v>23</v>
      </c>
      <c r="K498" s="4" t="s">
        <v>18</v>
      </c>
      <c r="L498" s="4">
        <v>0</v>
      </c>
      <c r="M498" s="4">
        <v>0</v>
      </c>
      <c r="N498" s="4">
        <v>48</v>
      </c>
      <c r="O498" s="4" t="s">
        <v>7</v>
      </c>
      <c r="P498" s="4" t="s">
        <v>19</v>
      </c>
      <c r="Q498" s="4" t="e">
        <f>IF(Tabela2[[#This Row],[sex]]="Female",Tabela2[[#This Row],[hours-per-week]],NA())</f>
        <v>#N/A</v>
      </c>
      <c r="R498" s="4">
        <f>IF(Tabela2[[#This Row],[sex]]="Male",Tabela2[[#This Row],[hours-per-week]],NA())</f>
        <v>48</v>
      </c>
    </row>
    <row r="499" spans="1:18">
      <c r="A499" s="3" t="s">
        <v>590</v>
      </c>
      <c r="B499" s="4">
        <v>25</v>
      </c>
      <c r="C499" s="4" t="s">
        <v>20</v>
      </c>
      <c r="D499" s="4">
        <v>182380</v>
      </c>
      <c r="E499" s="4" t="s">
        <v>28</v>
      </c>
      <c r="F499" s="4">
        <v>9</v>
      </c>
      <c r="G499" s="4" t="s">
        <v>2</v>
      </c>
      <c r="H499" s="4" t="s">
        <v>16</v>
      </c>
      <c r="I499" s="4" t="s">
        <v>4</v>
      </c>
      <c r="J499" s="4" t="s">
        <v>5</v>
      </c>
      <c r="K499" s="4" t="s">
        <v>18</v>
      </c>
      <c r="L499" s="4">
        <v>0</v>
      </c>
      <c r="M499" s="4">
        <v>0</v>
      </c>
      <c r="N499" s="4">
        <v>40</v>
      </c>
      <c r="O499" s="4" t="s">
        <v>7</v>
      </c>
      <c r="P499" s="4" t="s">
        <v>8</v>
      </c>
      <c r="Q499" s="4" t="e">
        <f>IF(Tabela2[[#This Row],[sex]]="Female",Tabela2[[#This Row],[hours-per-week]],NA())</f>
        <v>#N/A</v>
      </c>
      <c r="R499" s="4">
        <f>IF(Tabela2[[#This Row],[sex]]="Male",Tabela2[[#This Row],[hours-per-week]],NA())</f>
        <v>40</v>
      </c>
    </row>
    <row r="500" spans="1:18">
      <c r="A500" s="3" t="s">
        <v>591</v>
      </c>
      <c r="B500" s="4">
        <v>27</v>
      </c>
      <c r="C500" s="4" t="s">
        <v>0</v>
      </c>
      <c r="D500" s="4">
        <v>95647</v>
      </c>
      <c r="E500" s="4" t="s">
        <v>26</v>
      </c>
      <c r="F500" s="4">
        <v>13</v>
      </c>
      <c r="G500" s="4" t="s">
        <v>2</v>
      </c>
      <c r="H500" s="4" t="s">
        <v>27</v>
      </c>
      <c r="I500" s="4" t="s">
        <v>4</v>
      </c>
      <c r="J500" s="4" t="s">
        <v>36</v>
      </c>
      <c r="K500" s="4" t="s">
        <v>18</v>
      </c>
      <c r="L500" s="4">
        <v>0</v>
      </c>
      <c r="M500" s="4">
        <v>0</v>
      </c>
      <c r="N500" s="4">
        <v>40</v>
      </c>
      <c r="O500" s="4" t="s">
        <v>7</v>
      </c>
      <c r="P500" s="4" t="s">
        <v>8</v>
      </c>
      <c r="Q500" s="4" t="e">
        <f>IF(Tabela2[[#This Row],[sex]]="Female",Tabela2[[#This Row],[hours-per-week]],NA())</f>
        <v>#N/A</v>
      </c>
      <c r="R500" s="4">
        <f>IF(Tabela2[[#This Row],[sex]]="Male",Tabela2[[#This Row],[hours-per-week]],NA())</f>
        <v>40</v>
      </c>
    </row>
    <row r="501" spans="1:18">
      <c r="A501" s="3" t="s">
        <v>592</v>
      </c>
      <c r="B501" s="4">
        <v>22</v>
      </c>
      <c r="C501" s="4" t="s">
        <v>0</v>
      </c>
      <c r="D501" s="4">
        <v>385077</v>
      </c>
      <c r="E501" s="4" t="s">
        <v>28</v>
      </c>
      <c r="F501" s="4">
        <v>9</v>
      </c>
      <c r="G501" s="4" t="s">
        <v>2</v>
      </c>
      <c r="H501" s="4" t="s">
        <v>16</v>
      </c>
      <c r="I501" s="4" t="s">
        <v>4</v>
      </c>
      <c r="J501" s="4" t="s">
        <v>5</v>
      </c>
      <c r="K501" s="4" t="s">
        <v>18</v>
      </c>
      <c r="L501" s="4">
        <v>2907</v>
      </c>
      <c r="M501" s="4">
        <v>0</v>
      </c>
      <c r="N501" s="4">
        <v>40</v>
      </c>
      <c r="O501" s="4" t="s">
        <v>7</v>
      </c>
      <c r="P501" s="4" t="s">
        <v>8</v>
      </c>
      <c r="Q501" s="4" t="e">
        <f>IF(Tabela2[[#This Row],[sex]]="Female",Tabela2[[#This Row],[hours-per-week]],NA())</f>
        <v>#N/A</v>
      </c>
      <c r="R501" s="4">
        <f>IF(Tabela2[[#This Row],[sex]]="Male",Tabela2[[#This Row],[hours-per-week]],NA())</f>
        <v>40</v>
      </c>
    </row>
    <row r="502" spans="1:18">
      <c r="A502" s="3" t="s">
        <v>593</v>
      </c>
      <c r="B502" s="4">
        <v>40</v>
      </c>
      <c r="C502" s="4" t="s">
        <v>0</v>
      </c>
      <c r="D502" s="4">
        <v>55191</v>
      </c>
      <c r="E502" s="4" t="s">
        <v>12</v>
      </c>
      <c r="F502" s="4">
        <v>10</v>
      </c>
      <c r="G502" s="4" t="s">
        <v>2</v>
      </c>
      <c r="H502" s="4" t="s">
        <v>33</v>
      </c>
      <c r="I502" s="4" t="s">
        <v>11</v>
      </c>
      <c r="J502" s="4" t="s">
        <v>23</v>
      </c>
      <c r="K502" s="4" t="s">
        <v>6</v>
      </c>
      <c r="L502" s="4">
        <v>0</v>
      </c>
      <c r="M502" s="4">
        <v>0</v>
      </c>
      <c r="N502" s="4">
        <v>40</v>
      </c>
      <c r="O502" s="4" t="s">
        <v>7</v>
      </c>
      <c r="P502" s="4" t="s">
        <v>8</v>
      </c>
      <c r="Q502" s="4">
        <f>IF(Tabela2[[#This Row],[sex]]="Female",Tabela2[[#This Row],[hours-per-week]],NA())</f>
        <v>40</v>
      </c>
      <c r="R502" s="4" t="e">
        <f>IF(Tabela2[[#This Row],[sex]]="Male",Tabela2[[#This Row],[hours-per-week]],NA())</f>
        <v>#N/A</v>
      </c>
    </row>
    <row r="503" spans="1:18">
      <c r="A503" s="3" t="s">
        <v>594</v>
      </c>
      <c r="B503" s="4">
        <v>29</v>
      </c>
      <c r="C503" s="4" t="s">
        <v>0</v>
      </c>
      <c r="D503" s="4">
        <v>71860</v>
      </c>
      <c r="E503" s="4" t="s">
        <v>28</v>
      </c>
      <c r="F503" s="4">
        <v>9</v>
      </c>
      <c r="G503" s="4" t="s">
        <v>29</v>
      </c>
      <c r="H503" s="4" t="s">
        <v>24</v>
      </c>
      <c r="I503" s="4" t="s">
        <v>32</v>
      </c>
      <c r="J503" s="4" t="s">
        <v>5</v>
      </c>
      <c r="K503" s="4" t="s">
        <v>18</v>
      </c>
      <c r="L503" s="4">
        <v>0</v>
      </c>
      <c r="M503" s="4">
        <v>0</v>
      </c>
      <c r="N503" s="4">
        <v>60</v>
      </c>
      <c r="O503" s="4" t="s">
        <v>7</v>
      </c>
      <c r="P503" s="4" t="s">
        <v>8</v>
      </c>
      <c r="Q503" s="4" t="e">
        <f>IF(Tabela2[[#This Row],[sex]]="Female",Tabela2[[#This Row],[hours-per-week]],NA())</f>
        <v>#N/A</v>
      </c>
      <c r="R503" s="4">
        <f>IF(Tabela2[[#This Row],[sex]]="Male",Tabela2[[#This Row],[hours-per-week]],NA())</f>
        <v>60</v>
      </c>
    </row>
    <row r="504" spans="1:18">
      <c r="A504" s="3" t="s">
        <v>595</v>
      </c>
      <c r="B504" s="4">
        <v>42</v>
      </c>
      <c r="C504" s="4" t="s">
        <v>49</v>
      </c>
      <c r="D504" s="4">
        <v>277488</v>
      </c>
      <c r="E504" s="4" t="s">
        <v>50</v>
      </c>
      <c r="F504" s="4">
        <v>15</v>
      </c>
      <c r="G504" s="4" t="s">
        <v>29</v>
      </c>
      <c r="H504" s="4" t="s">
        <v>27</v>
      </c>
      <c r="I504" s="4" t="s">
        <v>32</v>
      </c>
      <c r="J504" s="4" t="s">
        <v>5</v>
      </c>
      <c r="K504" s="4" t="s">
        <v>18</v>
      </c>
      <c r="L504" s="4">
        <v>15024</v>
      </c>
      <c r="M504" s="4">
        <v>0</v>
      </c>
      <c r="N504" s="4">
        <v>65</v>
      </c>
      <c r="O504" s="4" t="s">
        <v>7</v>
      </c>
      <c r="P504" s="4" t="s">
        <v>19</v>
      </c>
      <c r="Q504" s="4" t="e">
        <f>IF(Tabela2[[#This Row],[sex]]="Female",Tabela2[[#This Row],[hours-per-week]],NA())</f>
        <v>#N/A</v>
      </c>
      <c r="R504" s="4">
        <f>IF(Tabela2[[#This Row],[sex]]="Male",Tabela2[[#This Row],[hours-per-week]],NA())</f>
        <v>65</v>
      </c>
    </row>
    <row r="505" spans="1:18">
      <c r="A505" s="3" t="s">
        <v>596</v>
      </c>
      <c r="B505" s="4">
        <v>19</v>
      </c>
      <c r="C505" s="4" t="s">
        <v>0</v>
      </c>
      <c r="D505" s="4">
        <v>205830</v>
      </c>
      <c r="E505" s="4" t="s">
        <v>28</v>
      </c>
      <c r="F505" s="4">
        <v>9</v>
      </c>
      <c r="G505" s="4" t="s">
        <v>2</v>
      </c>
      <c r="H505" s="4" t="s">
        <v>3</v>
      </c>
      <c r="I505" s="4" t="s">
        <v>4</v>
      </c>
      <c r="J505" s="4" t="s">
        <v>5</v>
      </c>
      <c r="K505" s="4" t="s">
        <v>6</v>
      </c>
      <c r="L505" s="4">
        <v>0</v>
      </c>
      <c r="M505" s="4">
        <v>0</v>
      </c>
      <c r="N505" s="4">
        <v>40</v>
      </c>
      <c r="O505" s="4" t="s">
        <v>53</v>
      </c>
      <c r="P505" s="4" t="s">
        <v>8</v>
      </c>
      <c r="Q505" s="4">
        <f>IF(Tabela2[[#This Row],[sex]]="Female",Tabela2[[#This Row],[hours-per-week]],NA())</f>
        <v>40</v>
      </c>
      <c r="R505" s="4" t="e">
        <f>IF(Tabela2[[#This Row],[sex]]="Male",Tabela2[[#This Row],[hours-per-week]],NA())</f>
        <v>#N/A</v>
      </c>
    </row>
    <row r="506" spans="1:18">
      <c r="A506" s="3" t="s">
        <v>597</v>
      </c>
      <c r="B506" s="4">
        <v>31</v>
      </c>
      <c r="C506" s="4" t="s">
        <v>0</v>
      </c>
      <c r="D506" s="4">
        <v>100252</v>
      </c>
      <c r="E506" s="4" t="s">
        <v>26</v>
      </c>
      <c r="F506" s="4">
        <v>13</v>
      </c>
      <c r="G506" s="4" t="s">
        <v>15</v>
      </c>
      <c r="H506" s="4" t="s">
        <v>3</v>
      </c>
      <c r="I506" s="4" t="s">
        <v>11</v>
      </c>
      <c r="J506" s="4" t="s">
        <v>36</v>
      </c>
      <c r="K506" s="4" t="s">
        <v>18</v>
      </c>
      <c r="L506" s="4">
        <v>99999</v>
      </c>
      <c r="M506" s="4">
        <v>0</v>
      </c>
      <c r="N506" s="4">
        <v>70</v>
      </c>
      <c r="O506" s="4" t="s">
        <v>7</v>
      </c>
      <c r="P506" s="4" t="s">
        <v>19</v>
      </c>
      <c r="Q506" s="4" t="e">
        <f>IF(Tabela2[[#This Row],[sex]]="Female",Tabela2[[#This Row],[hours-per-week]],NA())</f>
        <v>#N/A</v>
      </c>
      <c r="R506" s="4">
        <f>IF(Tabela2[[#This Row],[sex]]="Male",Tabela2[[#This Row],[hours-per-week]],NA())</f>
        <v>70</v>
      </c>
    </row>
    <row r="507" spans="1:18">
      <c r="A507" s="3" t="s">
        <v>598</v>
      </c>
      <c r="B507" s="4">
        <v>62</v>
      </c>
      <c r="C507" s="4" t="s">
        <v>0</v>
      </c>
      <c r="D507" s="4">
        <v>132917</v>
      </c>
      <c r="E507" s="4" t="s">
        <v>12</v>
      </c>
      <c r="F507" s="4">
        <v>10</v>
      </c>
      <c r="G507" s="4" t="s">
        <v>29</v>
      </c>
      <c r="H507" s="4" t="s">
        <v>38</v>
      </c>
      <c r="I507" s="4" t="s">
        <v>32</v>
      </c>
      <c r="J507" s="4" t="s">
        <v>23</v>
      </c>
      <c r="K507" s="4" t="s">
        <v>18</v>
      </c>
      <c r="L507" s="4">
        <v>0</v>
      </c>
      <c r="M507" s="4">
        <v>0</v>
      </c>
      <c r="N507" s="4">
        <v>20</v>
      </c>
      <c r="O507" s="4" t="s">
        <v>7</v>
      </c>
      <c r="P507" s="4" t="s">
        <v>8</v>
      </c>
      <c r="Q507" s="4" t="e">
        <f>IF(Tabela2[[#This Row],[sex]]="Female",Tabela2[[#This Row],[hours-per-week]],NA())</f>
        <v>#N/A</v>
      </c>
      <c r="R507" s="4">
        <f>IF(Tabela2[[#This Row],[sex]]="Male",Tabela2[[#This Row],[hours-per-week]],NA())</f>
        <v>20</v>
      </c>
    </row>
    <row r="508" spans="1:18">
      <c r="A508" s="3" t="s">
        <v>599</v>
      </c>
      <c r="B508" s="4">
        <v>38</v>
      </c>
      <c r="C508" s="4" t="s">
        <v>0</v>
      </c>
      <c r="D508" s="4">
        <v>193372</v>
      </c>
      <c r="E508" s="4" t="s">
        <v>12</v>
      </c>
      <c r="F508" s="4">
        <v>10</v>
      </c>
      <c r="G508" s="4" t="s">
        <v>2</v>
      </c>
      <c r="H508" s="4" t="s">
        <v>46</v>
      </c>
      <c r="I508" s="4" t="s">
        <v>4</v>
      </c>
      <c r="J508" s="4" t="s">
        <v>5</v>
      </c>
      <c r="K508" s="4" t="s">
        <v>6</v>
      </c>
      <c r="L508" s="4">
        <v>0</v>
      </c>
      <c r="M508" s="4">
        <v>0</v>
      </c>
      <c r="N508" s="4">
        <v>40</v>
      </c>
      <c r="O508" s="4" t="s">
        <v>7</v>
      </c>
      <c r="P508" s="4" t="s">
        <v>8</v>
      </c>
      <c r="Q508" s="4">
        <f>IF(Tabela2[[#This Row],[sex]]="Female",Tabela2[[#This Row],[hours-per-week]],NA())</f>
        <v>40</v>
      </c>
      <c r="R508" s="4" t="e">
        <f>IF(Tabela2[[#This Row],[sex]]="Male",Tabela2[[#This Row],[hours-per-week]],NA())</f>
        <v>#N/A</v>
      </c>
    </row>
    <row r="509" spans="1:18">
      <c r="A509" s="3" t="s">
        <v>600</v>
      </c>
      <c r="B509" s="4">
        <v>47</v>
      </c>
      <c r="C509" s="4" t="s">
        <v>0</v>
      </c>
      <c r="D509" s="4">
        <v>267205</v>
      </c>
      <c r="E509" s="4" t="s">
        <v>44</v>
      </c>
      <c r="F509" s="4">
        <v>11</v>
      </c>
      <c r="G509" s="4" t="s">
        <v>29</v>
      </c>
      <c r="H509" s="4" t="s">
        <v>16</v>
      </c>
      <c r="I509" s="4" t="s">
        <v>32</v>
      </c>
      <c r="J509" s="4" t="s">
        <v>5</v>
      </c>
      <c r="K509" s="4" t="s">
        <v>18</v>
      </c>
      <c r="L509" s="4">
        <v>0</v>
      </c>
      <c r="M509" s="4">
        <v>0</v>
      </c>
      <c r="N509" s="4">
        <v>60</v>
      </c>
      <c r="O509" s="4" t="s">
        <v>37</v>
      </c>
      <c r="P509" s="4" t="s">
        <v>19</v>
      </c>
      <c r="Q509" s="4" t="e">
        <f>IF(Tabela2[[#This Row],[sex]]="Female",Tabela2[[#This Row],[hours-per-week]],NA())</f>
        <v>#N/A</v>
      </c>
      <c r="R509" s="4">
        <f>IF(Tabela2[[#This Row],[sex]]="Male",Tabela2[[#This Row],[hours-per-week]],NA())</f>
        <v>60</v>
      </c>
    </row>
    <row r="510" spans="1:18">
      <c r="A510" s="3" t="s">
        <v>601</v>
      </c>
      <c r="B510" s="4">
        <v>37</v>
      </c>
      <c r="C510" s="4" t="s">
        <v>20</v>
      </c>
      <c r="D510" s="4">
        <v>108320</v>
      </c>
      <c r="E510" s="4" t="s">
        <v>26</v>
      </c>
      <c r="F510" s="4">
        <v>13</v>
      </c>
      <c r="G510" s="4" t="s">
        <v>29</v>
      </c>
      <c r="H510" s="4" t="s">
        <v>30</v>
      </c>
      <c r="I510" s="4" t="s">
        <v>32</v>
      </c>
      <c r="J510" s="4" t="s">
        <v>5</v>
      </c>
      <c r="K510" s="4" t="s">
        <v>18</v>
      </c>
      <c r="L510" s="4">
        <v>0</v>
      </c>
      <c r="M510" s="4">
        <v>0</v>
      </c>
      <c r="N510" s="4">
        <v>45</v>
      </c>
      <c r="O510" s="4" t="s">
        <v>7</v>
      </c>
      <c r="P510" s="4" t="s">
        <v>19</v>
      </c>
      <c r="Q510" s="4" t="e">
        <f>IF(Tabela2[[#This Row],[sex]]="Female",Tabela2[[#This Row],[hours-per-week]],NA())</f>
        <v>#N/A</v>
      </c>
      <c r="R510" s="4">
        <f>IF(Tabela2[[#This Row],[sex]]="Male",Tabela2[[#This Row],[hours-per-week]],NA())</f>
        <v>45</v>
      </c>
    </row>
    <row r="511" spans="1:18">
      <c r="A511" s="3" t="s">
        <v>602</v>
      </c>
      <c r="B511" s="4">
        <v>36</v>
      </c>
      <c r="C511" s="4" t="s">
        <v>40</v>
      </c>
      <c r="D511" s="4">
        <v>167691</v>
      </c>
      <c r="E511" s="4" t="s">
        <v>12</v>
      </c>
      <c r="F511" s="4">
        <v>10</v>
      </c>
      <c r="G511" s="4" t="s">
        <v>2</v>
      </c>
      <c r="H511" s="4" t="s">
        <v>3</v>
      </c>
      <c r="I511" s="4" t="s">
        <v>35</v>
      </c>
      <c r="J511" s="4" t="s">
        <v>5</v>
      </c>
      <c r="K511" s="4" t="s">
        <v>6</v>
      </c>
      <c r="L511" s="4">
        <v>0</v>
      </c>
      <c r="M511" s="4">
        <v>0</v>
      </c>
      <c r="N511" s="4">
        <v>50</v>
      </c>
      <c r="O511" s="4" t="s">
        <v>7</v>
      </c>
      <c r="P511" s="4" t="s">
        <v>8</v>
      </c>
      <c r="Q511" s="4">
        <f>IF(Tabela2[[#This Row],[sex]]="Female",Tabela2[[#This Row],[hours-per-week]],NA())</f>
        <v>50</v>
      </c>
      <c r="R511" s="4" t="e">
        <f>IF(Tabela2[[#This Row],[sex]]="Male",Tabela2[[#This Row],[hours-per-week]],NA())</f>
        <v>#N/A</v>
      </c>
    </row>
    <row r="512" spans="1:18">
      <c r="A512" s="3" t="s">
        <v>603</v>
      </c>
      <c r="B512" s="4">
        <v>18</v>
      </c>
      <c r="C512" s="4" t="s">
        <v>0</v>
      </c>
      <c r="D512" s="4">
        <v>111256</v>
      </c>
      <c r="E512" s="4" t="s">
        <v>28</v>
      </c>
      <c r="F512" s="4">
        <v>9</v>
      </c>
      <c r="G512" s="4" t="s">
        <v>2</v>
      </c>
      <c r="H512" s="4" t="s">
        <v>33</v>
      </c>
      <c r="I512" s="4" t="s">
        <v>4</v>
      </c>
      <c r="J512" s="4" t="s">
        <v>5</v>
      </c>
      <c r="K512" s="4" t="s">
        <v>6</v>
      </c>
      <c r="L512" s="4">
        <v>0</v>
      </c>
      <c r="M512" s="4">
        <v>0</v>
      </c>
      <c r="N512" s="4">
        <v>20</v>
      </c>
      <c r="O512" s="4" t="s">
        <v>7</v>
      </c>
      <c r="P512" s="4" t="s">
        <v>8</v>
      </c>
      <c r="Q512" s="4">
        <f>IF(Tabela2[[#This Row],[sex]]="Female",Tabela2[[#This Row],[hours-per-week]],NA())</f>
        <v>20</v>
      </c>
      <c r="R512" s="4" t="e">
        <f>IF(Tabela2[[#This Row],[sex]]="Male",Tabela2[[#This Row],[hours-per-week]],NA())</f>
        <v>#N/A</v>
      </c>
    </row>
    <row r="513" spans="1:18">
      <c r="A513" s="3" t="s">
        <v>604</v>
      </c>
      <c r="B513" s="4">
        <v>20</v>
      </c>
      <c r="C513" s="4" t="s">
        <v>20</v>
      </c>
      <c r="D513" s="4">
        <v>163965</v>
      </c>
      <c r="E513" s="4" t="s">
        <v>28</v>
      </c>
      <c r="F513" s="4">
        <v>9</v>
      </c>
      <c r="G513" s="4" t="s">
        <v>2</v>
      </c>
      <c r="H513" s="4" t="s">
        <v>3</v>
      </c>
      <c r="I513" s="4" t="s">
        <v>35</v>
      </c>
      <c r="J513" s="4" t="s">
        <v>23</v>
      </c>
      <c r="K513" s="4" t="s">
        <v>6</v>
      </c>
      <c r="L513" s="4">
        <v>0</v>
      </c>
      <c r="M513" s="4">
        <v>0</v>
      </c>
      <c r="N513" s="4">
        <v>40</v>
      </c>
      <c r="O513" s="4" t="s">
        <v>7</v>
      </c>
      <c r="P513" s="4" t="s">
        <v>8</v>
      </c>
      <c r="Q513" s="4">
        <f>IF(Tabela2[[#This Row],[sex]]="Female",Tabela2[[#This Row],[hours-per-week]],NA())</f>
        <v>40</v>
      </c>
      <c r="R513" s="4" t="e">
        <f>IF(Tabela2[[#This Row],[sex]]="Male",Tabela2[[#This Row],[hours-per-week]],NA())</f>
        <v>#N/A</v>
      </c>
    </row>
    <row r="514" spans="1:18">
      <c r="A514" s="3" t="s">
        <v>605</v>
      </c>
      <c r="B514" s="4">
        <v>45</v>
      </c>
      <c r="C514" s="4" t="s">
        <v>40</v>
      </c>
      <c r="D514" s="4">
        <v>275445</v>
      </c>
      <c r="E514" s="4" t="s">
        <v>26</v>
      </c>
      <c r="F514" s="4">
        <v>13</v>
      </c>
      <c r="G514" s="4" t="s">
        <v>15</v>
      </c>
      <c r="H514" s="4" t="s">
        <v>46</v>
      </c>
      <c r="I514" s="4" t="s">
        <v>35</v>
      </c>
      <c r="J514" s="4" t="s">
        <v>5</v>
      </c>
      <c r="K514" s="4" t="s">
        <v>18</v>
      </c>
      <c r="L514" s="4">
        <v>0</v>
      </c>
      <c r="M514" s="4">
        <v>0</v>
      </c>
      <c r="N514" s="4">
        <v>50</v>
      </c>
      <c r="O514" s="4" t="s">
        <v>7</v>
      </c>
      <c r="P514" s="4" t="s">
        <v>8</v>
      </c>
      <c r="Q514" s="4" t="e">
        <f>IF(Tabela2[[#This Row],[sex]]="Female",Tabela2[[#This Row],[hours-per-week]],NA())</f>
        <v>#N/A</v>
      </c>
      <c r="R514" s="4">
        <f>IF(Tabela2[[#This Row],[sex]]="Male",Tabela2[[#This Row],[hours-per-week]],NA())</f>
        <v>50</v>
      </c>
    </row>
    <row r="515" spans="1:18">
      <c r="A515" s="3" t="s">
        <v>606</v>
      </c>
      <c r="B515" s="4">
        <v>63</v>
      </c>
      <c r="C515" s="4" t="s">
        <v>0</v>
      </c>
      <c r="D515" s="4">
        <v>207385</v>
      </c>
      <c r="E515" s="4" t="s">
        <v>12</v>
      </c>
      <c r="F515" s="4">
        <v>10</v>
      </c>
      <c r="G515" s="4" t="s">
        <v>29</v>
      </c>
      <c r="H515" s="4" t="s">
        <v>10</v>
      </c>
      <c r="I515" s="4" t="s">
        <v>32</v>
      </c>
      <c r="J515" s="4" t="s">
        <v>5</v>
      </c>
      <c r="K515" s="4" t="s">
        <v>18</v>
      </c>
      <c r="L515" s="4">
        <v>0</v>
      </c>
      <c r="M515" s="4">
        <v>0</v>
      </c>
      <c r="N515" s="4">
        <v>30</v>
      </c>
      <c r="O515" s="4" t="s">
        <v>7</v>
      </c>
      <c r="P515" s="4" t="s">
        <v>8</v>
      </c>
      <c r="Q515" s="4" t="e">
        <f>IF(Tabela2[[#This Row],[sex]]="Female",Tabela2[[#This Row],[hours-per-week]],NA())</f>
        <v>#N/A</v>
      </c>
      <c r="R515" s="4">
        <f>IF(Tabela2[[#This Row],[sex]]="Male",Tabela2[[#This Row],[hours-per-week]],NA())</f>
        <v>30</v>
      </c>
    </row>
    <row r="516" spans="1:18">
      <c r="A516" s="3" t="s">
        <v>607</v>
      </c>
      <c r="B516" s="4">
        <v>55</v>
      </c>
      <c r="C516" s="4" t="s">
        <v>0</v>
      </c>
      <c r="D516" s="4">
        <v>239404</v>
      </c>
      <c r="E516" s="4" t="s">
        <v>43</v>
      </c>
      <c r="F516" s="4">
        <v>6</v>
      </c>
      <c r="G516" s="4" t="s">
        <v>29</v>
      </c>
      <c r="H516" s="4" t="s">
        <v>38</v>
      </c>
      <c r="I516" s="4" t="s">
        <v>32</v>
      </c>
      <c r="J516" s="4" t="s">
        <v>23</v>
      </c>
      <c r="K516" s="4" t="s">
        <v>18</v>
      </c>
      <c r="L516" s="4">
        <v>0</v>
      </c>
      <c r="M516" s="4">
        <v>0</v>
      </c>
      <c r="N516" s="4">
        <v>45</v>
      </c>
      <c r="O516" s="4" t="s">
        <v>7</v>
      </c>
      <c r="P516" s="4" t="s">
        <v>8</v>
      </c>
      <c r="Q516" s="4" t="e">
        <f>IF(Tabela2[[#This Row],[sex]]="Female",Tabela2[[#This Row],[hours-per-week]],NA())</f>
        <v>#N/A</v>
      </c>
      <c r="R516" s="4">
        <f>IF(Tabela2[[#This Row],[sex]]="Male",Tabela2[[#This Row],[hours-per-week]],NA())</f>
        <v>45</v>
      </c>
    </row>
    <row r="517" spans="1:18">
      <c r="A517" s="3" t="s">
        <v>608</v>
      </c>
      <c r="B517" s="4">
        <v>40</v>
      </c>
      <c r="C517" s="4" t="s">
        <v>20</v>
      </c>
      <c r="D517" s="4">
        <v>150755</v>
      </c>
      <c r="E517" s="4" t="s">
        <v>26</v>
      </c>
      <c r="F517" s="4">
        <v>13</v>
      </c>
      <c r="G517" s="4" t="s">
        <v>29</v>
      </c>
      <c r="H517" s="4" t="s">
        <v>27</v>
      </c>
      <c r="I517" s="4" t="s">
        <v>32</v>
      </c>
      <c r="J517" s="4" t="s">
        <v>5</v>
      </c>
      <c r="K517" s="4" t="s">
        <v>18</v>
      </c>
      <c r="L517" s="4">
        <v>99999</v>
      </c>
      <c r="M517" s="4">
        <v>0</v>
      </c>
      <c r="N517" s="4">
        <v>75</v>
      </c>
      <c r="O517" s="4" t="s">
        <v>7</v>
      </c>
      <c r="P517" s="4" t="s">
        <v>19</v>
      </c>
      <c r="Q517" s="4" t="e">
        <f>IF(Tabela2[[#This Row],[sex]]="Female",Tabela2[[#This Row],[hours-per-week]],NA())</f>
        <v>#N/A</v>
      </c>
      <c r="R517" s="4">
        <f>IF(Tabela2[[#This Row],[sex]]="Male",Tabela2[[#This Row],[hours-per-week]],NA())</f>
        <v>75</v>
      </c>
    </row>
    <row r="518" spans="1:18">
      <c r="A518" s="3" t="s">
        <v>609</v>
      </c>
      <c r="B518" s="4">
        <v>33</v>
      </c>
      <c r="C518" s="4" t="s">
        <v>0</v>
      </c>
      <c r="D518" s="4">
        <v>119033</v>
      </c>
      <c r="E518" s="4" t="s">
        <v>64</v>
      </c>
      <c r="F518" s="4">
        <v>5</v>
      </c>
      <c r="G518" s="4" t="s">
        <v>29</v>
      </c>
      <c r="H518" s="4" t="s">
        <v>34</v>
      </c>
      <c r="I518" s="4" t="s">
        <v>32</v>
      </c>
      <c r="J518" s="4" t="s">
        <v>5</v>
      </c>
      <c r="K518" s="4" t="s">
        <v>18</v>
      </c>
      <c r="L518" s="4">
        <v>0</v>
      </c>
      <c r="M518" s="4">
        <v>0</v>
      </c>
      <c r="N518" s="4">
        <v>40</v>
      </c>
      <c r="O518" s="4" t="s">
        <v>7</v>
      </c>
      <c r="P518" s="4" t="s">
        <v>8</v>
      </c>
      <c r="Q518" s="4" t="e">
        <f>IF(Tabela2[[#This Row],[sex]]="Female",Tabela2[[#This Row],[hours-per-week]],NA())</f>
        <v>#N/A</v>
      </c>
      <c r="R518" s="4">
        <f>IF(Tabela2[[#This Row],[sex]]="Male",Tabela2[[#This Row],[hours-per-week]],NA())</f>
        <v>40</v>
      </c>
    </row>
    <row r="519" spans="1:18">
      <c r="A519" s="3" t="s">
        <v>610</v>
      </c>
      <c r="B519" s="4">
        <v>27</v>
      </c>
      <c r="C519" s="4" t="s">
        <v>0</v>
      </c>
      <c r="D519" s="4">
        <v>303954</v>
      </c>
      <c r="E519" s="4" t="s">
        <v>26</v>
      </c>
      <c r="F519" s="4">
        <v>13</v>
      </c>
      <c r="G519" s="4" t="s">
        <v>29</v>
      </c>
      <c r="H519" s="4" t="s">
        <v>10</v>
      </c>
      <c r="I519" s="4" t="s">
        <v>32</v>
      </c>
      <c r="J519" s="4" t="s">
        <v>5</v>
      </c>
      <c r="K519" s="4" t="s">
        <v>18</v>
      </c>
      <c r="L519" s="4">
        <v>0</v>
      </c>
      <c r="M519" s="4">
        <v>0</v>
      </c>
      <c r="N519" s="4">
        <v>45</v>
      </c>
      <c r="O519" s="4" t="s">
        <v>7</v>
      </c>
      <c r="P519" s="4" t="s">
        <v>8</v>
      </c>
      <c r="Q519" s="4" t="e">
        <f>IF(Tabela2[[#This Row],[sex]]="Female",Tabela2[[#This Row],[hours-per-week]],NA())</f>
        <v>#N/A</v>
      </c>
      <c r="R519" s="4">
        <f>IF(Tabela2[[#This Row],[sex]]="Male",Tabela2[[#This Row],[hours-per-week]],NA())</f>
        <v>45</v>
      </c>
    </row>
    <row r="520" spans="1:18">
      <c r="A520" s="3" t="s">
        <v>611</v>
      </c>
      <c r="B520" s="4">
        <v>47</v>
      </c>
      <c r="C520" s="4" t="s">
        <v>25</v>
      </c>
      <c r="D520" s="4">
        <v>108890</v>
      </c>
      <c r="E520" s="4" t="s">
        <v>28</v>
      </c>
      <c r="F520" s="4">
        <v>9</v>
      </c>
      <c r="G520" s="4" t="s">
        <v>15</v>
      </c>
      <c r="H520" s="4" t="s">
        <v>33</v>
      </c>
      <c r="I520" s="4" t="s">
        <v>35</v>
      </c>
      <c r="J520" s="4" t="s">
        <v>5</v>
      </c>
      <c r="K520" s="4" t="s">
        <v>6</v>
      </c>
      <c r="L520" s="4">
        <v>1831</v>
      </c>
      <c r="M520" s="4">
        <v>0</v>
      </c>
      <c r="N520" s="4">
        <v>38</v>
      </c>
      <c r="O520" s="4" t="s">
        <v>7</v>
      </c>
      <c r="P520" s="4" t="s">
        <v>8</v>
      </c>
      <c r="Q520" s="4">
        <f>IF(Tabela2[[#This Row],[sex]]="Female",Tabela2[[#This Row],[hours-per-week]],NA())</f>
        <v>38</v>
      </c>
      <c r="R520" s="4" t="e">
        <f>IF(Tabela2[[#This Row],[sex]]="Male",Tabela2[[#This Row],[hours-per-week]],NA())</f>
        <v>#N/A</v>
      </c>
    </row>
    <row r="521" spans="1:18">
      <c r="A521" s="3" t="s">
        <v>612</v>
      </c>
      <c r="B521" s="4">
        <v>40</v>
      </c>
      <c r="C521" s="4" t="s">
        <v>0</v>
      </c>
      <c r="D521" s="4">
        <v>205706</v>
      </c>
      <c r="E521" s="4" t="s">
        <v>28</v>
      </c>
      <c r="F521" s="4">
        <v>9</v>
      </c>
      <c r="G521" s="4" t="s">
        <v>29</v>
      </c>
      <c r="H521" s="4" t="s">
        <v>46</v>
      </c>
      <c r="I521" s="4" t="s">
        <v>31</v>
      </c>
      <c r="J521" s="4" t="s">
        <v>5</v>
      </c>
      <c r="K521" s="4" t="s">
        <v>6</v>
      </c>
      <c r="L521" s="4">
        <v>0</v>
      </c>
      <c r="M521" s="4">
        <v>0</v>
      </c>
      <c r="N521" s="4">
        <v>40</v>
      </c>
      <c r="O521" s="4" t="s">
        <v>7</v>
      </c>
      <c r="P521" s="4" t="s">
        <v>8</v>
      </c>
      <c r="Q521" s="4">
        <f>IF(Tabela2[[#This Row],[sex]]="Female",Tabela2[[#This Row],[hours-per-week]],NA())</f>
        <v>40</v>
      </c>
      <c r="R521" s="4" t="e">
        <f>IF(Tabela2[[#This Row],[sex]]="Male",Tabela2[[#This Row],[hours-per-week]],NA())</f>
        <v>#N/A</v>
      </c>
    </row>
    <row r="522" spans="1:18">
      <c r="A522" s="3" t="s">
        <v>613</v>
      </c>
      <c r="B522" s="4">
        <v>54</v>
      </c>
      <c r="C522" s="4" t="s">
        <v>0</v>
      </c>
      <c r="D522" s="4">
        <v>215990</v>
      </c>
      <c r="E522" s="4" t="s">
        <v>39</v>
      </c>
      <c r="F522" s="4">
        <v>14</v>
      </c>
      <c r="G522" s="4" t="s">
        <v>29</v>
      </c>
      <c r="H522" s="4" t="s">
        <v>46</v>
      </c>
      <c r="I522" s="4" t="s">
        <v>32</v>
      </c>
      <c r="J522" s="4" t="s">
        <v>5</v>
      </c>
      <c r="K522" s="4" t="s">
        <v>18</v>
      </c>
      <c r="L522" s="4">
        <v>0</v>
      </c>
      <c r="M522" s="4">
        <v>1887</v>
      </c>
      <c r="N522" s="4">
        <v>44</v>
      </c>
      <c r="O522" s="4" t="s">
        <v>7</v>
      </c>
      <c r="P522" s="4" t="s">
        <v>19</v>
      </c>
      <c r="Q522" s="4" t="e">
        <f>IF(Tabela2[[#This Row],[sex]]="Female",Tabela2[[#This Row],[hours-per-week]],NA())</f>
        <v>#N/A</v>
      </c>
      <c r="R522" s="4">
        <f>IF(Tabela2[[#This Row],[sex]]="Male",Tabela2[[#This Row],[hours-per-week]],NA())</f>
        <v>44</v>
      </c>
    </row>
    <row r="523" spans="1:18">
      <c r="A523" s="3" t="s">
        <v>614</v>
      </c>
      <c r="B523" s="4">
        <v>19</v>
      </c>
      <c r="C523" s="4" t="s">
        <v>40</v>
      </c>
      <c r="D523" s="4">
        <v>137578</v>
      </c>
      <c r="E523" s="4" t="s">
        <v>28</v>
      </c>
      <c r="F523" s="4">
        <v>9</v>
      </c>
      <c r="G523" s="4" t="s">
        <v>2</v>
      </c>
      <c r="H523" s="4" t="s">
        <v>3</v>
      </c>
      <c r="I523" s="4" t="s">
        <v>4</v>
      </c>
      <c r="J523" s="4" t="s">
        <v>5</v>
      </c>
      <c r="K523" s="4" t="s">
        <v>18</v>
      </c>
      <c r="L523" s="4">
        <v>0</v>
      </c>
      <c r="M523" s="4">
        <v>0</v>
      </c>
      <c r="N523" s="4">
        <v>53</v>
      </c>
      <c r="O523" s="4" t="s">
        <v>7</v>
      </c>
      <c r="P523" s="4" t="s">
        <v>8</v>
      </c>
      <c r="Q523" s="4" t="e">
        <f>IF(Tabela2[[#This Row],[sex]]="Female",Tabela2[[#This Row],[hours-per-week]],NA())</f>
        <v>#N/A</v>
      </c>
      <c r="R523" s="4">
        <f>IF(Tabela2[[#This Row],[sex]]="Male",Tabela2[[#This Row],[hours-per-week]],NA())</f>
        <v>53</v>
      </c>
    </row>
    <row r="524" spans="1:18">
      <c r="A524" s="3" t="s">
        <v>615</v>
      </c>
      <c r="B524" s="4">
        <v>29</v>
      </c>
      <c r="C524" s="4" t="s">
        <v>49</v>
      </c>
      <c r="D524" s="4">
        <v>156815</v>
      </c>
      <c r="E524" s="4" t="s">
        <v>28</v>
      </c>
      <c r="F524" s="4">
        <v>9</v>
      </c>
      <c r="G524" s="4" t="s">
        <v>29</v>
      </c>
      <c r="H524" s="4" t="s">
        <v>3</v>
      </c>
      <c r="I524" s="4" t="s">
        <v>32</v>
      </c>
      <c r="J524" s="4" t="s">
        <v>5</v>
      </c>
      <c r="K524" s="4" t="s">
        <v>18</v>
      </c>
      <c r="L524" s="4">
        <v>0</v>
      </c>
      <c r="M524" s="4">
        <v>0</v>
      </c>
      <c r="N524" s="4">
        <v>40</v>
      </c>
      <c r="O524" s="4" t="s">
        <v>7</v>
      </c>
      <c r="P524" s="4" t="s">
        <v>8</v>
      </c>
      <c r="Q524" s="4" t="e">
        <f>IF(Tabela2[[#This Row],[sex]]="Female",Tabela2[[#This Row],[hours-per-week]],NA())</f>
        <v>#N/A</v>
      </c>
      <c r="R524" s="4">
        <f>IF(Tabela2[[#This Row],[sex]]="Male",Tabela2[[#This Row],[hours-per-week]],NA())</f>
        <v>40</v>
      </c>
    </row>
    <row r="525" spans="1:18">
      <c r="A525" s="3" t="s">
        <v>616</v>
      </c>
      <c r="B525" s="4">
        <v>61</v>
      </c>
      <c r="C525" s="4" t="s">
        <v>40</v>
      </c>
      <c r="D525" s="4">
        <v>117387</v>
      </c>
      <c r="E525" s="4" t="s">
        <v>1</v>
      </c>
      <c r="F525" s="4">
        <v>7</v>
      </c>
      <c r="G525" s="4" t="s">
        <v>29</v>
      </c>
      <c r="H525" s="4" t="s">
        <v>46</v>
      </c>
      <c r="I525" s="4" t="s">
        <v>32</v>
      </c>
      <c r="J525" s="4" t="s">
        <v>5</v>
      </c>
      <c r="K525" s="4" t="s">
        <v>18</v>
      </c>
      <c r="L525" s="4">
        <v>0</v>
      </c>
      <c r="M525" s="4">
        <v>0</v>
      </c>
      <c r="N525" s="4">
        <v>20</v>
      </c>
      <c r="O525" s="4" t="s">
        <v>7</v>
      </c>
      <c r="P525" s="4" t="s">
        <v>8</v>
      </c>
      <c r="Q525" s="4" t="e">
        <f>IF(Tabela2[[#This Row],[sex]]="Female",Tabela2[[#This Row],[hours-per-week]],NA())</f>
        <v>#N/A</v>
      </c>
      <c r="R525" s="4">
        <f>IF(Tabela2[[#This Row],[sex]]="Male",Tabela2[[#This Row],[hours-per-week]],NA())</f>
        <v>20</v>
      </c>
    </row>
    <row r="526" spans="1:18">
      <c r="A526" s="3" t="s">
        <v>617</v>
      </c>
      <c r="B526" s="4">
        <v>22</v>
      </c>
      <c r="C526" s="4" t="s">
        <v>0</v>
      </c>
      <c r="D526" s="4">
        <v>119592</v>
      </c>
      <c r="E526" s="4" t="s">
        <v>9</v>
      </c>
      <c r="F526" s="4">
        <v>12</v>
      </c>
      <c r="G526" s="4" t="s">
        <v>2</v>
      </c>
      <c r="H526" s="4" t="s">
        <v>34</v>
      </c>
      <c r="I526" s="4" t="s">
        <v>11</v>
      </c>
      <c r="J526" s="4" t="s">
        <v>23</v>
      </c>
      <c r="K526" s="4" t="s">
        <v>18</v>
      </c>
      <c r="L526" s="4">
        <v>0</v>
      </c>
      <c r="M526" s="4">
        <v>2824</v>
      </c>
      <c r="N526" s="4">
        <v>40</v>
      </c>
      <c r="O526" s="4" t="s">
        <v>37</v>
      </c>
      <c r="P526" s="4" t="s">
        <v>19</v>
      </c>
      <c r="Q526" s="4" t="e">
        <f>IF(Tabela2[[#This Row],[sex]]="Female",Tabela2[[#This Row],[hours-per-week]],NA())</f>
        <v>#N/A</v>
      </c>
      <c r="R526" s="4">
        <f>IF(Tabela2[[#This Row],[sex]]="Male",Tabela2[[#This Row],[hours-per-week]],NA())</f>
        <v>40</v>
      </c>
    </row>
    <row r="527" spans="1:18">
      <c r="A527" s="3" t="s">
        <v>618</v>
      </c>
      <c r="B527" s="4">
        <v>19</v>
      </c>
      <c r="C527" s="4" t="s">
        <v>37</v>
      </c>
      <c r="D527" s="4">
        <v>185619</v>
      </c>
      <c r="E527" s="4" t="s">
        <v>12</v>
      </c>
      <c r="F527" s="4">
        <v>10</v>
      </c>
      <c r="G527" s="4" t="s">
        <v>2</v>
      </c>
      <c r="H527" s="4" t="s">
        <v>37</v>
      </c>
      <c r="I527" s="4" t="s">
        <v>4</v>
      </c>
      <c r="J527" s="4" t="s">
        <v>5</v>
      </c>
      <c r="K527" s="4" t="s">
        <v>6</v>
      </c>
      <c r="L527" s="4">
        <v>0</v>
      </c>
      <c r="M527" s="4">
        <v>0</v>
      </c>
      <c r="N527" s="4">
        <v>20</v>
      </c>
      <c r="O527" s="4" t="s">
        <v>7</v>
      </c>
      <c r="P527" s="4" t="s">
        <v>8</v>
      </c>
      <c r="Q527" s="4">
        <f>IF(Tabela2[[#This Row],[sex]]="Female",Tabela2[[#This Row],[hours-per-week]],NA())</f>
        <v>20</v>
      </c>
      <c r="R527" s="4" t="e">
        <f>IF(Tabela2[[#This Row],[sex]]="Male",Tabela2[[#This Row],[hours-per-week]],NA())</f>
        <v>#N/A</v>
      </c>
    </row>
    <row r="528" spans="1:18">
      <c r="A528" s="3" t="s">
        <v>619</v>
      </c>
      <c r="B528" s="4">
        <v>40</v>
      </c>
      <c r="C528" s="4" t="s">
        <v>20</v>
      </c>
      <c r="D528" s="4">
        <v>105862</v>
      </c>
      <c r="E528" s="4" t="s">
        <v>26</v>
      </c>
      <c r="F528" s="4">
        <v>13</v>
      </c>
      <c r="G528" s="4" t="s">
        <v>15</v>
      </c>
      <c r="H528" s="4" t="s">
        <v>27</v>
      </c>
      <c r="I528" s="4" t="s">
        <v>35</v>
      </c>
      <c r="J528" s="4" t="s">
        <v>5</v>
      </c>
      <c r="K528" s="4" t="s">
        <v>6</v>
      </c>
      <c r="L528" s="4">
        <v>5455</v>
      </c>
      <c r="M528" s="4">
        <v>0</v>
      </c>
      <c r="N528" s="4">
        <v>40</v>
      </c>
      <c r="O528" s="4" t="s">
        <v>7</v>
      </c>
      <c r="P528" s="4" t="s">
        <v>8</v>
      </c>
      <c r="Q528" s="4">
        <f>IF(Tabela2[[#This Row],[sex]]="Female",Tabela2[[#This Row],[hours-per-week]],NA())</f>
        <v>40</v>
      </c>
      <c r="R528" s="4" t="e">
        <f>IF(Tabela2[[#This Row],[sex]]="Male",Tabela2[[#This Row],[hours-per-week]],NA())</f>
        <v>#N/A</v>
      </c>
    </row>
    <row r="529" spans="1:18">
      <c r="A529" s="3" t="s">
        <v>620</v>
      </c>
      <c r="B529" s="4">
        <v>62</v>
      </c>
      <c r="C529" s="4" t="s">
        <v>20</v>
      </c>
      <c r="D529" s="4">
        <v>180162</v>
      </c>
      <c r="E529" s="4" t="s">
        <v>64</v>
      </c>
      <c r="F529" s="4">
        <v>5</v>
      </c>
      <c r="G529" s="4" t="s">
        <v>15</v>
      </c>
      <c r="H529" s="4" t="s">
        <v>55</v>
      </c>
      <c r="I529" s="4" t="s">
        <v>11</v>
      </c>
      <c r="J529" s="4" t="s">
        <v>23</v>
      </c>
      <c r="K529" s="4" t="s">
        <v>18</v>
      </c>
      <c r="L529" s="4">
        <v>0</v>
      </c>
      <c r="M529" s="4">
        <v>0</v>
      </c>
      <c r="N529" s="4">
        <v>24</v>
      </c>
      <c r="O529" s="4" t="s">
        <v>7</v>
      </c>
      <c r="P529" s="4" t="s">
        <v>8</v>
      </c>
      <c r="Q529" s="4" t="e">
        <f>IF(Tabela2[[#This Row],[sex]]="Female",Tabela2[[#This Row],[hours-per-week]],NA())</f>
        <v>#N/A</v>
      </c>
      <c r="R529" s="4">
        <f>IF(Tabela2[[#This Row],[sex]]="Male",Tabela2[[#This Row],[hours-per-week]],NA())</f>
        <v>24</v>
      </c>
    </row>
    <row r="530" spans="1:18">
      <c r="A530" s="3" t="s">
        <v>621</v>
      </c>
      <c r="B530" s="4">
        <v>42</v>
      </c>
      <c r="C530" s="4" t="s">
        <v>0</v>
      </c>
      <c r="D530" s="4">
        <v>54611</v>
      </c>
      <c r="E530" s="4" t="s">
        <v>12</v>
      </c>
      <c r="F530" s="4">
        <v>10</v>
      </c>
      <c r="G530" s="4" t="s">
        <v>15</v>
      </c>
      <c r="H530" s="4" t="s">
        <v>24</v>
      </c>
      <c r="I530" s="4" t="s">
        <v>11</v>
      </c>
      <c r="J530" s="4" t="s">
        <v>5</v>
      </c>
      <c r="K530" s="4" t="s">
        <v>18</v>
      </c>
      <c r="L530" s="4">
        <v>0</v>
      </c>
      <c r="M530" s="4">
        <v>0</v>
      </c>
      <c r="N530" s="4">
        <v>40</v>
      </c>
      <c r="O530" s="4" t="s">
        <v>7</v>
      </c>
      <c r="P530" s="4" t="s">
        <v>8</v>
      </c>
      <c r="Q530" s="4" t="e">
        <f>IF(Tabela2[[#This Row],[sex]]="Female",Tabela2[[#This Row],[hours-per-week]],NA())</f>
        <v>#N/A</v>
      </c>
      <c r="R530" s="4">
        <f>IF(Tabela2[[#This Row],[sex]]="Male",Tabela2[[#This Row],[hours-per-week]],NA())</f>
        <v>40</v>
      </c>
    </row>
    <row r="531" spans="1:18">
      <c r="A531" s="3" t="s">
        <v>622</v>
      </c>
      <c r="B531" s="4">
        <v>30</v>
      </c>
      <c r="C531" s="4" t="s">
        <v>0</v>
      </c>
      <c r="D531" s="4">
        <v>46712</v>
      </c>
      <c r="E531" s="4" t="s">
        <v>28</v>
      </c>
      <c r="F531" s="4">
        <v>9</v>
      </c>
      <c r="G531" s="4" t="s">
        <v>15</v>
      </c>
      <c r="H531" s="4" t="s">
        <v>3</v>
      </c>
      <c r="I531" s="4" t="s">
        <v>11</v>
      </c>
      <c r="J531" s="4" t="s">
        <v>5</v>
      </c>
      <c r="K531" s="4" t="s">
        <v>6</v>
      </c>
      <c r="L531" s="4">
        <v>0</v>
      </c>
      <c r="M531" s="4">
        <v>0</v>
      </c>
      <c r="N531" s="4">
        <v>40</v>
      </c>
      <c r="O531" s="4" t="s">
        <v>7</v>
      </c>
      <c r="P531" s="4" t="s">
        <v>8</v>
      </c>
      <c r="Q531" s="4">
        <f>IF(Tabela2[[#This Row],[sex]]="Female",Tabela2[[#This Row],[hours-per-week]],NA())</f>
        <v>40</v>
      </c>
      <c r="R531" s="4" t="e">
        <f>IF(Tabela2[[#This Row],[sex]]="Male",Tabela2[[#This Row],[hours-per-week]],NA())</f>
        <v>#N/A</v>
      </c>
    </row>
    <row r="532" spans="1:18">
      <c r="A532" s="3" t="s">
        <v>623</v>
      </c>
      <c r="B532" s="4">
        <v>65</v>
      </c>
      <c r="C532" s="4" t="s">
        <v>0</v>
      </c>
      <c r="D532" s="4">
        <v>344152</v>
      </c>
      <c r="E532" s="4" t="s">
        <v>39</v>
      </c>
      <c r="F532" s="4">
        <v>14</v>
      </c>
      <c r="G532" s="4" t="s">
        <v>29</v>
      </c>
      <c r="H532" s="4" t="s">
        <v>27</v>
      </c>
      <c r="I532" s="4" t="s">
        <v>32</v>
      </c>
      <c r="J532" s="4" t="s">
        <v>5</v>
      </c>
      <c r="K532" s="4" t="s">
        <v>18</v>
      </c>
      <c r="L532" s="4">
        <v>5556</v>
      </c>
      <c r="M532" s="4">
        <v>0</v>
      </c>
      <c r="N532" s="4">
        <v>50</v>
      </c>
      <c r="O532" s="4" t="s">
        <v>7</v>
      </c>
      <c r="P532" s="4" t="s">
        <v>19</v>
      </c>
      <c r="Q532" s="4" t="e">
        <f>IF(Tabela2[[#This Row],[sex]]="Female",Tabela2[[#This Row],[hours-per-week]],NA())</f>
        <v>#N/A</v>
      </c>
      <c r="R532" s="4">
        <f>IF(Tabela2[[#This Row],[sex]]="Male",Tabela2[[#This Row],[hours-per-week]],NA())</f>
        <v>50</v>
      </c>
    </row>
    <row r="533" spans="1:18">
      <c r="A533" s="3" t="s">
        <v>624</v>
      </c>
      <c r="B533" s="4">
        <v>41</v>
      </c>
      <c r="C533" s="4" t="s">
        <v>25</v>
      </c>
      <c r="D533" s="4">
        <v>58930</v>
      </c>
      <c r="E533" s="4" t="s">
        <v>26</v>
      </c>
      <c r="F533" s="4">
        <v>13</v>
      </c>
      <c r="G533" s="4" t="s">
        <v>2</v>
      </c>
      <c r="H533" s="4" t="s">
        <v>27</v>
      </c>
      <c r="I533" s="4" t="s">
        <v>11</v>
      </c>
      <c r="J533" s="4" t="s">
        <v>5</v>
      </c>
      <c r="K533" s="4" t="s">
        <v>6</v>
      </c>
      <c r="L533" s="4">
        <v>0</v>
      </c>
      <c r="M533" s="4">
        <v>0</v>
      </c>
      <c r="N533" s="4">
        <v>40</v>
      </c>
      <c r="O533" s="4" t="s">
        <v>7</v>
      </c>
      <c r="P533" s="4" t="s">
        <v>8</v>
      </c>
      <c r="Q533" s="4">
        <f>IF(Tabela2[[#This Row],[sex]]="Female",Tabela2[[#This Row],[hours-per-week]],NA())</f>
        <v>40</v>
      </c>
      <c r="R533" s="4" t="e">
        <f>IF(Tabela2[[#This Row],[sex]]="Male",Tabela2[[#This Row],[hours-per-week]],NA())</f>
        <v>#N/A</v>
      </c>
    </row>
    <row r="534" spans="1:18">
      <c r="A534" s="3" t="s">
        <v>625</v>
      </c>
      <c r="B534" s="4">
        <v>28</v>
      </c>
      <c r="C534" s="4" t="s">
        <v>0</v>
      </c>
      <c r="D534" s="4">
        <v>392100</v>
      </c>
      <c r="E534" s="4" t="s">
        <v>28</v>
      </c>
      <c r="F534" s="4">
        <v>9</v>
      </c>
      <c r="G534" s="4" t="s">
        <v>29</v>
      </c>
      <c r="H534" s="4" t="s">
        <v>16</v>
      </c>
      <c r="I534" s="4" t="s">
        <v>4</v>
      </c>
      <c r="J534" s="4" t="s">
        <v>5</v>
      </c>
      <c r="K534" s="4" t="s">
        <v>18</v>
      </c>
      <c r="L534" s="4">
        <v>0</v>
      </c>
      <c r="M534" s="4">
        <v>0</v>
      </c>
      <c r="N534" s="4">
        <v>40</v>
      </c>
      <c r="O534" s="4" t="s">
        <v>7</v>
      </c>
      <c r="P534" s="4" t="s">
        <v>8</v>
      </c>
      <c r="Q534" s="4" t="e">
        <f>IF(Tabela2[[#This Row],[sex]]="Female",Tabela2[[#This Row],[hours-per-week]],NA())</f>
        <v>#N/A</v>
      </c>
      <c r="R534" s="4">
        <f>IF(Tabela2[[#This Row],[sex]]="Male",Tabela2[[#This Row],[hours-per-week]],NA())</f>
        <v>40</v>
      </c>
    </row>
    <row r="535" spans="1:18">
      <c r="A535" s="3" t="s">
        <v>626</v>
      </c>
      <c r="B535" s="4">
        <v>26</v>
      </c>
      <c r="C535" s="4" t="s">
        <v>0</v>
      </c>
      <c r="D535" s="4">
        <v>173593</v>
      </c>
      <c r="E535" s="4" t="s">
        <v>39</v>
      </c>
      <c r="F535" s="4">
        <v>14</v>
      </c>
      <c r="G535" s="4" t="s">
        <v>29</v>
      </c>
      <c r="H535" s="4" t="s">
        <v>22</v>
      </c>
      <c r="I535" s="4" t="s">
        <v>32</v>
      </c>
      <c r="J535" s="4" t="s">
        <v>5</v>
      </c>
      <c r="K535" s="4" t="s">
        <v>18</v>
      </c>
      <c r="L535" s="4">
        <v>0</v>
      </c>
      <c r="M535" s="4">
        <v>0</v>
      </c>
      <c r="N535" s="4">
        <v>20</v>
      </c>
      <c r="O535" s="4" t="s">
        <v>77</v>
      </c>
      <c r="P535" s="4" t="s">
        <v>8</v>
      </c>
      <c r="Q535" s="4" t="e">
        <f>IF(Tabela2[[#This Row],[sex]]="Female",Tabela2[[#This Row],[hours-per-week]],NA())</f>
        <v>#N/A</v>
      </c>
      <c r="R535" s="4">
        <f>IF(Tabela2[[#This Row],[sex]]="Male",Tabela2[[#This Row],[hours-per-week]],NA())</f>
        <v>20</v>
      </c>
    </row>
    <row r="536" spans="1:18">
      <c r="A536" s="3" t="s">
        <v>627</v>
      </c>
      <c r="B536" s="4">
        <v>23</v>
      </c>
      <c r="C536" s="4" t="s">
        <v>0</v>
      </c>
      <c r="D536" s="4">
        <v>32950</v>
      </c>
      <c r="E536" s="4" t="s">
        <v>12</v>
      </c>
      <c r="F536" s="4">
        <v>10</v>
      </c>
      <c r="G536" s="4" t="s">
        <v>2</v>
      </c>
      <c r="H536" s="4" t="s">
        <v>10</v>
      </c>
      <c r="I536" s="4" t="s">
        <v>11</v>
      </c>
      <c r="J536" s="4" t="s">
        <v>5</v>
      </c>
      <c r="K536" s="4" t="s">
        <v>18</v>
      </c>
      <c r="L536" s="4">
        <v>0</v>
      </c>
      <c r="M536" s="4">
        <v>0</v>
      </c>
      <c r="N536" s="4">
        <v>40</v>
      </c>
      <c r="O536" s="4" t="s">
        <v>7</v>
      </c>
      <c r="P536" s="4" t="s">
        <v>8</v>
      </c>
      <c r="Q536" s="4" t="e">
        <f>IF(Tabela2[[#This Row],[sex]]="Female",Tabela2[[#This Row],[hours-per-week]],NA())</f>
        <v>#N/A</v>
      </c>
      <c r="R536" s="4">
        <f>IF(Tabela2[[#This Row],[sex]]="Male",Tabela2[[#This Row],[hours-per-week]],NA())</f>
        <v>40</v>
      </c>
    </row>
    <row r="537" spans="1:18">
      <c r="A537" s="3" t="s">
        <v>628</v>
      </c>
      <c r="B537" s="4">
        <v>45</v>
      </c>
      <c r="C537" s="4" t="s">
        <v>0</v>
      </c>
      <c r="D537" s="4">
        <v>20534</v>
      </c>
      <c r="E537" s="4" t="s">
        <v>12</v>
      </c>
      <c r="F537" s="4">
        <v>10</v>
      </c>
      <c r="G537" s="4" t="s">
        <v>29</v>
      </c>
      <c r="H537" s="4" t="s">
        <v>22</v>
      </c>
      <c r="I537" s="4" t="s">
        <v>32</v>
      </c>
      <c r="J537" s="4" t="s">
        <v>5</v>
      </c>
      <c r="K537" s="4" t="s">
        <v>18</v>
      </c>
      <c r="L537" s="4">
        <v>0</v>
      </c>
      <c r="M537" s="4">
        <v>0</v>
      </c>
      <c r="N537" s="4">
        <v>84</v>
      </c>
      <c r="O537" s="4" t="s">
        <v>7</v>
      </c>
      <c r="P537" s="4" t="s">
        <v>19</v>
      </c>
      <c r="Q537" s="4" t="e">
        <f>IF(Tabela2[[#This Row],[sex]]="Female",Tabela2[[#This Row],[hours-per-week]],NA())</f>
        <v>#N/A</v>
      </c>
      <c r="R537" s="4">
        <f>IF(Tabela2[[#This Row],[sex]]="Male",Tabela2[[#This Row],[hours-per-week]],NA())</f>
        <v>84</v>
      </c>
    </row>
    <row r="538" spans="1:18">
      <c r="A538" s="3" t="s">
        <v>629</v>
      </c>
      <c r="B538" s="4">
        <v>61</v>
      </c>
      <c r="C538" s="4" t="s">
        <v>41</v>
      </c>
      <c r="D538" s="4">
        <v>229062</v>
      </c>
      <c r="E538" s="4" t="s">
        <v>12</v>
      </c>
      <c r="F538" s="4">
        <v>10</v>
      </c>
      <c r="G538" s="4" t="s">
        <v>29</v>
      </c>
      <c r="H538" s="4" t="s">
        <v>33</v>
      </c>
      <c r="I538" s="4" t="s">
        <v>32</v>
      </c>
      <c r="J538" s="4" t="s">
        <v>5</v>
      </c>
      <c r="K538" s="4" t="s">
        <v>18</v>
      </c>
      <c r="L538" s="4">
        <v>0</v>
      </c>
      <c r="M538" s="4">
        <v>1887</v>
      </c>
      <c r="N538" s="4">
        <v>40</v>
      </c>
      <c r="O538" s="4" t="s">
        <v>7</v>
      </c>
      <c r="P538" s="4" t="s">
        <v>19</v>
      </c>
      <c r="Q538" s="4" t="e">
        <f>IF(Tabela2[[#This Row],[sex]]="Female",Tabela2[[#This Row],[hours-per-week]],NA())</f>
        <v>#N/A</v>
      </c>
      <c r="R538" s="4">
        <f>IF(Tabela2[[#This Row],[sex]]="Male",Tabela2[[#This Row],[hours-per-week]],NA())</f>
        <v>40</v>
      </c>
    </row>
    <row r="539" spans="1:18">
      <c r="A539" s="3" t="s">
        <v>630</v>
      </c>
      <c r="B539" s="4">
        <v>76</v>
      </c>
      <c r="C539" s="4" t="s">
        <v>0</v>
      </c>
      <c r="D539" s="4">
        <v>208843</v>
      </c>
      <c r="E539" s="4" t="s">
        <v>57</v>
      </c>
      <c r="F539" s="4">
        <v>4</v>
      </c>
      <c r="G539" s="4" t="s">
        <v>47</v>
      </c>
      <c r="H539" s="4" t="s">
        <v>55</v>
      </c>
      <c r="I539" s="4" t="s">
        <v>11</v>
      </c>
      <c r="J539" s="4" t="s">
        <v>5</v>
      </c>
      <c r="K539" s="4" t="s">
        <v>18</v>
      </c>
      <c r="L539" s="4">
        <v>0</v>
      </c>
      <c r="M539" s="4">
        <v>0</v>
      </c>
      <c r="N539" s="4">
        <v>30</v>
      </c>
      <c r="O539" s="4" t="s">
        <v>7</v>
      </c>
      <c r="P539" s="4" t="s">
        <v>8</v>
      </c>
      <c r="Q539" s="4" t="e">
        <f>IF(Tabela2[[#This Row],[sex]]="Female",Tabela2[[#This Row],[hours-per-week]],NA())</f>
        <v>#N/A</v>
      </c>
      <c r="R539" s="4">
        <f>IF(Tabela2[[#This Row],[sex]]="Male",Tabela2[[#This Row],[hours-per-week]],NA())</f>
        <v>30</v>
      </c>
    </row>
    <row r="540" spans="1:18">
      <c r="A540" s="3" t="s">
        <v>631</v>
      </c>
      <c r="B540" s="4">
        <v>60</v>
      </c>
      <c r="C540" s="4" t="s">
        <v>0</v>
      </c>
      <c r="D540" s="4">
        <v>139391</v>
      </c>
      <c r="E540" s="4" t="s">
        <v>12</v>
      </c>
      <c r="F540" s="4">
        <v>10</v>
      </c>
      <c r="G540" s="4" t="s">
        <v>56</v>
      </c>
      <c r="H540" s="4" t="s">
        <v>22</v>
      </c>
      <c r="I540" s="4" t="s">
        <v>11</v>
      </c>
      <c r="J540" s="4" t="s">
        <v>5</v>
      </c>
      <c r="K540" s="4" t="s">
        <v>18</v>
      </c>
      <c r="L540" s="4">
        <v>0</v>
      </c>
      <c r="M540" s="4">
        <v>0</v>
      </c>
      <c r="N540" s="4">
        <v>50</v>
      </c>
      <c r="O540" s="4" t="s">
        <v>7</v>
      </c>
      <c r="P540" s="4" t="s">
        <v>19</v>
      </c>
      <c r="Q540" s="4" t="e">
        <f>IF(Tabela2[[#This Row],[sex]]="Female",Tabela2[[#This Row],[hours-per-week]],NA())</f>
        <v>#N/A</v>
      </c>
      <c r="R540" s="4">
        <f>IF(Tabela2[[#This Row],[sex]]="Male",Tabela2[[#This Row],[hours-per-week]],NA())</f>
        <v>50</v>
      </c>
    </row>
    <row r="541" spans="1:18">
      <c r="A541" s="3" t="s">
        <v>632</v>
      </c>
      <c r="B541" s="4">
        <v>33</v>
      </c>
      <c r="C541" s="4" t="s">
        <v>25</v>
      </c>
      <c r="D541" s="4">
        <v>111994</v>
      </c>
      <c r="E541" s="4" t="s">
        <v>12</v>
      </c>
      <c r="F541" s="4">
        <v>10</v>
      </c>
      <c r="G541" s="4" t="s">
        <v>15</v>
      </c>
      <c r="H541" s="4" t="s">
        <v>33</v>
      </c>
      <c r="I541" s="4" t="s">
        <v>35</v>
      </c>
      <c r="J541" s="4" t="s">
        <v>5</v>
      </c>
      <c r="K541" s="4" t="s">
        <v>6</v>
      </c>
      <c r="L541" s="4">
        <v>0</v>
      </c>
      <c r="M541" s="4">
        <v>0</v>
      </c>
      <c r="N541" s="4">
        <v>45</v>
      </c>
      <c r="O541" s="4" t="s">
        <v>7</v>
      </c>
      <c r="P541" s="4" t="s">
        <v>8</v>
      </c>
      <c r="Q541" s="4">
        <f>IF(Tabela2[[#This Row],[sex]]="Female",Tabela2[[#This Row],[hours-per-week]],NA())</f>
        <v>45</v>
      </c>
      <c r="R541" s="4" t="e">
        <f>IF(Tabela2[[#This Row],[sex]]="Male",Tabela2[[#This Row],[hours-per-week]],NA())</f>
        <v>#N/A</v>
      </c>
    </row>
    <row r="542" spans="1:18">
      <c r="A542" s="3" t="s">
        <v>633</v>
      </c>
      <c r="B542" s="4">
        <v>35</v>
      </c>
      <c r="C542" s="4" t="s">
        <v>40</v>
      </c>
      <c r="D542" s="4">
        <v>348771</v>
      </c>
      <c r="E542" s="4" t="s">
        <v>1</v>
      </c>
      <c r="F542" s="4">
        <v>7</v>
      </c>
      <c r="G542" s="4" t="s">
        <v>29</v>
      </c>
      <c r="H542" s="4" t="s">
        <v>16</v>
      </c>
      <c r="I542" s="4" t="s">
        <v>32</v>
      </c>
      <c r="J542" s="4" t="s">
        <v>5</v>
      </c>
      <c r="K542" s="4" t="s">
        <v>18</v>
      </c>
      <c r="L542" s="4">
        <v>0</v>
      </c>
      <c r="M542" s="4">
        <v>0</v>
      </c>
      <c r="N542" s="4">
        <v>36</v>
      </c>
      <c r="O542" s="4" t="s">
        <v>7</v>
      </c>
      <c r="P542" s="4" t="s">
        <v>8</v>
      </c>
      <c r="Q542" s="4" t="e">
        <f>IF(Tabela2[[#This Row],[sex]]="Female",Tabela2[[#This Row],[hours-per-week]],NA())</f>
        <v>#N/A</v>
      </c>
      <c r="R542" s="4">
        <f>IF(Tabela2[[#This Row],[sex]]="Male",Tabela2[[#This Row],[hours-per-week]],NA())</f>
        <v>36</v>
      </c>
    </row>
    <row r="543" spans="1:18">
      <c r="A543" s="3" t="s">
        <v>634</v>
      </c>
      <c r="B543" s="4">
        <v>23</v>
      </c>
      <c r="C543" s="4" t="s">
        <v>0</v>
      </c>
      <c r="D543" s="4">
        <v>348420</v>
      </c>
      <c r="E543" s="4" t="s">
        <v>26</v>
      </c>
      <c r="F543" s="4">
        <v>13</v>
      </c>
      <c r="G543" s="4" t="s">
        <v>2</v>
      </c>
      <c r="H543" s="4" t="s">
        <v>30</v>
      </c>
      <c r="I543" s="4" t="s">
        <v>11</v>
      </c>
      <c r="J543" s="4" t="s">
        <v>5</v>
      </c>
      <c r="K543" s="4" t="s">
        <v>18</v>
      </c>
      <c r="L543" s="4">
        <v>0</v>
      </c>
      <c r="M543" s="4">
        <v>0</v>
      </c>
      <c r="N543" s="4">
        <v>40</v>
      </c>
      <c r="O543" s="4" t="s">
        <v>7</v>
      </c>
      <c r="P543" s="4" t="s">
        <v>8</v>
      </c>
      <c r="Q543" s="4" t="e">
        <f>IF(Tabela2[[#This Row],[sex]]="Female",Tabela2[[#This Row],[hours-per-week]],NA())</f>
        <v>#N/A</v>
      </c>
      <c r="R543" s="4">
        <f>IF(Tabela2[[#This Row],[sex]]="Male",Tabela2[[#This Row],[hours-per-week]],NA())</f>
        <v>40</v>
      </c>
    </row>
    <row r="544" spans="1:18">
      <c r="A544" s="3" t="s">
        <v>635</v>
      </c>
      <c r="B544" s="4">
        <v>36</v>
      </c>
      <c r="C544" s="4" t="s">
        <v>0</v>
      </c>
      <c r="D544" s="4">
        <v>115700</v>
      </c>
      <c r="E544" s="4" t="s">
        <v>28</v>
      </c>
      <c r="F544" s="4">
        <v>9</v>
      </c>
      <c r="G544" s="4" t="s">
        <v>29</v>
      </c>
      <c r="H544" s="4" t="s">
        <v>10</v>
      </c>
      <c r="I544" s="4" t="s">
        <v>32</v>
      </c>
      <c r="J544" s="4" t="s">
        <v>5</v>
      </c>
      <c r="K544" s="4" t="s">
        <v>18</v>
      </c>
      <c r="L544" s="4">
        <v>0</v>
      </c>
      <c r="M544" s="4">
        <v>0</v>
      </c>
      <c r="N544" s="4">
        <v>50</v>
      </c>
      <c r="O544" s="4" t="s">
        <v>7</v>
      </c>
      <c r="P544" s="4" t="s">
        <v>8</v>
      </c>
      <c r="Q544" s="4" t="e">
        <f>IF(Tabela2[[#This Row],[sex]]="Female",Tabela2[[#This Row],[hours-per-week]],NA())</f>
        <v>#N/A</v>
      </c>
      <c r="R544" s="4">
        <f>IF(Tabela2[[#This Row],[sex]]="Male",Tabela2[[#This Row],[hours-per-week]],NA())</f>
        <v>50</v>
      </c>
    </row>
    <row r="545" spans="1:18">
      <c r="A545" s="3" t="s">
        <v>636</v>
      </c>
      <c r="B545" s="4">
        <v>33</v>
      </c>
      <c r="C545" s="4" t="s">
        <v>20</v>
      </c>
      <c r="D545" s="4">
        <v>133876</v>
      </c>
      <c r="E545" s="4" t="s">
        <v>28</v>
      </c>
      <c r="F545" s="4">
        <v>9</v>
      </c>
      <c r="G545" s="4" t="s">
        <v>15</v>
      </c>
      <c r="H545" s="4" t="s">
        <v>16</v>
      </c>
      <c r="I545" s="4" t="s">
        <v>35</v>
      </c>
      <c r="J545" s="4" t="s">
        <v>5</v>
      </c>
      <c r="K545" s="4" t="s">
        <v>18</v>
      </c>
      <c r="L545" s="4">
        <v>0</v>
      </c>
      <c r="M545" s="4">
        <v>0</v>
      </c>
      <c r="N545" s="4">
        <v>40</v>
      </c>
      <c r="O545" s="4" t="s">
        <v>7</v>
      </c>
      <c r="P545" s="4" t="s">
        <v>8</v>
      </c>
      <c r="Q545" s="4" t="e">
        <f>IF(Tabela2[[#This Row],[sex]]="Female",Tabela2[[#This Row],[hours-per-week]],NA())</f>
        <v>#N/A</v>
      </c>
      <c r="R545" s="4">
        <f>IF(Tabela2[[#This Row],[sex]]="Male",Tabela2[[#This Row],[hours-per-week]],NA())</f>
        <v>40</v>
      </c>
    </row>
    <row r="546" spans="1:18">
      <c r="A546" s="3" t="s">
        <v>637</v>
      </c>
      <c r="B546" s="4">
        <v>36</v>
      </c>
      <c r="C546" s="4" t="s">
        <v>25</v>
      </c>
      <c r="D546" s="4">
        <v>196348</v>
      </c>
      <c r="E546" s="4" t="s">
        <v>28</v>
      </c>
      <c r="F546" s="4">
        <v>9</v>
      </c>
      <c r="G546" s="4" t="s">
        <v>29</v>
      </c>
      <c r="H546" s="4" t="s">
        <v>46</v>
      </c>
      <c r="I546" s="4" t="s">
        <v>32</v>
      </c>
      <c r="J546" s="4" t="s">
        <v>5</v>
      </c>
      <c r="K546" s="4" t="s">
        <v>18</v>
      </c>
      <c r="L546" s="4">
        <v>0</v>
      </c>
      <c r="M546" s="4">
        <v>0</v>
      </c>
      <c r="N546" s="4">
        <v>60</v>
      </c>
      <c r="O546" s="4" t="s">
        <v>7</v>
      </c>
      <c r="P546" s="4" t="s">
        <v>19</v>
      </c>
      <c r="Q546" s="4" t="e">
        <f>IF(Tabela2[[#This Row],[sex]]="Female",Tabela2[[#This Row],[hours-per-week]],NA())</f>
        <v>#N/A</v>
      </c>
      <c r="R546" s="4">
        <f>IF(Tabela2[[#This Row],[sex]]="Male",Tabela2[[#This Row],[hours-per-week]],NA())</f>
        <v>60</v>
      </c>
    </row>
    <row r="547" spans="1:18">
      <c r="A547" s="3" t="s">
        <v>638</v>
      </c>
      <c r="B547" s="4">
        <v>51</v>
      </c>
      <c r="C547" s="4" t="s">
        <v>0</v>
      </c>
      <c r="D547" s="4">
        <v>123429</v>
      </c>
      <c r="E547" s="4" t="s">
        <v>9</v>
      </c>
      <c r="F547" s="4">
        <v>12</v>
      </c>
      <c r="G547" s="4" t="s">
        <v>15</v>
      </c>
      <c r="H547" s="4" t="s">
        <v>30</v>
      </c>
      <c r="I547" s="4" t="s">
        <v>11</v>
      </c>
      <c r="J547" s="4" t="s">
        <v>5</v>
      </c>
      <c r="K547" s="4" t="s">
        <v>18</v>
      </c>
      <c r="L547" s="4">
        <v>0</v>
      </c>
      <c r="M547" s="4">
        <v>0</v>
      </c>
      <c r="N547" s="4">
        <v>30</v>
      </c>
      <c r="O547" s="4" t="s">
        <v>7</v>
      </c>
      <c r="P547" s="4" t="s">
        <v>8</v>
      </c>
      <c r="Q547" s="4" t="e">
        <f>IF(Tabela2[[#This Row],[sex]]="Female",Tabela2[[#This Row],[hours-per-week]],NA())</f>
        <v>#N/A</v>
      </c>
      <c r="R547" s="4">
        <f>IF(Tabela2[[#This Row],[sex]]="Male",Tabela2[[#This Row],[hours-per-week]],NA())</f>
        <v>30</v>
      </c>
    </row>
    <row r="548" spans="1:18">
      <c r="A548" s="3" t="s">
        <v>639</v>
      </c>
      <c r="B548" s="4">
        <v>27</v>
      </c>
      <c r="C548" s="4" t="s">
        <v>25</v>
      </c>
      <c r="D548" s="4">
        <v>271328</v>
      </c>
      <c r="E548" s="4" t="s">
        <v>26</v>
      </c>
      <c r="F548" s="4">
        <v>13</v>
      </c>
      <c r="G548" s="4" t="s">
        <v>2</v>
      </c>
      <c r="H548" s="4" t="s">
        <v>27</v>
      </c>
      <c r="I548" s="4" t="s">
        <v>11</v>
      </c>
      <c r="J548" s="4" t="s">
        <v>5</v>
      </c>
      <c r="K548" s="4" t="s">
        <v>18</v>
      </c>
      <c r="L548" s="4">
        <v>0</v>
      </c>
      <c r="M548" s="4">
        <v>0</v>
      </c>
      <c r="N548" s="4">
        <v>60</v>
      </c>
      <c r="O548" s="4" t="s">
        <v>7</v>
      </c>
      <c r="P548" s="4" t="s">
        <v>8</v>
      </c>
      <c r="Q548" s="4" t="e">
        <f>IF(Tabela2[[#This Row],[sex]]="Female",Tabela2[[#This Row],[hours-per-week]],NA())</f>
        <v>#N/A</v>
      </c>
      <c r="R548" s="4">
        <f>IF(Tabela2[[#This Row],[sex]]="Male",Tabela2[[#This Row],[hours-per-week]],NA())</f>
        <v>60</v>
      </c>
    </row>
    <row r="549" spans="1:18">
      <c r="A549" s="3" t="s">
        <v>640</v>
      </c>
      <c r="B549" s="4">
        <v>47</v>
      </c>
      <c r="C549" s="4" t="s">
        <v>20</v>
      </c>
      <c r="D549" s="4">
        <v>93618</v>
      </c>
      <c r="E549" s="4" t="s">
        <v>12</v>
      </c>
      <c r="F549" s="4">
        <v>10</v>
      </c>
      <c r="G549" s="4" t="s">
        <v>15</v>
      </c>
      <c r="H549" s="4" t="s">
        <v>33</v>
      </c>
      <c r="I549" s="4" t="s">
        <v>11</v>
      </c>
      <c r="J549" s="4" t="s">
        <v>5</v>
      </c>
      <c r="K549" s="4" t="s">
        <v>6</v>
      </c>
      <c r="L549" s="4">
        <v>0</v>
      </c>
      <c r="M549" s="4">
        <v>0</v>
      </c>
      <c r="N549" s="4">
        <v>33</v>
      </c>
      <c r="O549" s="4" t="s">
        <v>7</v>
      </c>
      <c r="P549" s="4" t="s">
        <v>8</v>
      </c>
      <c r="Q549" s="4">
        <f>IF(Tabela2[[#This Row],[sex]]="Female",Tabela2[[#This Row],[hours-per-week]],NA())</f>
        <v>33</v>
      </c>
      <c r="R549" s="4" t="e">
        <f>IF(Tabela2[[#This Row],[sex]]="Male",Tabela2[[#This Row],[hours-per-week]],NA())</f>
        <v>#N/A</v>
      </c>
    </row>
    <row r="550" spans="1:18">
      <c r="A550" s="3" t="s">
        <v>641</v>
      </c>
      <c r="B550" s="4">
        <v>26</v>
      </c>
      <c r="C550" s="4" t="s">
        <v>0</v>
      </c>
      <c r="D550" s="4">
        <v>39212</v>
      </c>
      <c r="E550" s="4" t="s">
        <v>28</v>
      </c>
      <c r="F550" s="4">
        <v>9</v>
      </c>
      <c r="G550" s="4" t="s">
        <v>29</v>
      </c>
      <c r="H550" s="4" t="s">
        <v>22</v>
      </c>
      <c r="I550" s="4" t="s">
        <v>32</v>
      </c>
      <c r="J550" s="4" t="s">
        <v>5</v>
      </c>
      <c r="K550" s="4" t="s">
        <v>18</v>
      </c>
      <c r="L550" s="4">
        <v>0</v>
      </c>
      <c r="M550" s="4">
        <v>0</v>
      </c>
      <c r="N550" s="4">
        <v>45</v>
      </c>
      <c r="O550" s="4" t="s">
        <v>7</v>
      </c>
      <c r="P550" s="4" t="s">
        <v>8</v>
      </c>
      <c r="Q550" s="4" t="e">
        <f>IF(Tabela2[[#This Row],[sex]]="Female",Tabela2[[#This Row],[hours-per-week]],NA())</f>
        <v>#N/A</v>
      </c>
      <c r="R550" s="4">
        <f>IF(Tabela2[[#This Row],[sex]]="Male",Tabela2[[#This Row],[hours-per-week]],NA())</f>
        <v>45</v>
      </c>
    </row>
    <row r="551" spans="1:18">
      <c r="A551" s="3" t="s">
        <v>642</v>
      </c>
      <c r="B551" s="4">
        <v>49</v>
      </c>
      <c r="C551" s="4" t="s">
        <v>0</v>
      </c>
      <c r="D551" s="4">
        <v>168211</v>
      </c>
      <c r="E551" s="4" t="s">
        <v>28</v>
      </c>
      <c r="F551" s="4">
        <v>9</v>
      </c>
      <c r="G551" s="4" t="s">
        <v>29</v>
      </c>
      <c r="H551" s="4" t="s">
        <v>55</v>
      </c>
      <c r="I551" s="4" t="s">
        <v>32</v>
      </c>
      <c r="J551" s="4" t="s">
        <v>5</v>
      </c>
      <c r="K551" s="4" t="s">
        <v>18</v>
      </c>
      <c r="L551" s="4">
        <v>0</v>
      </c>
      <c r="M551" s="4">
        <v>0</v>
      </c>
      <c r="N551" s="4">
        <v>40</v>
      </c>
      <c r="O551" s="4" t="s">
        <v>7</v>
      </c>
      <c r="P551" s="4" t="s">
        <v>19</v>
      </c>
      <c r="Q551" s="4" t="e">
        <f>IF(Tabela2[[#This Row],[sex]]="Female",Tabela2[[#This Row],[hours-per-week]],NA())</f>
        <v>#N/A</v>
      </c>
      <c r="R551" s="4">
        <f>IF(Tabela2[[#This Row],[sex]]="Male",Tabela2[[#This Row],[hours-per-week]],NA())</f>
        <v>40</v>
      </c>
    </row>
    <row r="552" spans="1:18">
      <c r="A552" s="3" t="s">
        <v>643</v>
      </c>
      <c r="B552" s="4">
        <v>25</v>
      </c>
      <c r="C552" s="4" t="s">
        <v>0</v>
      </c>
      <c r="D552" s="4">
        <v>104193</v>
      </c>
      <c r="E552" s="4" t="s">
        <v>28</v>
      </c>
      <c r="F552" s="4">
        <v>9</v>
      </c>
      <c r="G552" s="4" t="s">
        <v>2</v>
      </c>
      <c r="H552" s="4" t="s">
        <v>3</v>
      </c>
      <c r="I552" s="4" t="s">
        <v>4</v>
      </c>
      <c r="J552" s="4" t="s">
        <v>5</v>
      </c>
      <c r="K552" s="4" t="s">
        <v>6</v>
      </c>
      <c r="L552" s="4">
        <v>114</v>
      </c>
      <c r="M552" s="4">
        <v>0</v>
      </c>
      <c r="N552" s="4">
        <v>40</v>
      </c>
      <c r="O552" s="4" t="s">
        <v>7</v>
      </c>
      <c r="P552" s="4" t="s">
        <v>8</v>
      </c>
      <c r="Q552" s="4">
        <f>IF(Tabela2[[#This Row],[sex]]="Female",Tabela2[[#This Row],[hours-per-week]],NA())</f>
        <v>40</v>
      </c>
      <c r="R552" s="4" t="e">
        <f>IF(Tabela2[[#This Row],[sex]]="Male",Tabela2[[#This Row],[hours-per-week]],NA())</f>
        <v>#N/A</v>
      </c>
    </row>
    <row r="553" spans="1:18">
      <c r="A553" s="3" t="s">
        <v>644</v>
      </c>
      <c r="B553" s="4">
        <v>62</v>
      </c>
      <c r="C553" s="4" t="s">
        <v>25</v>
      </c>
      <c r="D553" s="4">
        <v>202056</v>
      </c>
      <c r="E553" s="4" t="s">
        <v>26</v>
      </c>
      <c r="F553" s="4">
        <v>13</v>
      </c>
      <c r="G553" s="4" t="s">
        <v>15</v>
      </c>
      <c r="H553" s="4" t="s">
        <v>27</v>
      </c>
      <c r="I553" s="4" t="s">
        <v>11</v>
      </c>
      <c r="J553" s="4" t="s">
        <v>5</v>
      </c>
      <c r="K553" s="4" t="s">
        <v>18</v>
      </c>
      <c r="L553" s="4">
        <v>14084</v>
      </c>
      <c r="M553" s="4">
        <v>0</v>
      </c>
      <c r="N553" s="4">
        <v>40</v>
      </c>
      <c r="O553" s="4" t="s">
        <v>7</v>
      </c>
      <c r="P553" s="4" t="s">
        <v>19</v>
      </c>
      <c r="Q553" s="4" t="e">
        <f>IF(Tabela2[[#This Row],[sex]]="Female",Tabela2[[#This Row],[hours-per-week]],NA())</f>
        <v>#N/A</v>
      </c>
      <c r="R553" s="4">
        <f>IF(Tabela2[[#This Row],[sex]]="Male",Tabela2[[#This Row],[hours-per-week]],NA())</f>
        <v>40</v>
      </c>
    </row>
    <row r="554" spans="1:18">
      <c r="A554" s="3" t="s">
        <v>645</v>
      </c>
      <c r="B554" s="4">
        <v>59</v>
      </c>
      <c r="C554" s="4" t="s">
        <v>0</v>
      </c>
      <c r="D554" s="4">
        <v>189664</v>
      </c>
      <c r="E554" s="4" t="s">
        <v>12</v>
      </c>
      <c r="F554" s="4">
        <v>10</v>
      </c>
      <c r="G554" s="4" t="s">
        <v>29</v>
      </c>
      <c r="H554" s="4" t="s">
        <v>10</v>
      </c>
      <c r="I554" s="4" t="s">
        <v>32</v>
      </c>
      <c r="J554" s="4" t="s">
        <v>5</v>
      </c>
      <c r="K554" s="4" t="s">
        <v>18</v>
      </c>
      <c r="L554" s="4">
        <v>0</v>
      </c>
      <c r="M554" s="4">
        <v>0</v>
      </c>
      <c r="N554" s="4">
        <v>40</v>
      </c>
      <c r="O554" s="4" t="s">
        <v>7</v>
      </c>
      <c r="P554" s="4" t="s">
        <v>8</v>
      </c>
      <c r="Q554" s="4" t="e">
        <f>IF(Tabela2[[#This Row],[sex]]="Female",Tabela2[[#This Row],[hours-per-week]],NA())</f>
        <v>#N/A</v>
      </c>
      <c r="R554" s="4">
        <f>IF(Tabela2[[#This Row],[sex]]="Male",Tabela2[[#This Row],[hours-per-week]],NA())</f>
        <v>40</v>
      </c>
    </row>
    <row r="555" spans="1:18">
      <c r="A555" s="3" t="s">
        <v>646</v>
      </c>
      <c r="B555" s="4">
        <v>45</v>
      </c>
      <c r="C555" s="4" t="s">
        <v>0</v>
      </c>
      <c r="D555" s="4">
        <v>262802</v>
      </c>
      <c r="E555" s="4" t="s">
        <v>26</v>
      </c>
      <c r="F555" s="4">
        <v>13</v>
      </c>
      <c r="G555" s="4" t="s">
        <v>15</v>
      </c>
      <c r="H555" s="4" t="s">
        <v>46</v>
      </c>
      <c r="I555" s="4" t="s">
        <v>35</v>
      </c>
      <c r="J555" s="4" t="s">
        <v>5</v>
      </c>
      <c r="K555" s="4" t="s">
        <v>6</v>
      </c>
      <c r="L555" s="4">
        <v>0</v>
      </c>
      <c r="M555" s="4">
        <v>0</v>
      </c>
      <c r="N555" s="4">
        <v>40</v>
      </c>
      <c r="O555" s="4" t="s">
        <v>7</v>
      </c>
      <c r="P555" s="4" t="s">
        <v>8</v>
      </c>
      <c r="Q555" s="4">
        <f>IF(Tabela2[[#This Row],[sex]]="Female",Tabela2[[#This Row],[hours-per-week]],NA())</f>
        <v>40</v>
      </c>
      <c r="R555" s="4" t="e">
        <f>IF(Tabela2[[#This Row],[sex]]="Male",Tabela2[[#This Row],[hours-per-week]],NA())</f>
        <v>#N/A</v>
      </c>
    </row>
    <row r="556" spans="1:18">
      <c r="A556" s="3" t="s">
        <v>647</v>
      </c>
      <c r="B556" s="4">
        <v>43</v>
      </c>
      <c r="C556" s="4" t="s">
        <v>0</v>
      </c>
      <c r="D556" s="4">
        <v>219424</v>
      </c>
      <c r="E556" s="4" t="s">
        <v>26</v>
      </c>
      <c r="F556" s="4">
        <v>13</v>
      </c>
      <c r="G556" s="4" t="s">
        <v>2</v>
      </c>
      <c r="H556" s="4" t="s">
        <v>46</v>
      </c>
      <c r="I556" s="4" t="s">
        <v>11</v>
      </c>
      <c r="J556" s="4" t="s">
        <v>23</v>
      </c>
      <c r="K556" s="4" t="s">
        <v>6</v>
      </c>
      <c r="L556" s="4">
        <v>0</v>
      </c>
      <c r="M556" s="4">
        <v>0</v>
      </c>
      <c r="N556" s="4">
        <v>50</v>
      </c>
      <c r="O556" s="4" t="s">
        <v>7</v>
      </c>
      <c r="P556" s="4" t="s">
        <v>19</v>
      </c>
      <c r="Q556" s="4">
        <f>IF(Tabela2[[#This Row],[sex]]="Female",Tabela2[[#This Row],[hours-per-week]],NA())</f>
        <v>50</v>
      </c>
      <c r="R556" s="4" t="e">
        <f>IF(Tabela2[[#This Row],[sex]]="Male",Tabela2[[#This Row],[hours-per-week]],NA())</f>
        <v>#N/A</v>
      </c>
    </row>
    <row r="557" spans="1:18">
      <c r="A557" s="3" t="s">
        <v>648</v>
      </c>
      <c r="B557" s="4">
        <v>36</v>
      </c>
      <c r="C557" s="4" t="s">
        <v>49</v>
      </c>
      <c r="D557" s="4">
        <v>184456</v>
      </c>
      <c r="E557" s="4" t="s">
        <v>26</v>
      </c>
      <c r="F557" s="4">
        <v>13</v>
      </c>
      <c r="G557" s="4" t="s">
        <v>2</v>
      </c>
      <c r="H557" s="4" t="s">
        <v>30</v>
      </c>
      <c r="I557" s="4" t="s">
        <v>11</v>
      </c>
      <c r="J557" s="4" t="s">
        <v>5</v>
      </c>
      <c r="K557" s="4" t="s">
        <v>18</v>
      </c>
      <c r="L557" s="4">
        <v>27828</v>
      </c>
      <c r="M557" s="4">
        <v>0</v>
      </c>
      <c r="N557" s="4">
        <v>55</v>
      </c>
      <c r="O557" s="4" t="s">
        <v>7</v>
      </c>
      <c r="P557" s="4" t="s">
        <v>19</v>
      </c>
      <c r="Q557" s="4" t="e">
        <f>IF(Tabela2[[#This Row],[sex]]="Female",Tabela2[[#This Row],[hours-per-week]],NA())</f>
        <v>#N/A</v>
      </c>
      <c r="R557" s="4">
        <f>IF(Tabela2[[#This Row],[sex]]="Male",Tabela2[[#This Row],[hours-per-week]],NA())</f>
        <v>55</v>
      </c>
    </row>
    <row r="558" spans="1:18">
      <c r="A558" s="3" t="s">
        <v>649</v>
      </c>
      <c r="B558" s="4">
        <v>49</v>
      </c>
      <c r="C558" s="4" t="s">
        <v>0</v>
      </c>
      <c r="D558" s="4">
        <v>207677</v>
      </c>
      <c r="E558" s="4" t="s">
        <v>57</v>
      </c>
      <c r="F558" s="4">
        <v>4</v>
      </c>
      <c r="G558" s="4" t="s">
        <v>15</v>
      </c>
      <c r="H558" s="4" t="s">
        <v>16</v>
      </c>
      <c r="I558" s="4" t="s">
        <v>11</v>
      </c>
      <c r="J558" s="4" t="s">
        <v>5</v>
      </c>
      <c r="K558" s="4" t="s">
        <v>18</v>
      </c>
      <c r="L558" s="4">
        <v>0</v>
      </c>
      <c r="M558" s="4">
        <v>0</v>
      </c>
      <c r="N558" s="4">
        <v>70</v>
      </c>
      <c r="O558" s="4" t="s">
        <v>7</v>
      </c>
      <c r="P558" s="4" t="s">
        <v>8</v>
      </c>
      <c r="Q558" s="4" t="e">
        <f>IF(Tabela2[[#This Row],[sex]]="Female",Tabela2[[#This Row],[hours-per-week]],NA())</f>
        <v>#N/A</v>
      </c>
      <c r="R558" s="4">
        <f>IF(Tabela2[[#This Row],[sex]]="Male",Tabela2[[#This Row],[hours-per-week]],NA())</f>
        <v>70</v>
      </c>
    </row>
    <row r="559" spans="1:18">
      <c r="A559" s="3" t="s">
        <v>650</v>
      </c>
      <c r="B559" s="4">
        <v>61</v>
      </c>
      <c r="C559" s="4" t="s">
        <v>37</v>
      </c>
      <c r="D559" s="4">
        <v>60641</v>
      </c>
      <c r="E559" s="4" t="s">
        <v>26</v>
      </c>
      <c r="F559" s="4">
        <v>13</v>
      </c>
      <c r="G559" s="4" t="s">
        <v>2</v>
      </c>
      <c r="H559" s="4" t="s">
        <v>37</v>
      </c>
      <c r="I559" s="4" t="s">
        <v>11</v>
      </c>
      <c r="J559" s="4" t="s">
        <v>5</v>
      </c>
      <c r="K559" s="4" t="s">
        <v>6</v>
      </c>
      <c r="L559" s="4">
        <v>0</v>
      </c>
      <c r="M559" s="4">
        <v>0</v>
      </c>
      <c r="N559" s="4">
        <v>45</v>
      </c>
      <c r="O559" s="4" t="s">
        <v>7</v>
      </c>
      <c r="P559" s="4" t="s">
        <v>8</v>
      </c>
      <c r="Q559" s="4">
        <f>IF(Tabela2[[#This Row],[sex]]="Female",Tabela2[[#This Row],[hours-per-week]],NA())</f>
        <v>45</v>
      </c>
      <c r="R559" s="4" t="e">
        <f>IF(Tabela2[[#This Row],[sex]]="Male",Tabela2[[#This Row],[hours-per-week]],NA())</f>
        <v>#N/A</v>
      </c>
    </row>
    <row r="560" spans="1:18">
      <c r="A560" s="3" t="s">
        <v>651</v>
      </c>
      <c r="B560" s="4">
        <v>32</v>
      </c>
      <c r="C560" s="4" t="s">
        <v>20</v>
      </c>
      <c r="D560" s="4">
        <v>19302</v>
      </c>
      <c r="E560" s="4" t="s">
        <v>9</v>
      </c>
      <c r="F560" s="4">
        <v>12</v>
      </c>
      <c r="G560" s="4" t="s">
        <v>29</v>
      </c>
      <c r="H560" s="4" t="s">
        <v>55</v>
      </c>
      <c r="I560" s="4" t="s">
        <v>32</v>
      </c>
      <c r="J560" s="4" t="s">
        <v>5</v>
      </c>
      <c r="K560" s="4" t="s">
        <v>18</v>
      </c>
      <c r="L560" s="4">
        <v>0</v>
      </c>
      <c r="M560" s="4">
        <v>0</v>
      </c>
      <c r="N560" s="4">
        <v>56</v>
      </c>
      <c r="O560" s="4" t="s">
        <v>71</v>
      </c>
      <c r="P560" s="4" t="s">
        <v>19</v>
      </c>
      <c r="Q560" s="4" t="e">
        <f>IF(Tabela2[[#This Row],[sex]]="Female",Tabela2[[#This Row],[hours-per-week]],NA())</f>
        <v>#N/A</v>
      </c>
      <c r="R560" s="4">
        <f>IF(Tabela2[[#This Row],[sex]]="Male",Tabela2[[#This Row],[hours-per-week]],NA())</f>
        <v>56</v>
      </c>
    </row>
    <row r="561" spans="1:18">
      <c r="A561" s="3" t="s">
        <v>652</v>
      </c>
      <c r="B561" s="4">
        <v>30</v>
      </c>
      <c r="C561" s="4" t="s">
        <v>0</v>
      </c>
      <c r="D561" s="4">
        <v>208668</v>
      </c>
      <c r="E561" s="4" t="s">
        <v>9</v>
      </c>
      <c r="F561" s="4">
        <v>12</v>
      </c>
      <c r="G561" s="4" t="s">
        <v>2</v>
      </c>
      <c r="H561" s="4" t="s">
        <v>27</v>
      </c>
      <c r="I561" s="4" t="s">
        <v>11</v>
      </c>
      <c r="J561" s="4" t="s">
        <v>23</v>
      </c>
      <c r="K561" s="4" t="s">
        <v>6</v>
      </c>
      <c r="L561" s="4">
        <v>0</v>
      </c>
      <c r="M561" s="4">
        <v>0</v>
      </c>
      <c r="N561" s="4">
        <v>25</v>
      </c>
      <c r="O561" s="4" t="s">
        <v>7</v>
      </c>
      <c r="P561" s="4" t="s">
        <v>8</v>
      </c>
      <c r="Q561" s="4">
        <f>IF(Tabela2[[#This Row],[sex]]="Female",Tabela2[[#This Row],[hours-per-week]],NA())</f>
        <v>25</v>
      </c>
      <c r="R561" s="4" t="e">
        <f>IF(Tabela2[[#This Row],[sex]]="Male",Tabela2[[#This Row],[hours-per-week]],NA())</f>
        <v>#N/A</v>
      </c>
    </row>
    <row r="562" spans="1:18">
      <c r="A562" s="3" t="s">
        <v>653</v>
      </c>
      <c r="B562" s="4">
        <v>22</v>
      </c>
      <c r="C562" s="4" t="s">
        <v>0</v>
      </c>
      <c r="D562" s="4">
        <v>500720</v>
      </c>
      <c r="E562" s="4" t="s">
        <v>28</v>
      </c>
      <c r="F562" s="4">
        <v>9</v>
      </c>
      <c r="G562" s="4" t="s">
        <v>2</v>
      </c>
      <c r="H562" s="4" t="s">
        <v>33</v>
      </c>
      <c r="I562" s="4" t="s">
        <v>4</v>
      </c>
      <c r="J562" s="4" t="s">
        <v>5</v>
      </c>
      <c r="K562" s="4" t="s">
        <v>6</v>
      </c>
      <c r="L562" s="4">
        <v>0</v>
      </c>
      <c r="M562" s="4">
        <v>0</v>
      </c>
      <c r="N562" s="4">
        <v>40</v>
      </c>
      <c r="O562" s="4" t="s">
        <v>54</v>
      </c>
      <c r="P562" s="4" t="s">
        <v>8</v>
      </c>
      <c r="Q562" s="4">
        <f>IF(Tabela2[[#This Row],[sex]]="Female",Tabela2[[#This Row],[hours-per-week]],NA())</f>
        <v>40</v>
      </c>
      <c r="R562" s="4" t="e">
        <f>IF(Tabela2[[#This Row],[sex]]="Male",Tabela2[[#This Row],[hours-per-week]],NA())</f>
        <v>#N/A</v>
      </c>
    </row>
    <row r="563" spans="1:18">
      <c r="A563" s="3" t="s">
        <v>654</v>
      </c>
      <c r="B563" s="4">
        <v>41</v>
      </c>
      <c r="C563" s="4" t="s">
        <v>0</v>
      </c>
      <c r="D563" s="4">
        <v>222504</v>
      </c>
      <c r="E563" s="4" t="s">
        <v>50</v>
      </c>
      <c r="F563" s="4">
        <v>15</v>
      </c>
      <c r="G563" s="4" t="s">
        <v>15</v>
      </c>
      <c r="H563" s="4" t="s">
        <v>27</v>
      </c>
      <c r="I563" s="4" t="s">
        <v>35</v>
      </c>
      <c r="J563" s="4" t="s">
        <v>5</v>
      </c>
      <c r="K563" s="4" t="s">
        <v>6</v>
      </c>
      <c r="L563" s="4">
        <v>0</v>
      </c>
      <c r="M563" s="4">
        <v>0</v>
      </c>
      <c r="N563" s="4">
        <v>38</v>
      </c>
      <c r="O563" s="4" t="s">
        <v>7</v>
      </c>
      <c r="P563" s="4" t="s">
        <v>8</v>
      </c>
      <c r="Q563" s="4">
        <f>IF(Tabela2[[#This Row],[sex]]="Female",Tabela2[[#This Row],[hours-per-week]],NA())</f>
        <v>38</v>
      </c>
      <c r="R563" s="4" t="e">
        <f>IF(Tabela2[[#This Row],[sex]]="Male",Tabela2[[#This Row],[hours-per-week]],NA())</f>
        <v>#N/A</v>
      </c>
    </row>
    <row r="564" spans="1:18">
      <c r="A564" s="3" t="s">
        <v>655</v>
      </c>
      <c r="B564" s="4">
        <v>60</v>
      </c>
      <c r="C564" s="4" t="s">
        <v>0</v>
      </c>
      <c r="D564" s="4">
        <v>320376</v>
      </c>
      <c r="E564" s="4" t="s">
        <v>57</v>
      </c>
      <c r="F564" s="4">
        <v>4</v>
      </c>
      <c r="G564" s="4" t="s">
        <v>29</v>
      </c>
      <c r="H564" s="4" t="s">
        <v>22</v>
      </c>
      <c r="I564" s="4" t="s">
        <v>31</v>
      </c>
      <c r="J564" s="4" t="s">
        <v>5</v>
      </c>
      <c r="K564" s="4" t="s">
        <v>6</v>
      </c>
      <c r="L564" s="4">
        <v>0</v>
      </c>
      <c r="M564" s="4">
        <v>0</v>
      </c>
      <c r="N564" s="4">
        <v>40</v>
      </c>
      <c r="O564" s="4" t="s">
        <v>7</v>
      </c>
      <c r="P564" s="4" t="s">
        <v>8</v>
      </c>
      <c r="Q564" s="4">
        <f>IF(Tabela2[[#This Row],[sex]]="Female",Tabela2[[#This Row],[hours-per-week]],NA())</f>
        <v>40</v>
      </c>
      <c r="R564" s="4" t="e">
        <f>IF(Tabela2[[#This Row],[sex]]="Male",Tabela2[[#This Row],[hours-per-week]],NA())</f>
        <v>#N/A</v>
      </c>
    </row>
    <row r="565" spans="1:18">
      <c r="A565" s="3" t="s">
        <v>656</v>
      </c>
      <c r="B565" s="4">
        <v>28</v>
      </c>
      <c r="C565" s="4" t="s">
        <v>0</v>
      </c>
      <c r="D565" s="4">
        <v>148429</v>
      </c>
      <c r="E565" s="4" t="s">
        <v>28</v>
      </c>
      <c r="F565" s="4">
        <v>9</v>
      </c>
      <c r="G565" s="4" t="s">
        <v>29</v>
      </c>
      <c r="H565" s="4" t="s">
        <v>22</v>
      </c>
      <c r="I565" s="4" t="s">
        <v>32</v>
      </c>
      <c r="J565" s="4" t="s">
        <v>5</v>
      </c>
      <c r="K565" s="4" t="s">
        <v>18</v>
      </c>
      <c r="L565" s="4">
        <v>0</v>
      </c>
      <c r="M565" s="4">
        <v>0</v>
      </c>
      <c r="N565" s="4">
        <v>40</v>
      </c>
      <c r="O565" s="4" t="s">
        <v>7</v>
      </c>
      <c r="P565" s="4" t="s">
        <v>8</v>
      </c>
      <c r="Q565" s="4" t="e">
        <f>IF(Tabela2[[#This Row],[sex]]="Female",Tabela2[[#This Row],[hours-per-week]],NA())</f>
        <v>#N/A</v>
      </c>
      <c r="R565" s="4">
        <f>IF(Tabela2[[#This Row],[sex]]="Male",Tabela2[[#This Row],[hours-per-week]],NA())</f>
        <v>40</v>
      </c>
    </row>
    <row r="566" spans="1:18">
      <c r="A566" s="3" t="s">
        <v>657</v>
      </c>
      <c r="B566" s="4">
        <v>66</v>
      </c>
      <c r="C566" s="4" t="s">
        <v>37</v>
      </c>
      <c r="D566" s="4">
        <v>175891</v>
      </c>
      <c r="E566" s="4" t="s">
        <v>64</v>
      </c>
      <c r="F566" s="4">
        <v>5</v>
      </c>
      <c r="G566" s="4" t="s">
        <v>29</v>
      </c>
      <c r="H566" s="4" t="s">
        <v>37</v>
      </c>
      <c r="I566" s="4" t="s">
        <v>32</v>
      </c>
      <c r="J566" s="4" t="s">
        <v>5</v>
      </c>
      <c r="K566" s="4" t="s">
        <v>18</v>
      </c>
      <c r="L566" s="4">
        <v>0</v>
      </c>
      <c r="M566" s="4">
        <v>0</v>
      </c>
      <c r="N566" s="4">
        <v>40</v>
      </c>
      <c r="O566" s="4" t="s">
        <v>7</v>
      </c>
      <c r="P566" s="4" t="s">
        <v>8</v>
      </c>
      <c r="Q566" s="4" t="e">
        <f>IF(Tabela2[[#This Row],[sex]]="Female",Tabela2[[#This Row],[hours-per-week]],NA())</f>
        <v>#N/A</v>
      </c>
      <c r="R566" s="4">
        <f>IF(Tabela2[[#This Row],[sex]]="Male",Tabela2[[#This Row],[hours-per-week]],NA())</f>
        <v>40</v>
      </c>
    </row>
    <row r="567" spans="1:18">
      <c r="A567" s="3" t="s">
        <v>658</v>
      </c>
      <c r="B567" s="4">
        <v>51</v>
      </c>
      <c r="C567" s="4" t="s">
        <v>0</v>
      </c>
      <c r="D567" s="4">
        <v>128272</v>
      </c>
      <c r="E567" s="4" t="s">
        <v>12</v>
      </c>
      <c r="F567" s="4">
        <v>10</v>
      </c>
      <c r="G567" s="4" t="s">
        <v>29</v>
      </c>
      <c r="H567" s="4" t="s">
        <v>46</v>
      </c>
      <c r="I567" s="4" t="s">
        <v>32</v>
      </c>
      <c r="J567" s="4" t="s">
        <v>5</v>
      </c>
      <c r="K567" s="4" t="s">
        <v>18</v>
      </c>
      <c r="L567" s="4">
        <v>0</v>
      </c>
      <c r="M567" s="4">
        <v>0</v>
      </c>
      <c r="N567" s="4">
        <v>40</v>
      </c>
      <c r="O567" s="4" t="s">
        <v>7</v>
      </c>
      <c r="P567" s="4" t="s">
        <v>8</v>
      </c>
      <c r="Q567" s="4" t="e">
        <f>IF(Tabela2[[#This Row],[sex]]="Female",Tabela2[[#This Row],[hours-per-week]],NA())</f>
        <v>#N/A</v>
      </c>
      <c r="R567" s="4">
        <f>IF(Tabela2[[#This Row],[sex]]="Male",Tabela2[[#This Row],[hours-per-week]],NA())</f>
        <v>40</v>
      </c>
    </row>
    <row r="568" spans="1:18">
      <c r="A568" s="3" t="s">
        <v>659</v>
      </c>
      <c r="B568" s="4">
        <v>46</v>
      </c>
      <c r="C568" s="4" t="s">
        <v>0</v>
      </c>
      <c r="D568" s="4">
        <v>216414</v>
      </c>
      <c r="E568" s="4" t="s">
        <v>44</v>
      </c>
      <c r="F568" s="4">
        <v>11</v>
      </c>
      <c r="G568" s="4" t="s">
        <v>56</v>
      </c>
      <c r="H568" s="4" t="s">
        <v>16</v>
      </c>
      <c r="I568" s="4" t="s">
        <v>35</v>
      </c>
      <c r="J568" s="4" t="s">
        <v>5</v>
      </c>
      <c r="K568" s="4" t="s">
        <v>18</v>
      </c>
      <c r="L568" s="4">
        <v>0</v>
      </c>
      <c r="M568" s="4">
        <v>0</v>
      </c>
      <c r="N568" s="4">
        <v>40</v>
      </c>
      <c r="O568" s="4" t="s">
        <v>7</v>
      </c>
      <c r="P568" s="4" t="s">
        <v>8</v>
      </c>
      <c r="Q568" s="4" t="e">
        <f>IF(Tabela2[[#This Row],[sex]]="Female",Tabela2[[#This Row],[hours-per-week]],NA())</f>
        <v>#N/A</v>
      </c>
      <c r="R568" s="4">
        <f>IF(Tabela2[[#This Row],[sex]]="Male",Tabela2[[#This Row],[hours-per-week]],NA())</f>
        <v>40</v>
      </c>
    </row>
    <row r="569" spans="1:18">
      <c r="A569" s="3" t="s">
        <v>660</v>
      </c>
      <c r="B569" s="4">
        <v>29</v>
      </c>
      <c r="C569" s="4" t="s">
        <v>0</v>
      </c>
      <c r="D569" s="4">
        <v>144784</v>
      </c>
      <c r="E569" s="4" t="s">
        <v>28</v>
      </c>
      <c r="F569" s="4">
        <v>9</v>
      </c>
      <c r="G569" s="4" t="s">
        <v>2</v>
      </c>
      <c r="H569" s="4" t="s">
        <v>3</v>
      </c>
      <c r="I569" s="4" t="s">
        <v>11</v>
      </c>
      <c r="J569" s="4" t="s">
        <v>23</v>
      </c>
      <c r="K569" s="4" t="s">
        <v>6</v>
      </c>
      <c r="L569" s="4">
        <v>0</v>
      </c>
      <c r="M569" s="4">
        <v>0</v>
      </c>
      <c r="N569" s="4">
        <v>40</v>
      </c>
      <c r="O569" s="4" t="s">
        <v>7</v>
      </c>
      <c r="P569" s="4" t="s">
        <v>8</v>
      </c>
      <c r="Q569" s="4">
        <f>IF(Tabela2[[#This Row],[sex]]="Female",Tabela2[[#This Row],[hours-per-week]],NA())</f>
        <v>40</v>
      </c>
      <c r="R569" s="4" t="e">
        <f>IF(Tabela2[[#This Row],[sex]]="Male",Tabela2[[#This Row],[hours-per-week]],NA())</f>
        <v>#N/A</v>
      </c>
    </row>
    <row r="570" spans="1:18">
      <c r="A570" s="3" t="s">
        <v>661</v>
      </c>
      <c r="B570" s="4">
        <v>32</v>
      </c>
      <c r="C570" s="4" t="s">
        <v>0</v>
      </c>
      <c r="D570" s="4">
        <v>116055</v>
      </c>
      <c r="E570" s="4" t="s">
        <v>28</v>
      </c>
      <c r="F570" s="4">
        <v>9</v>
      </c>
      <c r="G570" s="4" t="s">
        <v>2</v>
      </c>
      <c r="H570" s="4" t="s">
        <v>33</v>
      </c>
      <c r="I570" s="4" t="s">
        <v>35</v>
      </c>
      <c r="J570" s="4" t="s">
        <v>23</v>
      </c>
      <c r="K570" s="4" t="s">
        <v>6</v>
      </c>
      <c r="L570" s="4">
        <v>2977</v>
      </c>
      <c r="M570" s="4">
        <v>0</v>
      </c>
      <c r="N570" s="4">
        <v>35</v>
      </c>
      <c r="O570" s="4" t="s">
        <v>7</v>
      </c>
      <c r="P570" s="4" t="s">
        <v>8</v>
      </c>
      <c r="Q570" s="4">
        <f>IF(Tabela2[[#This Row],[sex]]="Female",Tabela2[[#This Row],[hours-per-week]],NA())</f>
        <v>35</v>
      </c>
      <c r="R570" s="4" t="e">
        <f>IF(Tabela2[[#This Row],[sex]]="Male",Tabela2[[#This Row],[hours-per-week]],NA())</f>
        <v>#N/A</v>
      </c>
    </row>
    <row r="571" spans="1:18">
      <c r="A571" s="3" t="s">
        <v>662</v>
      </c>
      <c r="B571" s="4">
        <v>25</v>
      </c>
      <c r="C571" s="4" t="s">
        <v>0</v>
      </c>
      <c r="D571" s="4">
        <v>193787</v>
      </c>
      <c r="E571" s="4" t="s">
        <v>12</v>
      </c>
      <c r="F571" s="4">
        <v>10</v>
      </c>
      <c r="G571" s="4" t="s">
        <v>2</v>
      </c>
      <c r="H571" s="4" t="s">
        <v>22</v>
      </c>
      <c r="I571" s="4" t="s">
        <v>4</v>
      </c>
      <c r="J571" s="4" t="s">
        <v>5</v>
      </c>
      <c r="K571" s="4" t="s">
        <v>6</v>
      </c>
      <c r="L571" s="4">
        <v>0</v>
      </c>
      <c r="M571" s="4">
        <v>0</v>
      </c>
      <c r="N571" s="4">
        <v>50</v>
      </c>
      <c r="O571" s="4" t="s">
        <v>7</v>
      </c>
      <c r="P571" s="4" t="s">
        <v>8</v>
      </c>
      <c r="Q571" s="4">
        <f>IF(Tabela2[[#This Row],[sex]]="Female",Tabela2[[#This Row],[hours-per-week]],NA())</f>
        <v>50</v>
      </c>
      <c r="R571" s="4" t="e">
        <f>IF(Tabela2[[#This Row],[sex]]="Male",Tabela2[[#This Row],[hours-per-week]],NA())</f>
        <v>#N/A</v>
      </c>
    </row>
    <row r="572" spans="1:18">
      <c r="A572" s="3" t="s">
        <v>663</v>
      </c>
      <c r="B572" s="4">
        <v>27</v>
      </c>
      <c r="C572" s="4" t="s">
        <v>0</v>
      </c>
      <c r="D572" s="4">
        <v>113635</v>
      </c>
      <c r="E572" s="4" t="s">
        <v>26</v>
      </c>
      <c r="F572" s="4">
        <v>13</v>
      </c>
      <c r="G572" s="4" t="s">
        <v>2</v>
      </c>
      <c r="H572" s="4" t="s">
        <v>3</v>
      </c>
      <c r="I572" s="4" t="s">
        <v>11</v>
      </c>
      <c r="J572" s="4" t="s">
        <v>5</v>
      </c>
      <c r="K572" s="4" t="s">
        <v>18</v>
      </c>
      <c r="L572" s="4">
        <v>0</v>
      </c>
      <c r="M572" s="4">
        <v>0</v>
      </c>
      <c r="N572" s="4">
        <v>35</v>
      </c>
      <c r="O572" s="4" t="s">
        <v>7</v>
      </c>
      <c r="P572" s="4" t="s">
        <v>8</v>
      </c>
      <c r="Q572" s="4" t="e">
        <f>IF(Tabela2[[#This Row],[sex]]="Female",Tabela2[[#This Row],[hours-per-week]],NA())</f>
        <v>#N/A</v>
      </c>
      <c r="R572" s="4">
        <f>IF(Tabela2[[#This Row],[sex]]="Male",Tabela2[[#This Row],[hours-per-week]],NA())</f>
        <v>35</v>
      </c>
    </row>
    <row r="573" spans="1:18">
      <c r="A573" s="3" t="s">
        <v>664</v>
      </c>
      <c r="B573" s="4">
        <v>24</v>
      </c>
      <c r="C573" s="4" t="s">
        <v>0</v>
      </c>
      <c r="D573" s="4">
        <v>417668</v>
      </c>
      <c r="E573" s="4" t="s">
        <v>26</v>
      </c>
      <c r="F573" s="4">
        <v>13</v>
      </c>
      <c r="G573" s="4" t="s">
        <v>2</v>
      </c>
      <c r="H573" s="4" t="s">
        <v>27</v>
      </c>
      <c r="I573" s="4" t="s">
        <v>4</v>
      </c>
      <c r="J573" s="4" t="s">
        <v>5</v>
      </c>
      <c r="K573" s="4" t="s">
        <v>18</v>
      </c>
      <c r="L573" s="4">
        <v>0</v>
      </c>
      <c r="M573" s="4">
        <v>0</v>
      </c>
      <c r="N573" s="4">
        <v>30</v>
      </c>
      <c r="O573" s="4" t="s">
        <v>7</v>
      </c>
      <c r="P573" s="4" t="s">
        <v>8</v>
      </c>
      <c r="Q573" s="4" t="e">
        <f>IF(Tabela2[[#This Row],[sex]]="Female",Tabela2[[#This Row],[hours-per-week]],NA())</f>
        <v>#N/A</v>
      </c>
      <c r="R573" s="4">
        <f>IF(Tabela2[[#This Row],[sex]]="Male",Tabela2[[#This Row],[hours-per-week]],NA())</f>
        <v>30</v>
      </c>
    </row>
    <row r="574" spans="1:18">
      <c r="A574" s="3" t="s">
        <v>665</v>
      </c>
      <c r="B574" s="4">
        <v>51</v>
      </c>
      <c r="C574" s="4" t="s">
        <v>0</v>
      </c>
      <c r="D574" s="4">
        <v>103529</v>
      </c>
      <c r="E574" s="4" t="s">
        <v>1</v>
      </c>
      <c r="F574" s="4">
        <v>7</v>
      </c>
      <c r="G574" s="4" t="s">
        <v>15</v>
      </c>
      <c r="H574" s="4" t="s">
        <v>3</v>
      </c>
      <c r="I574" s="4" t="s">
        <v>35</v>
      </c>
      <c r="J574" s="4" t="s">
        <v>23</v>
      </c>
      <c r="K574" s="4" t="s">
        <v>6</v>
      </c>
      <c r="L574" s="4">
        <v>0</v>
      </c>
      <c r="M574" s="4">
        <v>0</v>
      </c>
      <c r="N574" s="4">
        <v>30</v>
      </c>
      <c r="O574" s="4" t="s">
        <v>7</v>
      </c>
      <c r="P574" s="4" t="s">
        <v>8</v>
      </c>
      <c r="Q574" s="4">
        <f>IF(Tabela2[[#This Row],[sex]]="Female",Tabela2[[#This Row],[hours-per-week]],NA())</f>
        <v>30</v>
      </c>
      <c r="R574" s="4" t="e">
        <f>IF(Tabela2[[#This Row],[sex]]="Male",Tabela2[[#This Row],[hours-per-week]],NA())</f>
        <v>#N/A</v>
      </c>
    </row>
    <row r="575" spans="1:18">
      <c r="A575" s="3" t="s">
        <v>666</v>
      </c>
      <c r="B575" s="4">
        <v>22</v>
      </c>
      <c r="C575" s="4" t="s">
        <v>0</v>
      </c>
      <c r="D575" s="4">
        <v>163911</v>
      </c>
      <c r="E575" s="4" t="s">
        <v>12</v>
      </c>
      <c r="F575" s="4">
        <v>10</v>
      </c>
      <c r="G575" s="4" t="s">
        <v>2</v>
      </c>
      <c r="H575" s="4" t="s">
        <v>33</v>
      </c>
      <c r="I575" s="4" t="s">
        <v>4</v>
      </c>
      <c r="J575" s="4" t="s">
        <v>5</v>
      </c>
      <c r="K575" s="4" t="s">
        <v>6</v>
      </c>
      <c r="L575" s="4">
        <v>0</v>
      </c>
      <c r="M575" s="4">
        <v>0</v>
      </c>
      <c r="N575" s="4">
        <v>20</v>
      </c>
      <c r="O575" s="4" t="s">
        <v>7</v>
      </c>
      <c r="P575" s="4" t="s">
        <v>8</v>
      </c>
      <c r="Q575" s="4">
        <f>IF(Tabela2[[#This Row],[sex]]="Female",Tabela2[[#This Row],[hours-per-week]],NA())</f>
        <v>20</v>
      </c>
      <c r="R575" s="4" t="e">
        <f>IF(Tabela2[[#This Row],[sex]]="Male",Tabela2[[#This Row],[hours-per-week]],NA())</f>
        <v>#N/A</v>
      </c>
    </row>
    <row r="576" spans="1:18">
      <c r="A576" s="3" t="s">
        <v>667</v>
      </c>
      <c r="B576" s="4">
        <v>60</v>
      </c>
      <c r="C576" s="4" t="s">
        <v>20</v>
      </c>
      <c r="D576" s="4">
        <v>101110</v>
      </c>
      <c r="E576" s="4" t="s">
        <v>44</v>
      </c>
      <c r="F576" s="4">
        <v>11</v>
      </c>
      <c r="G576" s="4" t="s">
        <v>15</v>
      </c>
      <c r="H576" s="4" t="s">
        <v>27</v>
      </c>
      <c r="I576" s="4" t="s">
        <v>35</v>
      </c>
      <c r="J576" s="4" t="s">
        <v>5</v>
      </c>
      <c r="K576" s="4" t="s">
        <v>18</v>
      </c>
      <c r="L576" s="4">
        <v>0</v>
      </c>
      <c r="M576" s="4">
        <v>0</v>
      </c>
      <c r="N576" s="4">
        <v>40</v>
      </c>
      <c r="O576" s="4" t="s">
        <v>7</v>
      </c>
      <c r="P576" s="4" t="s">
        <v>19</v>
      </c>
      <c r="Q576" s="4" t="e">
        <f>IF(Tabela2[[#This Row],[sex]]="Female",Tabela2[[#This Row],[hours-per-week]],NA())</f>
        <v>#N/A</v>
      </c>
      <c r="R576" s="4">
        <f>IF(Tabela2[[#This Row],[sex]]="Male",Tabela2[[#This Row],[hours-per-week]],NA())</f>
        <v>40</v>
      </c>
    </row>
    <row r="577" spans="1:18">
      <c r="A577" s="3" t="s">
        <v>668</v>
      </c>
      <c r="B577" s="4">
        <v>38</v>
      </c>
      <c r="C577" s="4" t="s">
        <v>20</v>
      </c>
      <c r="D577" s="4">
        <v>73715</v>
      </c>
      <c r="E577" s="4" t="s">
        <v>12</v>
      </c>
      <c r="F577" s="4">
        <v>10</v>
      </c>
      <c r="G577" s="4" t="s">
        <v>29</v>
      </c>
      <c r="H577" s="4" t="s">
        <v>55</v>
      </c>
      <c r="I577" s="4" t="s">
        <v>32</v>
      </c>
      <c r="J577" s="4" t="s">
        <v>5</v>
      </c>
      <c r="K577" s="4" t="s">
        <v>18</v>
      </c>
      <c r="L577" s="4">
        <v>0</v>
      </c>
      <c r="M577" s="4">
        <v>0</v>
      </c>
      <c r="N577" s="4">
        <v>60</v>
      </c>
      <c r="O577" s="4" t="s">
        <v>7</v>
      </c>
      <c r="P577" s="4" t="s">
        <v>19</v>
      </c>
      <c r="Q577" s="4" t="e">
        <f>IF(Tabela2[[#This Row],[sex]]="Female",Tabela2[[#This Row],[hours-per-week]],NA())</f>
        <v>#N/A</v>
      </c>
      <c r="R577" s="4">
        <f>IF(Tabela2[[#This Row],[sex]]="Male",Tabela2[[#This Row],[hours-per-week]],NA())</f>
        <v>60</v>
      </c>
    </row>
    <row r="578" spans="1:18">
      <c r="A578" s="3" t="s">
        <v>669</v>
      </c>
      <c r="B578" s="4">
        <v>49</v>
      </c>
      <c r="C578" s="4" t="s">
        <v>0</v>
      </c>
      <c r="D578" s="4">
        <v>250733</v>
      </c>
      <c r="E578" s="4" t="s">
        <v>28</v>
      </c>
      <c r="F578" s="4">
        <v>9</v>
      </c>
      <c r="G578" s="4" t="s">
        <v>29</v>
      </c>
      <c r="H578" s="4" t="s">
        <v>16</v>
      </c>
      <c r="I578" s="4" t="s">
        <v>32</v>
      </c>
      <c r="J578" s="4" t="s">
        <v>5</v>
      </c>
      <c r="K578" s="4" t="s">
        <v>18</v>
      </c>
      <c r="L578" s="4">
        <v>0</v>
      </c>
      <c r="M578" s="4">
        <v>0</v>
      </c>
      <c r="N578" s="4">
        <v>46</v>
      </c>
      <c r="O578" s="4" t="s">
        <v>7</v>
      </c>
      <c r="P578" s="4" t="s">
        <v>8</v>
      </c>
      <c r="Q578" s="4" t="e">
        <f>IF(Tabela2[[#This Row],[sex]]="Female",Tabela2[[#This Row],[hours-per-week]],NA())</f>
        <v>#N/A</v>
      </c>
      <c r="R578" s="4">
        <f>IF(Tabela2[[#This Row],[sex]]="Male",Tabela2[[#This Row],[hours-per-week]],NA())</f>
        <v>46</v>
      </c>
    </row>
    <row r="579" spans="1:18">
      <c r="A579" s="3" t="s">
        <v>670</v>
      </c>
      <c r="B579" s="4">
        <v>50</v>
      </c>
      <c r="C579" s="4" t="s">
        <v>40</v>
      </c>
      <c r="D579" s="4">
        <v>42402</v>
      </c>
      <c r="E579" s="4" t="s">
        <v>50</v>
      </c>
      <c r="F579" s="4">
        <v>15</v>
      </c>
      <c r="G579" s="4" t="s">
        <v>29</v>
      </c>
      <c r="H579" s="4" t="s">
        <v>27</v>
      </c>
      <c r="I579" s="4" t="s">
        <v>32</v>
      </c>
      <c r="J579" s="4" t="s">
        <v>5</v>
      </c>
      <c r="K579" s="4" t="s">
        <v>18</v>
      </c>
      <c r="L579" s="4">
        <v>0</v>
      </c>
      <c r="M579" s="4">
        <v>2415</v>
      </c>
      <c r="N579" s="4">
        <v>30</v>
      </c>
      <c r="O579" s="4" t="s">
        <v>7</v>
      </c>
      <c r="P579" s="4" t="s">
        <v>19</v>
      </c>
      <c r="Q579" s="4" t="e">
        <f>IF(Tabela2[[#This Row],[sex]]="Female",Tabela2[[#This Row],[hours-per-week]],NA())</f>
        <v>#N/A</v>
      </c>
      <c r="R579" s="4">
        <f>IF(Tabela2[[#This Row],[sex]]="Male",Tabela2[[#This Row],[hours-per-week]],NA())</f>
        <v>30</v>
      </c>
    </row>
    <row r="580" spans="1:18">
      <c r="A580" s="3" t="s">
        <v>671</v>
      </c>
      <c r="B580" s="4">
        <v>47</v>
      </c>
      <c r="C580" s="4" t="s">
        <v>0</v>
      </c>
      <c r="D580" s="4">
        <v>144351</v>
      </c>
      <c r="E580" s="4" t="s">
        <v>28</v>
      </c>
      <c r="F580" s="4">
        <v>9</v>
      </c>
      <c r="G580" s="4" t="s">
        <v>15</v>
      </c>
      <c r="H580" s="4" t="s">
        <v>16</v>
      </c>
      <c r="I580" s="4" t="s">
        <v>35</v>
      </c>
      <c r="J580" s="4" t="s">
        <v>5</v>
      </c>
      <c r="K580" s="4" t="s">
        <v>18</v>
      </c>
      <c r="L580" s="4">
        <v>0</v>
      </c>
      <c r="M580" s="4">
        <v>625</v>
      </c>
      <c r="N580" s="4">
        <v>40</v>
      </c>
      <c r="O580" s="4" t="s">
        <v>7</v>
      </c>
      <c r="P580" s="4" t="s">
        <v>8</v>
      </c>
      <c r="Q580" s="4" t="e">
        <f>IF(Tabela2[[#This Row],[sex]]="Female",Tabela2[[#This Row],[hours-per-week]],NA())</f>
        <v>#N/A</v>
      </c>
      <c r="R580" s="4">
        <f>IF(Tabela2[[#This Row],[sex]]="Male",Tabela2[[#This Row],[hours-per-week]],NA())</f>
        <v>40</v>
      </c>
    </row>
    <row r="581" spans="1:18">
      <c r="A581" s="3" t="s">
        <v>672</v>
      </c>
      <c r="B581" s="4">
        <v>80</v>
      </c>
      <c r="C581" s="4" t="s">
        <v>40</v>
      </c>
      <c r="D581" s="4">
        <v>225892</v>
      </c>
      <c r="E581" s="4" t="s">
        <v>28</v>
      </c>
      <c r="F581" s="4">
        <v>9</v>
      </c>
      <c r="G581" s="4" t="s">
        <v>29</v>
      </c>
      <c r="H581" s="4" t="s">
        <v>3</v>
      </c>
      <c r="I581" s="4" t="s">
        <v>32</v>
      </c>
      <c r="J581" s="4" t="s">
        <v>5</v>
      </c>
      <c r="K581" s="4" t="s">
        <v>18</v>
      </c>
      <c r="L581" s="4">
        <v>1409</v>
      </c>
      <c r="M581" s="4">
        <v>0</v>
      </c>
      <c r="N581" s="4">
        <v>40</v>
      </c>
      <c r="O581" s="4" t="s">
        <v>7</v>
      </c>
      <c r="P581" s="4" t="s">
        <v>8</v>
      </c>
      <c r="Q581" s="4" t="e">
        <f>IF(Tabela2[[#This Row],[sex]]="Female",Tabela2[[#This Row],[hours-per-week]],NA())</f>
        <v>#N/A</v>
      </c>
      <c r="R581" s="4">
        <f>IF(Tabela2[[#This Row],[sex]]="Male",Tabela2[[#This Row],[hours-per-week]],NA())</f>
        <v>40</v>
      </c>
    </row>
    <row r="582" spans="1:18">
      <c r="A582" s="3" t="s">
        <v>673</v>
      </c>
      <c r="B582" s="4">
        <v>45</v>
      </c>
      <c r="C582" s="4" t="s">
        <v>0</v>
      </c>
      <c r="D582" s="4">
        <v>184277</v>
      </c>
      <c r="E582" s="4" t="s">
        <v>44</v>
      </c>
      <c r="F582" s="4">
        <v>11</v>
      </c>
      <c r="G582" s="4" t="s">
        <v>15</v>
      </c>
      <c r="H582" s="4" t="s">
        <v>33</v>
      </c>
      <c r="I582" s="4" t="s">
        <v>35</v>
      </c>
      <c r="J582" s="4" t="s">
        <v>5</v>
      </c>
      <c r="K582" s="4" t="s">
        <v>6</v>
      </c>
      <c r="L582" s="4">
        <v>0</v>
      </c>
      <c r="M582" s="4">
        <v>0</v>
      </c>
      <c r="N582" s="4">
        <v>55</v>
      </c>
      <c r="O582" s="4" t="s">
        <v>7</v>
      </c>
      <c r="P582" s="4" t="s">
        <v>19</v>
      </c>
      <c r="Q582" s="4">
        <f>IF(Tabela2[[#This Row],[sex]]="Female",Tabela2[[#This Row],[hours-per-week]],NA())</f>
        <v>55</v>
      </c>
      <c r="R582" s="4" t="e">
        <f>IF(Tabela2[[#This Row],[sex]]="Male",Tabela2[[#This Row],[hours-per-week]],NA())</f>
        <v>#N/A</v>
      </c>
    </row>
    <row r="583" spans="1:18">
      <c r="A583" s="3" t="s">
        <v>674</v>
      </c>
      <c r="B583" s="4">
        <v>29</v>
      </c>
      <c r="C583" s="4" t="s">
        <v>0</v>
      </c>
      <c r="D583" s="4">
        <v>48895</v>
      </c>
      <c r="E583" s="4" t="s">
        <v>28</v>
      </c>
      <c r="F583" s="4">
        <v>9</v>
      </c>
      <c r="G583" s="4" t="s">
        <v>2</v>
      </c>
      <c r="H583" s="4" t="s">
        <v>16</v>
      </c>
      <c r="I583" s="4" t="s">
        <v>11</v>
      </c>
      <c r="J583" s="4" t="s">
        <v>5</v>
      </c>
      <c r="K583" s="4" t="s">
        <v>18</v>
      </c>
      <c r="L583" s="4">
        <v>0</v>
      </c>
      <c r="M583" s="4">
        <v>0</v>
      </c>
      <c r="N583" s="4">
        <v>50</v>
      </c>
      <c r="O583" s="4" t="s">
        <v>7</v>
      </c>
      <c r="P583" s="4" t="s">
        <v>8</v>
      </c>
      <c r="Q583" s="4" t="e">
        <f>IF(Tabela2[[#This Row],[sex]]="Female",Tabela2[[#This Row],[hours-per-week]],NA())</f>
        <v>#N/A</v>
      </c>
      <c r="R583" s="4">
        <f>IF(Tabela2[[#This Row],[sex]]="Male",Tabela2[[#This Row],[hours-per-week]],NA())</f>
        <v>50</v>
      </c>
    </row>
    <row r="584" spans="1:18">
      <c r="A584" s="3" t="s">
        <v>675</v>
      </c>
      <c r="B584" s="4">
        <v>20</v>
      </c>
      <c r="C584" s="4" t="s">
        <v>0</v>
      </c>
      <c r="D584" s="4">
        <v>375698</v>
      </c>
      <c r="E584" s="4" t="s">
        <v>12</v>
      </c>
      <c r="F584" s="4">
        <v>10</v>
      </c>
      <c r="G584" s="4" t="s">
        <v>2</v>
      </c>
      <c r="H584" s="4" t="s">
        <v>33</v>
      </c>
      <c r="I584" s="4" t="s">
        <v>4</v>
      </c>
      <c r="J584" s="4" t="s">
        <v>5</v>
      </c>
      <c r="K584" s="4" t="s">
        <v>6</v>
      </c>
      <c r="L584" s="4">
        <v>0</v>
      </c>
      <c r="M584" s="4">
        <v>0</v>
      </c>
      <c r="N584" s="4">
        <v>15</v>
      </c>
      <c r="O584" s="4" t="s">
        <v>7</v>
      </c>
      <c r="P584" s="4" t="s">
        <v>8</v>
      </c>
      <c r="Q584" s="4">
        <f>IF(Tabela2[[#This Row],[sex]]="Female",Tabela2[[#This Row],[hours-per-week]],NA())</f>
        <v>15</v>
      </c>
      <c r="R584" s="4" t="e">
        <f>IF(Tabela2[[#This Row],[sex]]="Male",Tabela2[[#This Row],[hours-per-week]],NA())</f>
        <v>#N/A</v>
      </c>
    </row>
    <row r="585" spans="1:18">
      <c r="A585" s="3" t="s">
        <v>676</v>
      </c>
      <c r="B585" s="4">
        <v>39</v>
      </c>
      <c r="C585" s="4" t="s">
        <v>41</v>
      </c>
      <c r="D585" s="4">
        <v>184964</v>
      </c>
      <c r="E585" s="4" t="s">
        <v>12</v>
      </c>
      <c r="F585" s="4">
        <v>10</v>
      </c>
      <c r="G585" s="4" t="s">
        <v>15</v>
      </c>
      <c r="H585" s="4" t="s">
        <v>33</v>
      </c>
      <c r="I585" s="4" t="s">
        <v>11</v>
      </c>
      <c r="J585" s="4" t="s">
        <v>5</v>
      </c>
      <c r="K585" s="4" t="s">
        <v>18</v>
      </c>
      <c r="L585" s="4">
        <v>0</v>
      </c>
      <c r="M585" s="4">
        <v>0</v>
      </c>
      <c r="N585" s="4">
        <v>40</v>
      </c>
      <c r="O585" s="4" t="s">
        <v>7</v>
      </c>
      <c r="P585" s="4" t="s">
        <v>19</v>
      </c>
      <c r="Q585" s="4" t="e">
        <f>IF(Tabela2[[#This Row],[sex]]="Female",Tabela2[[#This Row],[hours-per-week]],NA())</f>
        <v>#N/A</v>
      </c>
      <c r="R585" s="4">
        <f>IF(Tabela2[[#This Row],[sex]]="Male",Tabela2[[#This Row],[hours-per-week]],NA())</f>
        <v>40</v>
      </c>
    </row>
    <row r="586" spans="1:18">
      <c r="A586" s="3" t="s">
        <v>677</v>
      </c>
      <c r="B586" s="4">
        <v>28</v>
      </c>
      <c r="C586" s="4" t="s">
        <v>0</v>
      </c>
      <c r="D586" s="4">
        <v>215211</v>
      </c>
      <c r="E586" s="4" t="s">
        <v>28</v>
      </c>
      <c r="F586" s="4">
        <v>9</v>
      </c>
      <c r="G586" s="4" t="s">
        <v>29</v>
      </c>
      <c r="H586" s="4" t="s">
        <v>10</v>
      </c>
      <c r="I586" s="4" t="s">
        <v>32</v>
      </c>
      <c r="J586" s="4" t="s">
        <v>5</v>
      </c>
      <c r="K586" s="4" t="s">
        <v>18</v>
      </c>
      <c r="L586" s="4">
        <v>0</v>
      </c>
      <c r="M586" s="4">
        <v>0</v>
      </c>
      <c r="N586" s="4">
        <v>50</v>
      </c>
      <c r="O586" s="4" t="s">
        <v>7</v>
      </c>
      <c r="P586" s="4" t="s">
        <v>8</v>
      </c>
      <c r="Q586" s="4" t="e">
        <f>IF(Tabela2[[#This Row],[sex]]="Female",Tabela2[[#This Row],[hours-per-week]],NA())</f>
        <v>#N/A</v>
      </c>
      <c r="R586" s="4">
        <f>IF(Tabela2[[#This Row],[sex]]="Male",Tabela2[[#This Row],[hours-per-week]],NA())</f>
        <v>50</v>
      </c>
    </row>
    <row r="587" spans="1:18">
      <c r="A587" s="3" t="s">
        <v>678</v>
      </c>
      <c r="B587" s="4">
        <v>32</v>
      </c>
      <c r="C587" s="4" t="s">
        <v>0</v>
      </c>
      <c r="D587" s="4">
        <v>101352</v>
      </c>
      <c r="E587" s="4" t="s">
        <v>12</v>
      </c>
      <c r="F587" s="4">
        <v>10</v>
      </c>
      <c r="G587" s="4" t="s">
        <v>29</v>
      </c>
      <c r="H587" s="4" t="s">
        <v>30</v>
      </c>
      <c r="I587" s="4" t="s">
        <v>31</v>
      </c>
      <c r="J587" s="4" t="s">
        <v>5</v>
      </c>
      <c r="K587" s="4" t="s">
        <v>6</v>
      </c>
      <c r="L587" s="4">
        <v>0</v>
      </c>
      <c r="M587" s="4">
        <v>0</v>
      </c>
      <c r="N587" s="4">
        <v>32</v>
      </c>
      <c r="O587" s="4" t="s">
        <v>7</v>
      </c>
      <c r="P587" s="4" t="s">
        <v>19</v>
      </c>
      <c r="Q587" s="4">
        <f>IF(Tabela2[[#This Row],[sex]]="Female",Tabela2[[#This Row],[hours-per-week]],NA())</f>
        <v>32</v>
      </c>
      <c r="R587" s="4" t="e">
        <f>IF(Tabela2[[#This Row],[sex]]="Male",Tabela2[[#This Row],[hours-per-week]],NA())</f>
        <v>#N/A</v>
      </c>
    </row>
    <row r="588" spans="1:18">
      <c r="A588" s="3" t="s">
        <v>679</v>
      </c>
      <c r="B588" s="4">
        <v>41</v>
      </c>
      <c r="C588" s="4" t="s">
        <v>0</v>
      </c>
      <c r="D588" s="4">
        <v>100451</v>
      </c>
      <c r="E588" s="4" t="s">
        <v>28</v>
      </c>
      <c r="F588" s="4">
        <v>9</v>
      </c>
      <c r="G588" s="4" t="s">
        <v>29</v>
      </c>
      <c r="H588" s="4" t="s">
        <v>16</v>
      </c>
      <c r="I588" s="4" t="s">
        <v>32</v>
      </c>
      <c r="J588" s="4" t="s">
        <v>5</v>
      </c>
      <c r="K588" s="4" t="s">
        <v>18</v>
      </c>
      <c r="L588" s="4">
        <v>7688</v>
      </c>
      <c r="M588" s="4">
        <v>0</v>
      </c>
      <c r="N588" s="4">
        <v>38</v>
      </c>
      <c r="O588" s="4" t="s">
        <v>7</v>
      </c>
      <c r="P588" s="4" t="s">
        <v>19</v>
      </c>
      <c r="Q588" s="4" t="e">
        <f>IF(Tabela2[[#This Row],[sex]]="Female",Tabela2[[#This Row],[hours-per-week]],NA())</f>
        <v>#N/A</v>
      </c>
      <c r="R588" s="4">
        <f>IF(Tabela2[[#This Row],[sex]]="Male",Tabela2[[#This Row],[hours-per-week]],NA())</f>
        <v>38</v>
      </c>
    </row>
    <row r="589" spans="1:18">
      <c r="A589" s="3" t="s">
        <v>680</v>
      </c>
      <c r="B589" s="4">
        <v>22</v>
      </c>
      <c r="C589" s="4" t="s">
        <v>0</v>
      </c>
      <c r="D589" s="4">
        <v>113703</v>
      </c>
      <c r="E589" s="4" t="s">
        <v>12</v>
      </c>
      <c r="F589" s="4">
        <v>10</v>
      </c>
      <c r="G589" s="4" t="s">
        <v>2</v>
      </c>
      <c r="H589" s="4" t="s">
        <v>10</v>
      </c>
      <c r="I589" s="4" t="s">
        <v>45</v>
      </c>
      <c r="J589" s="4" t="s">
        <v>5</v>
      </c>
      <c r="K589" s="4" t="s">
        <v>18</v>
      </c>
      <c r="L589" s="4">
        <v>0</v>
      </c>
      <c r="M589" s="4">
        <v>0</v>
      </c>
      <c r="N589" s="4">
        <v>20</v>
      </c>
      <c r="O589" s="4" t="s">
        <v>7</v>
      </c>
      <c r="P589" s="4" t="s">
        <v>8</v>
      </c>
      <c r="Q589" s="4" t="e">
        <f>IF(Tabela2[[#This Row],[sex]]="Female",Tabela2[[#This Row],[hours-per-week]],NA())</f>
        <v>#N/A</v>
      </c>
      <c r="R589" s="4">
        <f>IF(Tabela2[[#This Row],[sex]]="Male",Tabela2[[#This Row],[hours-per-week]],NA())</f>
        <v>20</v>
      </c>
    </row>
    <row r="590" spans="1:18">
      <c r="A590" s="3" t="s">
        <v>681</v>
      </c>
      <c r="B590" s="4">
        <v>36</v>
      </c>
      <c r="C590" s="4" t="s">
        <v>40</v>
      </c>
      <c r="D590" s="4">
        <v>150371</v>
      </c>
      <c r="E590" s="4" t="s">
        <v>28</v>
      </c>
      <c r="F590" s="4">
        <v>9</v>
      </c>
      <c r="G590" s="4" t="s">
        <v>2</v>
      </c>
      <c r="H590" s="4" t="s">
        <v>16</v>
      </c>
      <c r="I590" s="4" t="s">
        <v>11</v>
      </c>
      <c r="J590" s="4" t="s">
        <v>5</v>
      </c>
      <c r="K590" s="4" t="s">
        <v>18</v>
      </c>
      <c r="L590" s="4">
        <v>0</v>
      </c>
      <c r="M590" s="4">
        <v>0</v>
      </c>
      <c r="N590" s="4">
        <v>40</v>
      </c>
      <c r="O590" s="4" t="s">
        <v>7</v>
      </c>
      <c r="P590" s="4" t="s">
        <v>8</v>
      </c>
      <c r="Q590" s="4" t="e">
        <f>IF(Tabela2[[#This Row],[sex]]="Female",Tabela2[[#This Row],[hours-per-week]],NA())</f>
        <v>#N/A</v>
      </c>
      <c r="R590" s="4">
        <f>IF(Tabela2[[#This Row],[sex]]="Male",Tabela2[[#This Row],[hours-per-week]],NA())</f>
        <v>40</v>
      </c>
    </row>
    <row r="591" spans="1:18">
      <c r="A591" s="3" t="s">
        <v>682</v>
      </c>
      <c r="B591" s="4">
        <v>19</v>
      </c>
      <c r="C591" s="4" t="s">
        <v>0</v>
      </c>
      <c r="D591" s="4">
        <v>69151</v>
      </c>
      <c r="E591" s="4" t="s">
        <v>64</v>
      </c>
      <c r="F591" s="4">
        <v>5</v>
      </c>
      <c r="G591" s="4" t="s">
        <v>2</v>
      </c>
      <c r="H591" s="4" t="s">
        <v>34</v>
      </c>
      <c r="I591" s="4" t="s">
        <v>4</v>
      </c>
      <c r="J591" s="4" t="s">
        <v>5</v>
      </c>
      <c r="K591" s="4" t="s">
        <v>18</v>
      </c>
      <c r="L591" s="4">
        <v>0</v>
      </c>
      <c r="M591" s="4">
        <v>0</v>
      </c>
      <c r="N591" s="4">
        <v>25</v>
      </c>
      <c r="O591" s="4" t="s">
        <v>7</v>
      </c>
      <c r="P591" s="4" t="s">
        <v>8</v>
      </c>
      <c r="Q591" s="4" t="e">
        <f>IF(Tabela2[[#This Row],[sex]]="Female",Tabela2[[#This Row],[hours-per-week]],NA())</f>
        <v>#N/A</v>
      </c>
      <c r="R591" s="4">
        <f>IF(Tabela2[[#This Row],[sex]]="Male",Tabela2[[#This Row],[hours-per-week]],NA())</f>
        <v>25</v>
      </c>
    </row>
    <row r="592" spans="1:18">
      <c r="A592" s="3" t="s">
        <v>683</v>
      </c>
      <c r="B592" s="4">
        <v>31</v>
      </c>
      <c r="C592" s="4" t="s">
        <v>40</v>
      </c>
      <c r="D592" s="4">
        <v>234537</v>
      </c>
      <c r="E592" s="4" t="s">
        <v>12</v>
      </c>
      <c r="F592" s="4">
        <v>10</v>
      </c>
      <c r="G592" s="4" t="s">
        <v>29</v>
      </c>
      <c r="H592" s="4" t="s">
        <v>16</v>
      </c>
      <c r="I592" s="4" t="s">
        <v>32</v>
      </c>
      <c r="J592" s="4" t="s">
        <v>5</v>
      </c>
      <c r="K592" s="4" t="s">
        <v>18</v>
      </c>
      <c r="L592" s="4">
        <v>0</v>
      </c>
      <c r="M592" s="4">
        <v>0</v>
      </c>
      <c r="N592" s="4">
        <v>60</v>
      </c>
      <c r="O592" s="4" t="s">
        <v>7</v>
      </c>
      <c r="P592" s="4" t="s">
        <v>8</v>
      </c>
      <c r="Q592" s="4" t="e">
        <f>IF(Tabela2[[#This Row],[sex]]="Female",Tabela2[[#This Row],[hours-per-week]],NA())</f>
        <v>#N/A</v>
      </c>
      <c r="R592" s="4">
        <f>IF(Tabela2[[#This Row],[sex]]="Male",Tabela2[[#This Row],[hours-per-week]],NA())</f>
        <v>60</v>
      </c>
    </row>
    <row r="593" spans="1:18">
      <c r="A593" s="3" t="s">
        <v>684</v>
      </c>
      <c r="B593" s="4">
        <v>33</v>
      </c>
      <c r="C593" s="4" t="s">
        <v>0</v>
      </c>
      <c r="D593" s="4">
        <v>323811</v>
      </c>
      <c r="E593" s="4" t="s">
        <v>12</v>
      </c>
      <c r="F593" s="4">
        <v>10</v>
      </c>
      <c r="G593" s="4" t="s">
        <v>29</v>
      </c>
      <c r="H593" s="4" t="s">
        <v>22</v>
      </c>
      <c r="I593" s="4" t="s">
        <v>32</v>
      </c>
      <c r="J593" s="4" t="s">
        <v>5</v>
      </c>
      <c r="K593" s="4" t="s">
        <v>18</v>
      </c>
      <c r="L593" s="4">
        <v>0</v>
      </c>
      <c r="M593" s="4">
        <v>0</v>
      </c>
      <c r="N593" s="4">
        <v>55</v>
      </c>
      <c r="O593" s="4" t="s">
        <v>7</v>
      </c>
      <c r="P593" s="4" t="s">
        <v>8</v>
      </c>
      <c r="Q593" s="4" t="e">
        <f>IF(Tabela2[[#This Row],[sex]]="Female",Tabela2[[#This Row],[hours-per-week]],NA())</f>
        <v>#N/A</v>
      </c>
      <c r="R593" s="4">
        <f>IF(Tabela2[[#This Row],[sex]]="Male",Tabela2[[#This Row],[hours-per-week]],NA())</f>
        <v>55</v>
      </c>
    </row>
    <row r="594" spans="1:18">
      <c r="A594" s="3" t="s">
        <v>685</v>
      </c>
      <c r="B594" s="4">
        <v>32</v>
      </c>
      <c r="C594" s="4" t="s">
        <v>40</v>
      </c>
      <c r="D594" s="4">
        <v>35595</v>
      </c>
      <c r="E594" s="4" t="s">
        <v>28</v>
      </c>
      <c r="F594" s="4">
        <v>9</v>
      </c>
      <c r="G594" s="4" t="s">
        <v>29</v>
      </c>
      <c r="H594" s="4" t="s">
        <v>16</v>
      </c>
      <c r="I594" s="4" t="s">
        <v>32</v>
      </c>
      <c r="J594" s="4" t="s">
        <v>5</v>
      </c>
      <c r="K594" s="4" t="s">
        <v>18</v>
      </c>
      <c r="L594" s="4">
        <v>0</v>
      </c>
      <c r="M594" s="4">
        <v>0</v>
      </c>
      <c r="N594" s="4">
        <v>50</v>
      </c>
      <c r="O594" s="4" t="s">
        <v>7</v>
      </c>
      <c r="P594" s="4" t="s">
        <v>8</v>
      </c>
      <c r="Q594" s="4" t="e">
        <f>IF(Tabela2[[#This Row],[sex]]="Female",Tabela2[[#This Row],[hours-per-week]],NA())</f>
        <v>#N/A</v>
      </c>
      <c r="R594" s="4">
        <f>IF(Tabela2[[#This Row],[sex]]="Male",Tabela2[[#This Row],[hours-per-week]],NA())</f>
        <v>50</v>
      </c>
    </row>
    <row r="595" spans="1:18">
      <c r="A595" s="3" t="s">
        <v>686</v>
      </c>
      <c r="B595" s="4">
        <v>25</v>
      </c>
      <c r="C595" s="4" t="s">
        <v>0</v>
      </c>
      <c r="D595" s="4">
        <v>410240</v>
      </c>
      <c r="E595" s="4" t="s">
        <v>28</v>
      </c>
      <c r="F595" s="4">
        <v>9</v>
      </c>
      <c r="G595" s="4" t="s">
        <v>2</v>
      </c>
      <c r="H595" s="4" t="s">
        <v>16</v>
      </c>
      <c r="I595" s="4" t="s">
        <v>4</v>
      </c>
      <c r="J595" s="4" t="s">
        <v>5</v>
      </c>
      <c r="K595" s="4" t="s">
        <v>18</v>
      </c>
      <c r="L595" s="4">
        <v>0</v>
      </c>
      <c r="M595" s="4">
        <v>0</v>
      </c>
      <c r="N595" s="4">
        <v>40</v>
      </c>
      <c r="O595" s="4" t="s">
        <v>7</v>
      </c>
      <c r="P595" s="4" t="s">
        <v>8</v>
      </c>
      <c r="Q595" s="4" t="e">
        <f>IF(Tabela2[[#This Row],[sex]]="Female",Tabela2[[#This Row],[hours-per-week]],NA())</f>
        <v>#N/A</v>
      </c>
      <c r="R595" s="4">
        <f>IF(Tabela2[[#This Row],[sex]]="Male",Tabela2[[#This Row],[hours-per-week]],NA())</f>
        <v>40</v>
      </c>
    </row>
    <row r="596" spans="1:18">
      <c r="A596" s="3" t="s">
        <v>687</v>
      </c>
      <c r="B596" s="4">
        <v>60</v>
      </c>
      <c r="C596" s="4" t="s">
        <v>0</v>
      </c>
      <c r="D596" s="4">
        <v>188650</v>
      </c>
      <c r="E596" s="4" t="s">
        <v>14</v>
      </c>
      <c r="F596" s="4">
        <v>3</v>
      </c>
      <c r="G596" s="4" t="s">
        <v>29</v>
      </c>
      <c r="H596" s="4" t="s">
        <v>10</v>
      </c>
      <c r="I596" s="4" t="s">
        <v>32</v>
      </c>
      <c r="J596" s="4" t="s">
        <v>5</v>
      </c>
      <c r="K596" s="4" t="s">
        <v>18</v>
      </c>
      <c r="L596" s="4">
        <v>0</v>
      </c>
      <c r="M596" s="4">
        <v>0</v>
      </c>
      <c r="N596" s="4">
        <v>40</v>
      </c>
      <c r="O596" s="4" t="s">
        <v>37</v>
      </c>
      <c r="P596" s="4" t="s">
        <v>19</v>
      </c>
      <c r="Q596" s="4" t="e">
        <f>IF(Tabela2[[#This Row],[sex]]="Female",Tabela2[[#This Row],[hours-per-week]],NA())</f>
        <v>#N/A</v>
      </c>
      <c r="R596" s="4">
        <f>IF(Tabela2[[#This Row],[sex]]="Male",Tabela2[[#This Row],[hours-per-week]],NA())</f>
        <v>40</v>
      </c>
    </row>
    <row r="597" spans="1:18">
      <c r="A597" s="3" t="s">
        <v>688</v>
      </c>
      <c r="B597" s="4">
        <v>45</v>
      </c>
      <c r="C597" s="4" t="s">
        <v>0</v>
      </c>
      <c r="D597" s="4">
        <v>30457</v>
      </c>
      <c r="E597" s="4" t="s">
        <v>26</v>
      </c>
      <c r="F597" s="4">
        <v>13</v>
      </c>
      <c r="G597" s="4" t="s">
        <v>29</v>
      </c>
      <c r="H597" s="4" t="s">
        <v>46</v>
      </c>
      <c r="I597" s="4" t="s">
        <v>32</v>
      </c>
      <c r="J597" s="4" t="s">
        <v>5</v>
      </c>
      <c r="K597" s="4" t="s">
        <v>18</v>
      </c>
      <c r="L597" s="4">
        <v>15024</v>
      </c>
      <c r="M597" s="4">
        <v>0</v>
      </c>
      <c r="N597" s="4">
        <v>40</v>
      </c>
      <c r="O597" s="4" t="s">
        <v>7</v>
      </c>
      <c r="P597" s="4" t="s">
        <v>19</v>
      </c>
      <c r="Q597" s="4" t="e">
        <f>IF(Tabela2[[#This Row],[sex]]="Female",Tabela2[[#This Row],[hours-per-week]],NA())</f>
        <v>#N/A</v>
      </c>
      <c r="R597" s="4">
        <f>IF(Tabela2[[#This Row],[sex]]="Male",Tabela2[[#This Row],[hours-per-week]],NA())</f>
        <v>40</v>
      </c>
    </row>
    <row r="598" spans="1:18">
      <c r="A598" s="3" t="s">
        <v>689</v>
      </c>
      <c r="B598" s="4">
        <v>34</v>
      </c>
      <c r="C598" s="4" t="s">
        <v>0</v>
      </c>
      <c r="D598" s="4">
        <v>293703</v>
      </c>
      <c r="E598" s="4" t="s">
        <v>12</v>
      </c>
      <c r="F598" s="4">
        <v>10</v>
      </c>
      <c r="G598" s="4" t="s">
        <v>29</v>
      </c>
      <c r="H598" s="4" t="s">
        <v>16</v>
      </c>
      <c r="I598" s="4" t="s">
        <v>32</v>
      </c>
      <c r="J598" s="4" t="s">
        <v>36</v>
      </c>
      <c r="K598" s="4" t="s">
        <v>18</v>
      </c>
      <c r="L598" s="4">
        <v>0</v>
      </c>
      <c r="M598" s="4">
        <v>0</v>
      </c>
      <c r="N598" s="4">
        <v>40</v>
      </c>
      <c r="O598" s="4" t="s">
        <v>72</v>
      </c>
      <c r="P598" s="4" t="s">
        <v>8</v>
      </c>
      <c r="Q598" s="4" t="e">
        <f>IF(Tabela2[[#This Row],[sex]]="Female",Tabela2[[#This Row],[hours-per-week]],NA())</f>
        <v>#N/A</v>
      </c>
      <c r="R598" s="4">
        <f>IF(Tabela2[[#This Row],[sex]]="Male",Tabela2[[#This Row],[hours-per-week]],NA())</f>
        <v>40</v>
      </c>
    </row>
    <row r="599" spans="1:18">
      <c r="A599" s="3" t="s">
        <v>690</v>
      </c>
      <c r="B599" s="4">
        <v>81</v>
      </c>
      <c r="C599" s="4" t="s">
        <v>37</v>
      </c>
      <c r="D599" s="4">
        <v>89391</v>
      </c>
      <c r="E599" s="4" t="s">
        <v>50</v>
      </c>
      <c r="F599" s="4">
        <v>15</v>
      </c>
      <c r="G599" s="4" t="s">
        <v>29</v>
      </c>
      <c r="H599" s="4" t="s">
        <v>37</v>
      </c>
      <c r="I599" s="4" t="s">
        <v>32</v>
      </c>
      <c r="J599" s="4" t="s">
        <v>5</v>
      </c>
      <c r="K599" s="4" t="s">
        <v>18</v>
      </c>
      <c r="L599" s="4">
        <v>0</v>
      </c>
      <c r="M599" s="4">
        <v>0</v>
      </c>
      <c r="N599" s="4">
        <v>24</v>
      </c>
      <c r="O599" s="4" t="s">
        <v>7</v>
      </c>
      <c r="P599" s="4" t="s">
        <v>19</v>
      </c>
      <c r="Q599" s="4" t="e">
        <f>IF(Tabela2[[#This Row],[sex]]="Female",Tabela2[[#This Row],[hours-per-week]],NA())</f>
        <v>#N/A</v>
      </c>
      <c r="R599" s="4">
        <f>IF(Tabela2[[#This Row],[sex]]="Male",Tabela2[[#This Row],[hours-per-week]],NA())</f>
        <v>24</v>
      </c>
    </row>
    <row r="600" spans="1:18">
      <c r="A600" s="3" t="s">
        <v>691</v>
      </c>
      <c r="B600" s="4">
        <v>29</v>
      </c>
      <c r="C600" s="4" t="s">
        <v>0</v>
      </c>
      <c r="D600" s="4">
        <v>181280</v>
      </c>
      <c r="E600" s="4" t="s">
        <v>28</v>
      </c>
      <c r="F600" s="4">
        <v>9</v>
      </c>
      <c r="G600" s="4" t="s">
        <v>29</v>
      </c>
      <c r="H600" s="4" t="s">
        <v>22</v>
      </c>
      <c r="I600" s="4" t="s">
        <v>32</v>
      </c>
      <c r="J600" s="4" t="s">
        <v>5</v>
      </c>
      <c r="K600" s="4" t="s">
        <v>18</v>
      </c>
      <c r="L600" s="4">
        <v>0</v>
      </c>
      <c r="M600" s="4">
        <v>0</v>
      </c>
      <c r="N600" s="4">
        <v>40</v>
      </c>
      <c r="O600" s="4" t="s">
        <v>7</v>
      </c>
      <c r="P600" s="4" t="s">
        <v>8</v>
      </c>
      <c r="Q600" s="4" t="e">
        <f>IF(Tabela2[[#This Row],[sex]]="Female",Tabela2[[#This Row],[hours-per-week]],NA())</f>
        <v>#N/A</v>
      </c>
      <c r="R600" s="4">
        <f>IF(Tabela2[[#This Row],[sex]]="Male",Tabela2[[#This Row],[hours-per-week]],NA())</f>
        <v>40</v>
      </c>
    </row>
    <row r="601" spans="1:18">
      <c r="A601" s="3" t="s">
        <v>692</v>
      </c>
      <c r="B601" s="4">
        <v>38</v>
      </c>
      <c r="C601" s="4" t="s">
        <v>0</v>
      </c>
      <c r="D601" s="4">
        <v>240467</v>
      </c>
      <c r="E601" s="4" t="s">
        <v>39</v>
      </c>
      <c r="F601" s="4">
        <v>14</v>
      </c>
      <c r="G601" s="4" t="s">
        <v>2</v>
      </c>
      <c r="H601" s="4" t="s">
        <v>46</v>
      </c>
      <c r="I601" s="4" t="s">
        <v>35</v>
      </c>
      <c r="J601" s="4" t="s">
        <v>23</v>
      </c>
      <c r="K601" s="4" t="s">
        <v>6</v>
      </c>
      <c r="L601" s="4">
        <v>0</v>
      </c>
      <c r="M601" s="4">
        <v>0</v>
      </c>
      <c r="N601" s="4">
        <v>35</v>
      </c>
      <c r="O601" s="4" t="s">
        <v>7</v>
      </c>
      <c r="P601" s="4" t="s">
        <v>8</v>
      </c>
      <c r="Q601" s="4">
        <f>IF(Tabela2[[#This Row],[sex]]="Female",Tabela2[[#This Row],[hours-per-week]],NA())</f>
        <v>35</v>
      </c>
      <c r="R601" s="4" t="e">
        <f>IF(Tabela2[[#This Row],[sex]]="Male",Tabela2[[#This Row],[hours-per-week]],NA())</f>
        <v>#N/A</v>
      </c>
    </row>
    <row r="602" spans="1:18">
      <c r="A602" s="3" t="s">
        <v>693</v>
      </c>
      <c r="B602" s="4">
        <v>32</v>
      </c>
      <c r="C602" s="4" t="s">
        <v>37</v>
      </c>
      <c r="D602" s="4">
        <v>119522</v>
      </c>
      <c r="E602" s="4" t="s">
        <v>26</v>
      </c>
      <c r="F602" s="4">
        <v>13</v>
      </c>
      <c r="G602" s="4" t="s">
        <v>15</v>
      </c>
      <c r="H602" s="4" t="s">
        <v>37</v>
      </c>
      <c r="I602" s="4" t="s">
        <v>11</v>
      </c>
      <c r="J602" s="4" t="s">
        <v>5</v>
      </c>
      <c r="K602" s="4" t="s">
        <v>18</v>
      </c>
      <c r="L602" s="4">
        <v>0</v>
      </c>
      <c r="M602" s="4">
        <v>0</v>
      </c>
      <c r="N602" s="4">
        <v>50</v>
      </c>
      <c r="O602" s="4" t="s">
        <v>7</v>
      </c>
      <c r="P602" s="4" t="s">
        <v>8</v>
      </c>
      <c r="Q602" s="4" t="e">
        <f>IF(Tabela2[[#This Row],[sex]]="Female",Tabela2[[#This Row],[hours-per-week]],NA())</f>
        <v>#N/A</v>
      </c>
      <c r="R602" s="4">
        <f>IF(Tabela2[[#This Row],[sex]]="Male",Tabela2[[#This Row],[hours-per-week]],NA())</f>
        <v>50</v>
      </c>
    </row>
    <row r="603" spans="1:18">
      <c r="A603" s="3" t="s">
        <v>694</v>
      </c>
      <c r="B603" s="4">
        <v>33</v>
      </c>
      <c r="C603" s="4" t="s">
        <v>0</v>
      </c>
      <c r="D603" s="4">
        <v>231413</v>
      </c>
      <c r="E603" s="4" t="s">
        <v>26</v>
      </c>
      <c r="F603" s="4">
        <v>13</v>
      </c>
      <c r="G603" s="4" t="s">
        <v>29</v>
      </c>
      <c r="H603" s="4" t="s">
        <v>27</v>
      </c>
      <c r="I603" s="4" t="s">
        <v>32</v>
      </c>
      <c r="J603" s="4" t="s">
        <v>5</v>
      </c>
      <c r="K603" s="4" t="s">
        <v>18</v>
      </c>
      <c r="L603" s="4">
        <v>0</v>
      </c>
      <c r="M603" s="4">
        <v>0</v>
      </c>
      <c r="N603" s="4">
        <v>40</v>
      </c>
      <c r="O603" s="4" t="s">
        <v>7</v>
      </c>
      <c r="P603" s="4" t="s">
        <v>8</v>
      </c>
      <c r="Q603" s="4" t="e">
        <f>IF(Tabela2[[#This Row],[sex]]="Female",Tabela2[[#This Row],[hours-per-week]],NA())</f>
        <v>#N/A</v>
      </c>
      <c r="R603" s="4">
        <f>IF(Tabela2[[#This Row],[sex]]="Male",Tabela2[[#This Row],[hours-per-week]],NA())</f>
        <v>40</v>
      </c>
    </row>
    <row r="604" spans="1:18">
      <c r="A604" s="3" t="s">
        <v>695</v>
      </c>
      <c r="B604" s="4">
        <v>33</v>
      </c>
      <c r="C604" s="4" t="s">
        <v>0</v>
      </c>
      <c r="D604" s="4">
        <v>347623</v>
      </c>
      <c r="E604" s="4" t="s">
        <v>39</v>
      </c>
      <c r="F604" s="4">
        <v>14</v>
      </c>
      <c r="G604" s="4" t="s">
        <v>2</v>
      </c>
      <c r="H604" s="4" t="s">
        <v>46</v>
      </c>
      <c r="I604" s="4" t="s">
        <v>35</v>
      </c>
      <c r="J604" s="4" t="s">
        <v>5</v>
      </c>
      <c r="K604" s="4" t="s">
        <v>18</v>
      </c>
      <c r="L604" s="4">
        <v>0</v>
      </c>
      <c r="M604" s="4">
        <v>0</v>
      </c>
      <c r="N604" s="4">
        <v>40</v>
      </c>
      <c r="O604" s="4" t="s">
        <v>7</v>
      </c>
      <c r="P604" s="4" t="s">
        <v>8</v>
      </c>
      <c r="Q604" s="4" t="e">
        <f>IF(Tabela2[[#This Row],[sex]]="Female",Tabela2[[#This Row],[hours-per-week]],NA())</f>
        <v>#N/A</v>
      </c>
      <c r="R604" s="4">
        <f>IF(Tabela2[[#This Row],[sex]]="Male",Tabela2[[#This Row],[hours-per-week]],NA())</f>
        <v>40</v>
      </c>
    </row>
    <row r="605" spans="1:18">
      <c r="A605" s="3" t="s">
        <v>696</v>
      </c>
      <c r="B605" s="4">
        <v>34</v>
      </c>
      <c r="C605" s="4" t="s">
        <v>25</v>
      </c>
      <c r="D605" s="4">
        <v>103371</v>
      </c>
      <c r="E605" s="4" t="s">
        <v>44</v>
      </c>
      <c r="F605" s="4">
        <v>11</v>
      </c>
      <c r="G605" s="4" t="s">
        <v>2</v>
      </c>
      <c r="H605" s="4" t="s">
        <v>33</v>
      </c>
      <c r="I605" s="4" t="s">
        <v>35</v>
      </c>
      <c r="J605" s="4" t="s">
        <v>5</v>
      </c>
      <c r="K605" s="4" t="s">
        <v>6</v>
      </c>
      <c r="L605" s="4">
        <v>0</v>
      </c>
      <c r="M605" s="4">
        <v>0</v>
      </c>
      <c r="N605" s="4">
        <v>40</v>
      </c>
      <c r="O605" s="4" t="s">
        <v>7</v>
      </c>
      <c r="P605" s="4" t="s">
        <v>8</v>
      </c>
      <c r="Q605" s="4">
        <f>IF(Tabela2[[#This Row],[sex]]="Female",Tabela2[[#This Row],[hours-per-week]],NA())</f>
        <v>40</v>
      </c>
      <c r="R605" s="4" t="e">
        <f>IF(Tabela2[[#This Row],[sex]]="Male",Tabela2[[#This Row],[hours-per-week]],NA())</f>
        <v>#N/A</v>
      </c>
    </row>
    <row r="606" spans="1:18">
      <c r="A606" s="3" t="s">
        <v>697</v>
      </c>
      <c r="B606" s="4">
        <v>26</v>
      </c>
      <c r="C606" s="4" t="s">
        <v>0</v>
      </c>
      <c r="D606" s="4">
        <v>276548</v>
      </c>
      <c r="E606" s="4" t="s">
        <v>28</v>
      </c>
      <c r="F606" s="4">
        <v>9</v>
      </c>
      <c r="G606" s="4" t="s">
        <v>29</v>
      </c>
      <c r="H606" s="4" t="s">
        <v>10</v>
      </c>
      <c r="I606" s="4" t="s">
        <v>31</v>
      </c>
      <c r="J606" s="4" t="s">
        <v>5</v>
      </c>
      <c r="K606" s="4" t="s">
        <v>6</v>
      </c>
      <c r="L606" s="4">
        <v>0</v>
      </c>
      <c r="M606" s="4">
        <v>0</v>
      </c>
      <c r="N606" s="4">
        <v>20</v>
      </c>
      <c r="O606" s="4" t="s">
        <v>7</v>
      </c>
      <c r="P606" s="4" t="s">
        <v>8</v>
      </c>
      <c r="Q606" s="4">
        <f>IF(Tabela2[[#This Row],[sex]]="Female",Tabela2[[#This Row],[hours-per-week]],NA())</f>
        <v>20</v>
      </c>
      <c r="R606" s="4" t="e">
        <f>IF(Tabela2[[#This Row],[sex]]="Male",Tabela2[[#This Row],[hours-per-week]],NA())</f>
        <v>#N/A</v>
      </c>
    </row>
    <row r="607" spans="1:18">
      <c r="A607" s="3" t="s">
        <v>698</v>
      </c>
      <c r="B607" s="4">
        <v>30</v>
      </c>
      <c r="C607" s="4" t="s">
        <v>40</v>
      </c>
      <c r="D607" s="4">
        <v>85708</v>
      </c>
      <c r="E607" s="4" t="s">
        <v>28</v>
      </c>
      <c r="F607" s="4">
        <v>9</v>
      </c>
      <c r="G607" s="4" t="s">
        <v>29</v>
      </c>
      <c r="H607" s="4" t="s">
        <v>16</v>
      </c>
      <c r="I607" s="4" t="s">
        <v>32</v>
      </c>
      <c r="J607" s="4" t="s">
        <v>5</v>
      </c>
      <c r="K607" s="4" t="s">
        <v>18</v>
      </c>
      <c r="L607" s="4">
        <v>0</v>
      </c>
      <c r="M607" s="4">
        <v>0</v>
      </c>
      <c r="N607" s="4">
        <v>40</v>
      </c>
      <c r="O607" s="4" t="s">
        <v>7</v>
      </c>
      <c r="P607" s="4" t="s">
        <v>8</v>
      </c>
      <c r="Q607" s="4" t="e">
        <f>IF(Tabela2[[#This Row],[sex]]="Female",Tabela2[[#This Row],[hours-per-week]],NA())</f>
        <v>#N/A</v>
      </c>
      <c r="R607" s="4">
        <f>IF(Tabela2[[#This Row],[sex]]="Male",Tabela2[[#This Row],[hours-per-week]],NA())</f>
        <v>40</v>
      </c>
    </row>
    <row r="608" spans="1:18">
      <c r="A608" s="3" t="s">
        <v>699</v>
      </c>
      <c r="B608" s="4">
        <v>33</v>
      </c>
      <c r="C608" s="4" t="s">
        <v>0</v>
      </c>
      <c r="D608" s="4">
        <v>183612</v>
      </c>
      <c r="E608" s="4" t="s">
        <v>28</v>
      </c>
      <c r="F608" s="4">
        <v>9</v>
      </c>
      <c r="G608" s="4" t="s">
        <v>29</v>
      </c>
      <c r="H608" s="4" t="s">
        <v>38</v>
      </c>
      <c r="I608" s="4" t="s">
        <v>32</v>
      </c>
      <c r="J608" s="4" t="s">
        <v>5</v>
      </c>
      <c r="K608" s="4" t="s">
        <v>18</v>
      </c>
      <c r="L608" s="4">
        <v>0</v>
      </c>
      <c r="M608" s="4">
        <v>0</v>
      </c>
      <c r="N608" s="4">
        <v>20</v>
      </c>
      <c r="O608" s="4" t="s">
        <v>7</v>
      </c>
      <c r="P608" s="4" t="s">
        <v>8</v>
      </c>
      <c r="Q608" s="4" t="e">
        <f>IF(Tabela2[[#This Row],[sex]]="Female",Tabela2[[#This Row],[hours-per-week]],NA())</f>
        <v>#N/A</v>
      </c>
      <c r="R608" s="4">
        <f>IF(Tabela2[[#This Row],[sex]]="Male",Tabela2[[#This Row],[hours-per-week]],NA())</f>
        <v>20</v>
      </c>
    </row>
    <row r="609" spans="1:18">
      <c r="A609" s="3" t="s">
        <v>700</v>
      </c>
      <c r="B609" s="4">
        <v>37</v>
      </c>
      <c r="C609" s="4" t="s">
        <v>0</v>
      </c>
      <c r="D609" s="4">
        <v>356824</v>
      </c>
      <c r="E609" s="4" t="s">
        <v>28</v>
      </c>
      <c r="F609" s="4">
        <v>9</v>
      </c>
      <c r="G609" s="4" t="s">
        <v>21</v>
      </c>
      <c r="H609" s="4" t="s">
        <v>30</v>
      </c>
      <c r="I609" s="4" t="s">
        <v>35</v>
      </c>
      <c r="J609" s="4" t="s">
        <v>5</v>
      </c>
      <c r="K609" s="4" t="s">
        <v>6</v>
      </c>
      <c r="L609" s="4">
        <v>0</v>
      </c>
      <c r="M609" s="4">
        <v>0</v>
      </c>
      <c r="N609" s="4">
        <v>40</v>
      </c>
      <c r="O609" s="4" t="s">
        <v>7</v>
      </c>
      <c r="P609" s="4" t="s">
        <v>8</v>
      </c>
      <c r="Q609" s="4">
        <f>IF(Tabela2[[#This Row],[sex]]="Female",Tabela2[[#This Row],[hours-per-week]],NA())</f>
        <v>40</v>
      </c>
      <c r="R609" s="4" t="e">
        <f>IF(Tabela2[[#This Row],[sex]]="Male",Tabela2[[#This Row],[hours-per-week]],NA())</f>
        <v>#N/A</v>
      </c>
    </row>
    <row r="610" spans="1:18">
      <c r="A610" s="3" t="s">
        <v>701</v>
      </c>
      <c r="B610" s="4">
        <v>37</v>
      </c>
      <c r="C610" s="4" t="s">
        <v>41</v>
      </c>
      <c r="D610" s="4">
        <v>45937</v>
      </c>
      <c r="E610" s="4" t="s">
        <v>9</v>
      </c>
      <c r="F610" s="4">
        <v>12</v>
      </c>
      <c r="G610" s="4" t="s">
        <v>29</v>
      </c>
      <c r="H610" s="4" t="s">
        <v>46</v>
      </c>
      <c r="I610" s="4" t="s">
        <v>31</v>
      </c>
      <c r="J610" s="4" t="s">
        <v>5</v>
      </c>
      <c r="K610" s="4" t="s">
        <v>6</v>
      </c>
      <c r="L610" s="4">
        <v>0</v>
      </c>
      <c r="M610" s="4">
        <v>0</v>
      </c>
      <c r="N610" s="4">
        <v>40</v>
      </c>
      <c r="O610" s="4" t="s">
        <v>7</v>
      </c>
      <c r="P610" s="4" t="s">
        <v>19</v>
      </c>
      <c r="Q610" s="4">
        <f>IF(Tabela2[[#This Row],[sex]]="Female",Tabela2[[#This Row],[hours-per-week]],NA())</f>
        <v>40</v>
      </c>
      <c r="R610" s="4" t="e">
        <f>IF(Tabela2[[#This Row],[sex]]="Male",Tabela2[[#This Row],[hours-per-week]],NA())</f>
        <v>#N/A</v>
      </c>
    </row>
    <row r="611" spans="1:18">
      <c r="A611" s="3" t="s">
        <v>702</v>
      </c>
      <c r="B611" s="4">
        <v>38</v>
      </c>
      <c r="C611" s="4" t="s">
        <v>25</v>
      </c>
      <c r="D611" s="4">
        <v>255191</v>
      </c>
      <c r="E611" s="4" t="s">
        <v>28</v>
      </c>
      <c r="F611" s="4">
        <v>9</v>
      </c>
      <c r="G611" s="4" t="s">
        <v>2</v>
      </c>
      <c r="H611" s="4" t="s">
        <v>3</v>
      </c>
      <c r="I611" s="4" t="s">
        <v>11</v>
      </c>
      <c r="J611" s="4" t="s">
        <v>5</v>
      </c>
      <c r="K611" s="4" t="s">
        <v>18</v>
      </c>
      <c r="L611" s="4">
        <v>0</v>
      </c>
      <c r="M611" s="4">
        <v>0</v>
      </c>
      <c r="N611" s="4">
        <v>40</v>
      </c>
      <c r="O611" s="4" t="s">
        <v>7</v>
      </c>
      <c r="P611" s="4" t="s">
        <v>8</v>
      </c>
      <c r="Q611" s="4" t="e">
        <f>IF(Tabela2[[#This Row],[sex]]="Female",Tabela2[[#This Row],[hours-per-week]],NA())</f>
        <v>#N/A</v>
      </c>
      <c r="R611" s="4">
        <f>IF(Tabela2[[#This Row],[sex]]="Male",Tabela2[[#This Row],[hours-per-week]],NA())</f>
        <v>40</v>
      </c>
    </row>
    <row r="612" spans="1:18">
      <c r="A612" s="3" t="s">
        <v>703</v>
      </c>
      <c r="B612" s="4">
        <v>21</v>
      </c>
      <c r="C612" s="4" t="s">
        <v>0</v>
      </c>
      <c r="D612" s="4">
        <v>195199</v>
      </c>
      <c r="E612" s="4" t="s">
        <v>28</v>
      </c>
      <c r="F612" s="4">
        <v>9</v>
      </c>
      <c r="G612" s="4" t="s">
        <v>2</v>
      </c>
      <c r="H612" s="4" t="s">
        <v>27</v>
      </c>
      <c r="I612" s="4" t="s">
        <v>4</v>
      </c>
      <c r="J612" s="4" t="s">
        <v>5</v>
      </c>
      <c r="K612" s="4" t="s">
        <v>6</v>
      </c>
      <c r="L612" s="4">
        <v>0</v>
      </c>
      <c r="M612" s="4">
        <v>0</v>
      </c>
      <c r="N612" s="4">
        <v>30</v>
      </c>
      <c r="O612" s="4" t="s">
        <v>7</v>
      </c>
      <c r="P612" s="4" t="s">
        <v>8</v>
      </c>
      <c r="Q612" s="4">
        <f>IF(Tabela2[[#This Row],[sex]]="Female",Tabela2[[#This Row],[hours-per-week]],NA())</f>
        <v>30</v>
      </c>
      <c r="R612" s="4" t="e">
        <f>IF(Tabela2[[#This Row],[sex]]="Male",Tabela2[[#This Row],[hours-per-week]],NA())</f>
        <v>#N/A</v>
      </c>
    </row>
    <row r="613" spans="1:18">
      <c r="A613" s="3" t="s">
        <v>704</v>
      </c>
      <c r="B613" s="4">
        <v>62</v>
      </c>
      <c r="C613" s="4" t="s">
        <v>40</v>
      </c>
      <c r="D613" s="4">
        <v>197353</v>
      </c>
      <c r="E613" s="4" t="s">
        <v>28</v>
      </c>
      <c r="F613" s="4">
        <v>9</v>
      </c>
      <c r="G613" s="4" t="s">
        <v>29</v>
      </c>
      <c r="H613" s="4" t="s">
        <v>16</v>
      </c>
      <c r="I613" s="4" t="s">
        <v>32</v>
      </c>
      <c r="J613" s="4" t="s">
        <v>5</v>
      </c>
      <c r="K613" s="4" t="s">
        <v>18</v>
      </c>
      <c r="L613" s="4">
        <v>0</v>
      </c>
      <c r="M613" s="4">
        <v>1740</v>
      </c>
      <c r="N613" s="4">
        <v>40</v>
      </c>
      <c r="O613" s="4" t="s">
        <v>7</v>
      </c>
      <c r="P613" s="4" t="s">
        <v>8</v>
      </c>
      <c r="Q613" s="4" t="e">
        <f>IF(Tabela2[[#This Row],[sex]]="Female",Tabela2[[#This Row],[hours-per-week]],NA())</f>
        <v>#N/A</v>
      </c>
      <c r="R613" s="4">
        <f>IF(Tabela2[[#This Row],[sex]]="Male",Tabela2[[#This Row],[hours-per-week]],NA())</f>
        <v>40</v>
      </c>
    </row>
    <row r="614" spans="1:18">
      <c r="A614" s="3" t="s">
        <v>705</v>
      </c>
      <c r="B614" s="4">
        <v>46</v>
      </c>
      <c r="C614" s="4" t="s">
        <v>0</v>
      </c>
      <c r="D614" s="4">
        <v>415051</v>
      </c>
      <c r="E614" s="4" t="s">
        <v>12</v>
      </c>
      <c r="F614" s="4">
        <v>10</v>
      </c>
      <c r="G614" s="4" t="s">
        <v>29</v>
      </c>
      <c r="H614" s="4" t="s">
        <v>10</v>
      </c>
      <c r="I614" s="4" t="s">
        <v>32</v>
      </c>
      <c r="J614" s="4" t="s">
        <v>23</v>
      </c>
      <c r="K614" s="4" t="s">
        <v>18</v>
      </c>
      <c r="L614" s="4">
        <v>0</v>
      </c>
      <c r="M614" s="4">
        <v>0</v>
      </c>
      <c r="N614" s="4">
        <v>60</v>
      </c>
      <c r="O614" s="4" t="s">
        <v>7</v>
      </c>
      <c r="P614" s="4" t="s">
        <v>19</v>
      </c>
      <c r="Q614" s="4" t="e">
        <f>IF(Tabela2[[#This Row],[sex]]="Female",Tabela2[[#This Row],[hours-per-week]],NA())</f>
        <v>#N/A</v>
      </c>
      <c r="R614" s="4">
        <f>IF(Tabela2[[#This Row],[sex]]="Male",Tabela2[[#This Row],[hours-per-week]],NA())</f>
        <v>60</v>
      </c>
    </row>
    <row r="615" spans="1:18">
      <c r="A615" s="3" t="s">
        <v>706</v>
      </c>
      <c r="B615" s="4">
        <v>38</v>
      </c>
      <c r="C615" s="4" t="s">
        <v>37</v>
      </c>
      <c r="D615" s="4">
        <v>365465</v>
      </c>
      <c r="E615" s="4" t="s">
        <v>44</v>
      </c>
      <c r="F615" s="4">
        <v>11</v>
      </c>
      <c r="G615" s="4" t="s">
        <v>2</v>
      </c>
      <c r="H615" s="4" t="s">
        <v>37</v>
      </c>
      <c r="I615" s="4" t="s">
        <v>4</v>
      </c>
      <c r="J615" s="4" t="s">
        <v>5</v>
      </c>
      <c r="K615" s="4" t="s">
        <v>18</v>
      </c>
      <c r="L615" s="4">
        <v>0</v>
      </c>
      <c r="M615" s="4">
        <v>0</v>
      </c>
      <c r="N615" s="4">
        <v>15</v>
      </c>
      <c r="O615" s="4" t="s">
        <v>7</v>
      </c>
      <c r="P615" s="4" t="s">
        <v>8</v>
      </c>
      <c r="Q615" s="4" t="e">
        <f>IF(Tabela2[[#This Row],[sex]]="Female",Tabela2[[#This Row],[hours-per-week]],NA())</f>
        <v>#N/A</v>
      </c>
      <c r="R615" s="4">
        <f>IF(Tabela2[[#This Row],[sex]]="Male",Tabela2[[#This Row],[hours-per-week]],NA())</f>
        <v>15</v>
      </c>
    </row>
    <row r="616" spans="1:18">
      <c r="A616" s="3" t="s">
        <v>707</v>
      </c>
      <c r="B616" s="4">
        <v>21</v>
      </c>
      <c r="C616" s="4" t="s">
        <v>0</v>
      </c>
      <c r="D616" s="4">
        <v>157893</v>
      </c>
      <c r="E616" s="4" t="s">
        <v>28</v>
      </c>
      <c r="F616" s="4">
        <v>9</v>
      </c>
      <c r="G616" s="4" t="s">
        <v>2</v>
      </c>
      <c r="H616" s="4" t="s">
        <v>38</v>
      </c>
      <c r="I616" s="4" t="s">
        <v>4</v>
      </c>
      <c r="J616" s="4" t="s">
        <v>5</v>
      </c>
      <c r="K616" s="4" t="s">
        <v>6</v>
      </c>
      <c r="L616" s="4">
        <v>0</v>
      </c>
      <c r="M616" s="4">
        <v>0</v>
      </c>
      <c r="N616" s="4">
        <v>40</v>
      </c>
      <c r="O616" s="4" t="s">
        <v>7</v>
      </c>
      <c r="P616" s="4" t="s">
        <v>8</v>
      </c>
      <c r="Q616" s="4">
        <f>IF(Tabela2[[#This Row],[sex]]="Female",Tabela2[[#This Row],[hours-per-week]],NA())</f>
        <v>40</v>
      </c>
      <c r="R616" s="4" t="e">
        <f>IF(Tabela2[[#This Row],[sex]]="Male",Tabela2[[#This Row],[hours-per-week]],NA())</f>
        <v>#N/A</v>
      </c>
    </row>
    <row r="617" spans="1:18">
      <c r="A617" s="3" t="s">
        <v>708</v>
      </c>
      <c r="B617" s="4">
        <v>23</v>
      </c>
      <c r="C617" s="4" t="s">
        <v>0</v>
      </c>
      <c r="D617" s="4">
        <v>39615</v>
      </c>
      <c r="E617" s="4" t="s">
        <v>12</v>
      </c>
      <c r="F617" s="4">
        <v>10</v>
      </c>
      <c r="G617" s="4" t="s">
        <v>2</v>
      </c>
      <c r="H617" s="4" t="s">
        <v>34</v>
      </c>
      <c r="I617" s="4" t="s">
        <v>4</v>
      </c>
      <c r="J617" s="4" t="s">
        <v>5</v>
      </c>
      <c r="K617" s="4" t="s">
        <v>18</v>
      </c>
      <c r="L617" s="4">
        <v>0</v>
      </c>
      <c r="M617" s="4">
        <v>0</v>
      </c>
      <c r="N617" s="4">
        <v>10</v>
      </c>
      <c r="O617" s="4" t="s">
        <v>7</v>
      </c>
      <c r="P617" s="4" t="s">
        <v>8</v>
      </c>
      <c r="Q617" s="4" t="e">
        <f>IF(Tabela2[[#This Row],[sex]]="Female",Tabela2[[#This Row],[hours-per-week]],NA())</f>
        <v>#N/A</v>
      </c>
      <c r="R617" s="4">
        <f>IF(Tabela2[[#This Row],[sex]]="Male",Tabela2[[#This Row],[hours-per-week]],NA())</f>
        <v>10</v>
      </c>
    </row>
    <row r="618" spans="1:18">
      <c r="A618" s="3" t="s">
        <v>709</v>
      </c>
      <c r="B618" s="4">
        <v>41</v>
      </c>
      <c r="C618" s="4" t="s">
        <v>49</v>
      </c>
      <c r="D618" s="4">
        <v>177905</v>
      </c>
      <c r="E618" s="4" t="s">
        <v>26</v>
      </c>
      <c r="F618" s="4">
        <v>13</v>
      </c>
      <c r="G618" s="4" t="s">
        <v>29</v>
      </c>
      <c r="H618" s="4" t="s">
        <v>46</v>
      </c>
      <c r="I618" s="4" t="s">
        <v>32</v>
      </c>
      <c r="J618" s="4" t="s">
        <v>5</v>
      </c>
      <c r="K618" s="4" t="s">
        <v>18</v>
      </c>
      <c r="L618" s="4">
        <v>7688</v>
      </c>
      <c r="M618" s="4">
        <v>0</v>
      </c>
      <c r="N618" s="4">
        <v>70</v>
      </c>
      <c r="O618" s="4" t="s">
        <v>7</v>
      </c>
      <c r="P618" s="4" t="s">
        <v>19</v>
      </c>
      <c r="Q618" s="4" t="e">
        <f>IF(Tabela2[[#This Row],[sex]]="Female",Tabela2[[#This Row],[hours-per-week]],NA())</f>
        <v>#N/A</v>
      </c>
      <c r="R618" s="4">
        <f>IF(Tabela2[[#This Row],[sex]]="Male",Tabela2[[#This Row],[hours-per-week]],NA())</f>
        <v>70</v>
      </c>
    </row>
    <row r="619" spans="1:18">
      <c r="A619" s="3" t="s">
        <v>710</v>
      </c>
      <c r="B619" s="4">
        <v>28</v>
      </c>
      <c r="C619" s="4" t="s">
        <v>0</v>
      </c>
      <c r="D619" s="4">
        <v>264498</v>
      </c>
      <c r="E619" s="4" t="s">
        <v>26</v>
      </c>
      <c r="F619" s="4">
        <v>13</v>
      </c>
      <c r="G619" s="4" t="s">
        <v>2</v>
      </c>
      <c r="H619" s="4" t="s">
        <v>27</v>
      </c>
      <c r="I619" s="4" t="s">
        <v>11</v>
      </c>
      <c r="J619" s="4" t="s">
        <v>5</v>
      </c>
      <c r="K619" s="4" t="s">
        <v>6</v>
      </c>
      <c r="L619" s="4">
        <v>0</v>
      </c>
      <c r="M619" s="4">
        <v>0</v>
      </c>
      <c r="N619" s="4">
        <v>40</v>
      </c>
      <c r="O619" s="4" t="s">
        <v>7</v>
      </c>
      <c r="P619" s="4" t="s">
        <v>8</v>
      </c>
      <c r="Q619" s="4">
        <f>IF(Tabela2[[#This Row],[sex]]="Female",Tabela2[[#This Row],[hours-per-week]],NA())</f>
        <v>40</v>
      </c>
      <c r="R619" s="4" t="e">
        <f>IF(Tabela2[[#This Row],[sex]]="Male",Tabela2[[#This Row],[hours-per-week]],NA())</f>
        <v>#N/A</v>
      </c>
    </row>
    <row r="620" spans="1:18">
      <c r="A620" s="3" t="s">
        <v>711</v>
      </c>
      <c r="B620" s="4">
        <v>39</v>
      </c>
      <c r="C620" s="4" t="s">
        <v>0</v>
      </c>
      <c r="D620" s="4">
        <v>110426</v>
      </c>
      <c r="E620" s="4" t="s">
        <v>9</v>
      </c>
      <c r="F620" s="4">
        <v>12</v>
      </c>
      <c r="G620" s="4" t="s">
        <v>29</v>
      </c>
      <c r="H620" s="4" t="s">
        <v>46</v>
      </c>
      <c r="I620" s="4" t="s">
        <v>31</v>
      </c>
      <c r="J620" s="4" t="s">
        <v>5</v>
      </c>
      <c r="K620" s="4" t="s">
        <v>6</v>
      </c>
      <c r="L620" s="4">
        <v>15024</v>
      </c>
      <c r="M620" s="4">
        <v>0</v>
      </c>
      <c r="N620" s="4">
        <v>45</v>
      </c>
      <c r="O620" s="4" t="s">
        <v>7</v>
      </c>
      <c r="P620" s="4" t="s">
        <v>19</v>
      </c>
      <c r="Q620" s="4">
        <f>IF(Tabela2[[#This Row],[sex]]="Female",Tabela2[[#This Row],[hours-per-week]],NA())</f>
        <v>45</v>
      </c>
      <c r="R620" s="4" t="e">
        <f>IF(Tabela2[[#This Row],[sex]]="Male",Tabela2[[#This Row],[hours-per-week]],NA())</f>
        <v>#N/A</v>
      </c>
    </row>
    <row r="621" spans="1:18">
      <c r="A621" s="3" t="s">
        <v>712</v>
      </c>
      <c r="B621" s="4">
        <v>43</v>
      </c>
      <c r="C621" s="4" t="s">
        <v>20</v>
      </c>
      <c r="D621" s="4">
        <v>188280</v>
      </c>
      <c r="E621" s="4" t="s">
        <v>39</v>
      </c>
      <c r="F621" s="4">
        <v>14</v>
      </c>
      <c r="G621" s="4" t="s">
        <v>15</v>
      </c>
      <c r="H621" s="4" t="s">
        <v>27</v>
      </c>
      <c r="I621" s="4" t="s">
        <v>35</v>
      </c>
      <c r="J621" s="4" t="s">
        <v>5</v>
      </c>
      <c r="K621" s="4" t="s">
        <v>6</v>
      </c>
      <c r="L621" s="4">
        <v>914</v>
      </c>
      <c r="M621" s="4">
        <v>0</v>
      </c>
      <c r="N621" s="4">
        <v>40</v>
      </c>
      <c r="O621" s="4" t="s">
        <v>7</v>
      </c>
      <c r="P621" s="4" t="s">
        <v>8</v>
      </c>
      <c r="Q621" s="4">
        <f>IF(Tabela2[[#This Row],[sex]]="Female",Tabela2[[#This Row],[hours-per-week]],NA())</f>
        <v>40</v>
      </c>
      <c r="R621" s="4" t="e">
        <f>IF(Tabela2[[#This Row],[sex]]="Male",Tabela2[[#This Row],[hours-per-week]],NA())</f>
        <v>#N/A</v>
      </c>
    </row>
    <row r="622" spans="1:18">
      <c r="A622" s="3" t="s">
        <v>713</v>
      </c>
      <c r="B622" s="4">
        <v>37</v>
      </c>
      <c r="C622" s="4" t="s">
        <v>0</v>
      </c>
      <c r="D622" s="4">
        <v>199753</v>
      </c>
      <c r="E622" s="4" t="s">
        <v>12</v>
      </c>
      <c r="F622" s="4">
        <v>10</v>
      </c>
      <c r="G622" s="4" t="s">
        <v>29</v>
      </c>
      <c r="H622" s="4" t="s">
        <v>16</v>
      </c>
      <c r="I622" s="4" t="s">
        <v>32</v>
      </c>
      <c r="J622" s="4" t="s">
        <v>5</v>
      </c>
      <c r="K622" s="4" t="s">
        <v>18</v>
      </c>
      <c r="L622" s="4">
        <v>0</v>
      </c>
      <c r="M622" s="4">
        <v>0</v>
      </c>
      <c r="N622" s="4">
        <v>35</v>
      </c>
      <c r="O622" s="4" t="s">
        <v>7</v>
      </c>
      <c r="P622" s="4" t="s">
        <v>19</v>
      </c>
      <c r="Q622" s="4" t="e">
        <f>IF(Tabela2[[#This Row],[sex]]="Female",Tabela2[[#This Row],[hours-per-week]],NA())</f>
        <v>#N/A</v>
      </c>
      <c r="R622" s="4">
        <f>IF(Tabela2[[#This Row],[sex]]="Male",Tabela2[[#This Row],[hours-per-week]],NA())</f>
        <v>35</v>
      </c>
    </row>
    <row r="623" spans="1:18">
      <c r="A623" s="3" t="s">
        <v>714</v>
      </c>
      <c r="B623" s="4">
        <v>25</v>
      </c>
      <c r="C623" s="4" t="s">
        <v>0</v>
      </c>
      <c r="D623" s="4">
        <v>222539</v>
      </c>
      <c r="E623" s="4" t="s">
        <v>43</v>
      </c>
      <c r="F623" s="4">
        <v>6</v>
      </c>
      <c r="G623" s="4" t="s">
        <v>2</v>
      </c>
      <c r="H623" s="4" t="s">
        <v>38</v>
      </c>
      <c r="I623" s="4" t="s">
        <v>11</v>
      </c>
      <c r="J623" s="4" t="s">
        <v>5</v>
      </c>
      <c r="K623" s="4" t="s">
        <v>18</v>
      </c>
      <c r="L623" s="4">
        <v>2597</v>
      </c>
      <c r="M623" s="4">
        <v>0</v>
      </c>
      <c r="N623" s="4">
        <v>50</v>
      </c>
      <c r="O623" s="4" t="s">
        <v>7</v>
      </c>
      <c r="P623" s="4" t="s">
        <v>8</v>
      </c>
      <c r="Q623" s="4" t="e">
        <f>IF(Tabela2[[#This Row],[sex]]="Female",Tabela2[[#This Row],[hours-per-week]],NA())</f>
        <v>#N/A</v>
      </c>
      <c r="R623" s="4">
        <f>IF(Tabela2[[#This Row],[sex]]="Male",Tabela2[[#This Row],[hours-per-week]],NA())</f>
        <v>50</v>
      </c>
    </row>
    <row r="624" spans="1:18">
      <c r="A624" s="3" t="s">
        <v>715</v>
      </c>
      <c r="B624" s="4">
        <v>41</v>
      </c>
      <c r="C624" s="4" t="s">
        <v>37</v>
      </c>
      <c r="D624" s="4">
        <v>252127</v>
      </c>
      <c r="E624" s="4" t="s">
        <v>12</v>
      </c>
      <c r="F624" s="4">
        <v>10</v>
      </c>
      <c r="G624" s="4" t="s">
        <v>47</v>
      </c>
      <c r="H624" s="4" t="s">
        <v>37</v>
      </c>
      <c r="I624" s="4" t="s">
        <v>35</v>
      </c>
      <c r="J624" s="4" t="s">
        <v>23</v>
      </c>
      <c r="K624" s="4" t="s">
        <v>6</v>
      </c>
      <c r="L624" s="4">
        <v>0</v>
      </c>
      <c r="M624" s="4">
        <v>0</v>
      </c>
      <c r="N624" s="4">
        <v>20</v>
      </c>
      <c r="O624" s="4" t="s">
        <v>7</v>
      </c>
      <c r="P624" s="4" t="s">
        <v>8</v>
      </c>
      <c r="Q624" s="4">
        <f>IF(Tabela2[[#This Row],[sex]]="Female",Tabela2[[#This Row],[hours-per-week]],NA())</f>
        <v>20</v>
      </c>
      <c r="R624" s="4" t="e">
        <f>IF(Tabela2[[#This Row],[sex]]="Male",Tabela2[[#This Row],[hours-per-week]],NA())</f>
        <v>#N/A</v>
      </c>
    </row>
    <row r="625" spans="1:18">
      <c r="A625" s="3" t="s">
        <v>716</v>
      </c>
      <c r="B625" s="4">
        <v>48</v>
      </c>
      <c r="C625" s="4" t="s">
        <v>40</v>
      </c>
      <c r="D625" s="4">
        <v>28791</v>
      </c>
      <c r="E625" s="4" t="s">
        <v>28</v>
      </c>
      <c r="F625" s="4">
        <v>9</v>
      </c>
      <c r="G625" s="4" t="s">
        <v>29</v>
      </c>
      <c r="H625" s="4" t="s">
        <v>10</v>
      </c>
      <c r="I625" s="4" t="s">
        <v>31</v>
      </c>
      <c r="J625" s="4" t="s">
        <v>5</v>
      </c>
      <c r="K625" s="4" t="s">
        <v>6</v>
      </c>
      <c r="L625" s="4">
        <v>0</v>
      </c>
      <c r="M625" s="4">
        <v>0</v>
      </c>
      <c r="N625" s="4">
        <v>50</v>
      </c>
      <c r="O625" s="4" t="s">
        <v>7</v>
      </c>
      <c r="P625" s="4" t="s">
        <v>8</v>
      </c>
      <c r="Q625" s="4">
        <f>IF(Tabela2[[#This Row],[sex]]="Female",Tabela2[[#This Row],[hours-per-week]],NA())</f>
        <v>50</v>
      </c>
      <c r="R625" s="4" t="e">
        <f>IF(Tabela2[[#This Row],[sex]]="Male",Tabela2[[#This Row],[hours-per-week]],NA())</f>
        <v>#N/A</v>
      </c>
    </row>
    <row r="626" spans="1:18">
      <c r="A626" s="3" t="s">
        <v>717</v>
      </c>
      <c r="B626" s="4">
        <v>28</v>
      </c>
      <c r="C626" s="4" t="s">
        <v>20</v>
      </c>
      <c r="D626" s="4">
        <v>401886</v>
      </c>
      <c r="E626" s="4" t="s">
        <v>28</v>
      </c>
      <c r="F626" s="4">
        <v>9</v>
      </c>
      <c r="G626" s="4" t="s">
        <v>2</v>
      </c>
      <c r="H626" s="4" t="s">
        <v>33</v>
      </c>
      <c r="I626" s="4" t="s">
        <v>45</v>
      </c>
      <c r="J626" s="4" t="s">
        <v>5</v>
      </c>
      <c r="K626" s="4" t="s">
        <v>18</v>
      </c>
      <c r="L626" s="4">
        <v>0</v>
      </c>
      <c r="M626" s="4">
        <v>0</v>
      </c>
      <c r="N626" s="4">
        <v>20</v>
      </c>
      <c r="O626" s="4" t="s">
        <v>7</v>
      </c>
      <c r="P626" s="4" t="s">
        <v>8</v>
      </c>
      <c r="Q626" s="4" t="e">
        <f>IF(Tabela2[[#This Row],[sex]]="Female",Tabela2[[#This Row],[hours-per-week]],NA())</f>
        <v>#N/A</v>
      </c>
      <c r="R626" s="4">
        <f>IF(Tabela2[[#This Row],[sex]]="Male",Tabela2[[#This Row],[hours-per-week]],NA())</f>
        <v>20</v>
      </c>
    </row>
    <row r="627" spans="1:18">
      <c r="A627" s="3" t="s">
        <v>718</v>
      </c>
      <c r="B627" s="4">
        <v>42</v>
      </c>
      <c r="C627" s="4" t="s">
        <v>37</v>
      </c>
      <c r="D627" s="4">
        <v>175935</v>
      </c>
      <c r="E627" s="4" t="s">
        <v>28</v>
      </c>
      <c r="F627" s="4">
        <v>9</v>
      </c>
      <c r="G627" s="4" t="s">
        <v>21</v>
      </c>
      <c r="H627" s="4" t="s">
        <v>37</v>
      </c>
      <c r="I627" s="4" t="s">
        <v>35</v>
      </c>
      <c r="J627" s="4" t="s">
        <v>5</v>
      </c>
      <c r="K627" s="4" t="s">
        <v>18</v>
      </c>
      <c r="L627" s="4">
        <v>0</v>
      </c>
      <c r="M627" s="4">
        <v>0</v>
      </c>
      <c r="N627" s="4">
        <v>40</v>
      </c>
      <c r="O627" s="4" t="s">
        <v>7</v>
      </c>
      <c r="P627" s="4" t="s">
        <v>8</v>
      </c>
      <c r="Q627" s="4" t="e">
        <f>IF(Tabela2[[#This Row],[sex]]="Female",Tabela2[[#This Row],[hours-per-week]],NA())</f>
        <v>#N/A</v>
      </c>
      <c r="R627" s="4">
        <f>IF(Tabela2[[#This Row],[sex]]="Male",Tabela2[[#This Row],[hours-per-week]],NA())</f>
        <v>40</v>
      </c>
    </row>
    <row r="628" spans="1:18">
      <c r="A628" s="3" t="s">
        <v>719</v>
      </c>
      <c r="B628" s="4">
        <v>42</v>
      </c>
      <c r="C628" s="4" t="s">
        <v>20</v>
      </c>
      <c r="D628" s="4">
        <v>194417</v>
      </c>
      <c r="E628" s="4" t="s">
        <v>12</v>
      </c>
      <c r="F628" s="4">
        <v>10</v>
      </c>
      <c r="G628" s="4" t="s">
        <v>29</v>
      </c>
      <c r="H628" s="4" t="s">
        <v>55</v>
      </c>
      <c r="I628" s="4" t="s">
        <v>32</v>
      </c>
      <c r="J628" s="4" t="s">
        <v>5</v>
      </c>
      <c r="K628" s="4" t="s">
        <v>18</v>
      </c>
      <c r="L628" s="4">
        <v>0</v>
      </c>
      <c r="M628" s="4">
        <v>0</v>
      </c>
      <c r="N628" s="4">
        <v>40</v>
      </c>
      <c r="O628" s="4" t="s">
        <v>7</v>
      </c>
      <c r="P628" s="4" t="s">
        <v>19</v>
      </c>
      <c r="Q628" s="4" t="e">
        <f>IF(Tabela2[[#This Row],[sex]]="Female",Tabela2[[#This Row],[hours-per-week]],NA())</f>
        <v>#N/A</v>
      </c>
      <c r="R628" s="4">
        <f>IF(Tabela2[[#This Row],[sex]]="Male",Tabela2[[#This Row],[hours-per-week]],NA())</f>
        <v>40</v>
      </c>
    </row>
    <row r="629" spans="1:18">
      <c r="A629" s="3" t="s">
        <v>720</v>
      </c>
      <c r="B629" s="4">
        <v>57</v>
      </c>
      <c r="C629" s="4" t="s">
        <v>40</v>
      </c>
      <c r="D629" s="4">
        <v>413373</v>
      </c>
      <c r="E629" s="4" t="s">
        <v>63</v>
      </c>
      <c r="F629" s="4">
        <v>16</v>
      </c>
      <c r="G629" s="4" t="s">
        <v>29</v>
      </c>
      <c r="H629" s="4" t="s">
        <v>10</v>
      </c>
      <c r="I629" s="4" t="s">
        <v>32</v>
      </c>
      <c r="J629" s="4" t="s">
        <v>5</v>
      </c>
      <c r="K629" s="4" t="s">
        <v>18</v>
      </c>
      <c r="L629" s="4">
        <v>0</v>
      </c>
      <c r="M629" s="4">
        <v>1902</v>
      </c>
      <c r="N629" s="4">
        <v>40</v>
      </c>
      <c r="O629" s="4" t="s">
        <v>7</v>
      </c>
      <c r="P629" s="4" t="s">
        <v>19</v>
      </c>
      <c r="Q629" s="4" t="e">
        <f>IF(Tabela2[[#This Row],[sex]]="Female",Tabela2[[#This Row],[hours-per-week]],NA())</f>
        <v>#N/A</v>
      </c>
      <c r="R629" s="4">
        <f>IF(Tabela2[[#This Row],[sex]]="Male",Tabela2[[#This Row],[hours-per-week]],NA())</f>
        <v>40</v>
      </c>
    </row>
    <row r="630" spans="1:18">
      <c r="A630" s="3" t="s">
        <v>721</v>
      </c>
      <c r="B630" s="4">
        <v>36</v>
      </c>
      <c r="C630" s="4" t="s">
        <v>0</v>
      </c>
      <c r="D630" s="4">
        <v>418702</v>
      </c>
      <c r="E630" s="4" t="s">
        <v>44</v>
      </c>
      <c r="F630" s="4">
        <v>11</v>
      </c>
      <c r="G630" s="4" t="s">
        <v>15</v>
      </c>
      <c r="H630" s="4" t="s">
        <v>33</v>
      </c>
      <c r="I630" s="4" t="s">
        <v>35</v>
      </c>
      <c r="J630" s="4" t="s">
        <v>5</v>
      </c>
      <c r="K630" s="4" t="s">
        <v>6</v>
      </c>
      <c r="L630" s="4">
        <v>0</v>
      </c>
      <c r="M630" s="4">
        <v>0</v>
      </c>
      <c r="N630" s="4">
        <v>40</v>
      </c>
      <c r="O630" s="4" t="s">
        <v>7</v>
      </c>
      <c r="P630" s="4" t="s">
        <v>8</v>
      </c>
      <c r="Q630" s="4">
        <f>IF(Tabela2[[#This Row],[sex]]="Female",Tabela2[[#This Row],[hours-per-week]],NA())</f>
        <v>40</v>
      </c>
      <c r="R630" s="4" t="e">
        <f>IF(Tabela2[[#This Row],[sex]]="Male",Tabela2[[#This Row],[hours-per-week]],NA())</f>
        <v>#N/A</v>
      </c>
    </row>
    <row r="631" spans="1:18">
      <c r="A631" s="3" t="s">
        <v>722</v>
      </c>
      <c r="B631" s="4">
        <v>34</v>
      </c>
      <c r="C631" s="4" t="s">
        <v>20</v>
      </c>
      <c r="D631" s="4">
        <v>136331</v>
      </c>
      <c r="E631" s="4" t="s">
        <v>26</v>
      </c>
      <c r="F631" s="4">
        <v>13</v>
      </c>
      <c r="G631" s="4" t="s">
        <v>29</v>
      </c>
      <c r="H631" s="4" t="s">
        <v>27</v>
      </c>
      <c r="I631" s="4" t="s">
        <v>32</v>
      </c>
      <c r="J631" s="4" t="s">
        <v>5</v>
      </c>
      <c r="K631" s="4" t="s">
        <v>18</v>
      </c>
      <c r="L631" s="4">
        <v>0</v>
      </c>
      <c r="M631" s="4">
        <v>0</v>
      </c>
      <c r="N631" s="4">
        <v>60</v>
      </c>
      <c r="O631" s="4" t="s">
        <v>7</v>
      </c>
      <c r="P631" s="4" t="s">
        <v>8</v>
      </c>
      <c r="Q631" s="4" t="e">
        <f>IF(Tabela2[[#This Row],[sex]]="Female",Tabela2[[#This Row],[hours-per-week]],NA())</f>
        <v>#N/A</v>
      </c>
      <c r="R631" s="4">
        <f>IF(Tabela2[[#This Row],[sex]]="Male",Tabela2[[#This Row],[hours-per-week]],NA())</f>
        <v>60</v>
      </c>
    </row>
    <row r="632" spans="1:18">
      <c r="A632" s="3" t="s">
        <v>723</v>
      </c>
      <c r="B632" s="4">
        <v>18</v>
      </c>
      <c r="C632" s="4" t="s">
        <v>49</v>
      </c>
      <c r="D632" s="4">
        <v>174202</v>
      </c>
      <c r="E632" s="4" t="s">
        <v>28</v>
      </c>
      <c r="F632" s="4">
        <v>9</v>
      </c>
      <c r="G632" s="4" t="s">
        <v>2</v>
      </c>
      <c r="H632" s="4" t="s">
        <v>38</v>
      </c>
      <c r="I632" s="4" t="s">
        <v>4</v>
      </c>
      <c r="J632" s="4" t="s">
        <v>5</v>
      </c>
      <c r="K632" s="4" t="s">
        <v>18</v>
      </c>
      <c r="L632" s="4">
        <v>0</v>
      </c>
      <c r="M632" s="4">
        <v>0</v>
      </c>
      <c r="N632" s="4">
        <v>60</v>
      </c>
      <c r="O632" s="4" t="s">
        <v>7</v>
      </c>
      <c r="P632" s="4" t="s">
        <v>8</v>
      </c>
      <c r="Q632" s="4" t="e">
        <f>IF(Tabela2[[#This Row],[sex]]="Female",Tabela2[[#This Row],[hours-per-week]],NA())</f>
        <v>#N/A</v>
      </c>
      <c r="R632" s="4">
        <f>IF(Tabela2[[#This Row],[sex]]="Male",Tabela2[[#This Row],[hours-per-week]],NA())</f>
        <v>60</v>
      </c>
    </row>
    <row r="633" spans="1:18">
      <c r="A633" s="3" t="s">
        <v>724</v>
      </c>
      <c r="B633" s="4">
        <v>17</v>
      </c>
      <c r="C633" s="4" t="s">
        <v>0</v>
      </c>
      <c r="D633" s="4">
        <v>309504</v>
      </c>
      <c r="E633" s="4" t="s">
        <v>43</v>
      </c>
      <c r="F633" s="4">
        <v>6</v>
      </c>
      <c r="G633" s="4" t="s">
        <v>2</v>
      </c>
      <c r="H633" s="4" t="s">
        <v>10</v>
      </c>
      <c r="I633" s="4" t="s">
        <v>35</v>
      </c>
      <c r="J633" s="4" t="s">
        <v>5</v>
      </c>
      <c r="K633" s="4" t="s">
        <v>6</v>
      </c>
      <c r="L633" s="4">
        <v>0</v>
      </c>
      <c r="M633" s="4">
        <v>0</v>
      </c>
      <c r="N633" s="4">
        <v>24</v>
      </c>
      <c r="O633" s="4" t="s">
        <v>7</v>
      </c>
      <c r="P633" s="4" t="s">
        <v>8</v>
      </c>
      <c r="Q633" s="4">
        <f>IF(Tabela2[[#This Row],[sex]]="Female",Tabela2[[#This Row],[hours-per-week]],NA())</f>
        <v>24</v>
      </c>
      <c r="R633" s="4" t="e">
        <f>IF(Tabela2[[#This Row],[sex]]="Male",Tabela2[[#This Row],[hours-per-week]],NA())</f>
        <v>#N/A</v>
      </c>
    </row>
    <row r="634" spans="1:18">
      <c r="A634" s="3" t="s">
        <v>725</v>
      </c>
      <c r="B634" s="4">
        <v>34</v>
      </c>
      <c r="C634" s="4" t="s">
        <v>49</v>
      </c>
      <c r="D634" s="4">
        <v>154120</v>
      </c>
      <c r="E634" s="4" t="s">
        <v>28</v>
      </c>
      <c r="F634" s="4">
        <v>9</v>
      </c>
      <c r="G634" s="4" t="s">
        <v>2</v>
      </c>
      <c r="H634" s="4" t="s">
        <v>24</v>
      </c>
      <c r="I634" s="4" t="s">
        <v>4</v>
      </c>
      <c r="J634" s="4" t="s">
        <v>5</v>
      </c>
      <c r="K634" s="4" t="s">
        <v>18</v>
      </c>
      <c r="L634" s="4">
        <v>0</v>
      </c>
      <c r="M634" s="4">
        <v>0</v>
      </c>
      <c r="N634" s="4">
        <v>55</v>
      </c>
      <c r="O634" s="4" t="s">
        <v>7</v>
      </c>
      <c r="P634" s="4" t="s">
        <v>8</v>
      </c>
      <c r="Q634" s="4" t="e">
        <f>IF(Tabela2[[#This Row],[sex]]="Female",Tabela2[[#This Row],[hours-per-week]],NA())</f>
        <v>#N/A</v>
      </c>
      <c r="R634" s="4">
        <f>IF(Tabela2[[#This Row],[sex]]="Male",Tabela2[[#This Row],[hours-per-week]],NA())</f>
        <v>55</v>
      </c>
    </row>
    <row r="635" spans="1:18">
      <c r="A635" s="3" t="s">
        <v>726</v>
      </c>
      <c r="B635" s="4">
        <v>40</v>
      </c>
      <c r="C635" s="4" t="s">
        <v>0</v>
      </c>
      <c r="D635" s="4">
        <v>259307</v>
      </c>
      <c r="E635" s="4" t="s">
        <v>12</v>
      </c>
      <c r="F635" s="4">
        <v>10</v>
      </c>
      <c r="G635" s="4" t="s">
        <v>2</v>
      </c>
      <c r="H635" s="4" t="s">
        <v>46</v>
      </c>
      <c r="I635" s="4" t="s">
        <v>11</v>
      </c>
      <c r="J635" s="4" t="s">
        <v>5</v>
      </c>
      <c r="K635" s="4" t="s">
        <v>18</v>
      </c>
      <c r="L635" s="4">
        <v>0</v>
      </c>
      <c r="M635" s="4">
        <v>0</v>
      </c>
      <c r="N635" s="4">
        <v>50</v>
      </c>
      <c r="O635" s="4" t="s">
        <v>7</v>
      </c>
      <c r="P635" s="4" t="s">
        <v>8</v>
      </c>
      <c r="Q635" s="4" t="e">
        <f>IF(Tabela2[[#This Row],[sex]]="Female",Tabela2[[#This Row],[hours-per-week]],NA())</f>
        <v>#N/A</v>
      </c>
      <c r="R635" s="4">
        <f>IF(Tabela2[[#This Row],[sex]]="Male",Tabela2[[#This Row],[hours-per-week]],NA())</f>
        <v>50</v>
      </c>
    </row>
    <row r="636" spans="1:18">
      <c r="A636" s="3" t="s">
        <v>727</v>
      </c>
      <c r="B636" s="4">
        <v>26</v>
      </c>
      <c r="C636" s="4" t="s">
        <v>0</v>
      </c>
      <c r="D636" s="4">
        <v>107827</v>
      </c>
      <c r="E636" s="4" t="s">
        <v>28</v>
      </c>
      <c r="F636" s="4">
        <v>9</v>
      </c>
      <c r="G636" s="4" t="s">
        <v>2</v>
      </c>
      <c r="H636" s="4" t="s">
        <v>3</v>
      </c>
      <c r="I636" s="4" t="s">
        <v>35</v>
      </c>
      <c r="J636" s="4" t="s">
        <v>5</v>
      </c>
      <c r="K636" s="4" t="s">
        <v>18</v>
      </c>
      <c r="L636" s="4">
        <v>0</v>
      </c>
      <c r="M636" s="4">
        <v>0</v>
      </c>
      <c r="N636" s="4">
        <v>25</v>
      </c>
      <c r="O636" s="4" t="s">
        <v>7</v>
      </c>
      <c r="P636" s="4" t="s">
        <v>8</v>
      </c>
      <c r="Q636" s="4" t="e">
        <f>IF(Tabela2[[#This Row],[sex]]="Female",Tabela2[[#This Row],[hours-per-week]],NA())</f>
        <v>#N/A</v>
      </c>
      <c r="R636" s="4">
        <f>IF(Tabela2[[#This Row],[sex]]="Male",Tabela2[[#This Row],[hours-per-week]],NA())</f>
        <v>25</v>
      </c>
    </row>
    <row r="637" spans="1:18">
      <c r="A637" s="3" t="s">
        <v>728</v>
      </c>
      <c r="B637" s="4">
        <v>66</v>
      </c>
      <c r="C637" s="4" t="s">
        <v>0</v>
      </c>
      <c r="D637" s="4">
        <v>115498</v>
      </c>
      <c r="E637" s="4" t="s">
        <v>26</v>
      </c>
      <c r="F637" s="4">
        <v>13</v>
      </c>
      <c r="G637" s="4" t="s">
        <v>29</v>
      </c>
      <c r="H637" s="4" t="s">
        <v>46</v>
      </c>
      <c r="I637" s="4" t="s">
        <v>32</v>
      </c>
      <c r="J637" s="4" t="s">
        <v>5</v>
      </c>
      <c r="K637" s="4" t="s">
        <v>18</v>
      </c>
      <c r="L637" s="4">
        <v>99999</v>
      </c>
      <c r="M637" s="4">
        <v>0</v>
      </c>
      <c r="N637" s="4">
        <v>55</v>
      </c>
      <c r="O637" s="4" t="s">
        <v>37</v>
      </c>
      <c r="P637" s="4" t="s">
        <v>19</v>
      </c>
      <c r="Q637" s="4" t="e">
        <f>IF(Tabela2[[#This Row],[sex]]="Female",Tabela2[[#This Row],[hours-per-week]],NA())</f>
        <v>#N/A</v>
      </c>
      <c r="R637" s="4">
        <f>IF(Tabela2[[#This Row],[sex]]="Male",Tabela2[[#This Row],[hours-per-week]],NA())</f>
        <v>55</v>
      </c>
    </row>
    <row r="638" spans="1:18">
      <c r="A638" s="3" t="s">
        <v>729</v>
      </c>
      <c r="B638" s="4">
        <v>37</v>
      </c>
      <c r="C638" s="4" t="s">
        <v>0</v>
      </c>
      <c r="D638" s="4">
        <v>272950</v>
      </c>
      <c r="E638" s="4" t="s">
        <v>28</v>
      </c>
      <c r="F638" s="4">
        <v>9</v>
      </c>
      <c r="G638" s="4" t="s">
        <v>15</v>
      </c>
      <c r="H638" s="4" t="s">
        <v>16</v>
      </c>
      <c r="I638" s="4" t="s">
        <v>11</v>
      </c>
      <c r="J638" s="4" t="s">
        <v>5</v>
      </c>
      <c r="K638" s="4" t="s">
        <v>18</v>
      </c>
      <c r="L638" s="4">
        <v>0</v>
      </c>
      <c r="M638" s="4">
        <v>0</v>
      </c>
      <c r="N638" s="4">
        <v>40</v>
      </c>
      <c r="O638" s="4" t="s">
        <v>7</v>
      </c>
      <c r="P638" s="4" t="s">
        <v>8</v>
      </c>
      <c r="Q638" s="4" t="e">
        <f>IF(Tabela2[[#This Row],[sex]]="Female",Tabela2[[#This Row],[hours-per-week]],NA())</f>
        <v>#N/A</v>
      </c>
      <c r="R638" s="4">
        <f>IF(Tabela2[[#This Row],[sex]]="Male",Tabela2[[#This Row],[hours-per-week]],NA())</f>
        <v>40</v>
      </c>
    </row>
    <row r="639" spans="1:18">
      <c r="A639" s="3" t="s">
        <v>730</v>
      </c>
      <c r="B639" s="4">
        <v>41</v>
      </c>
      <c r="C639" s="4" t="s">
        <v>0</v>
      </c>
      <c r="D639" s="4">
        <v>318046</v>
      </c>
      <c r="E639" s="4" t="s">
        <v>12</v>
      </c>
      <c r="F639" s="4">
        <v>10</v>
      </c>
      <c r="G639" s="4" t="s">
        <v>29</v>
      </c>
      <c r="H639" s="4" t="s">
        <v>38</v>
      </c>
      <c r="I639" s="4" t="s">
        <v>32</v>
      </c>
      <c r="J639" s="4" t="s">
        <v>5</v>
      </c>
      <c r="K639" s="4" t="s">
        <v>18</v>
      </c>
      <c r="L639" s="4">
        <v>0</v>
      </c>
      <c r="M639" s="4">
        <v>0</v>
      </c>
      <c r="N639" s="4">
        <v>48</v>
      </c>
      <c r="O639" s="4" t="s">
        <v>7</v>
      </c>
      <c r="P639" s="4" t="s">
        <v>19</v>
      </c>
      <c r="Q639" s="4" t="e">
        <f>IF(Tabela2[[#This Row],[sex]]="Female",Tabela2[[#This Row],[hours-per-week]],NA())</f>
        <v>#N/A</v>
      </c>
      <c r="R639" s="4">
        <f>IF(Tabela2[[#This Row],[sex]]="Male",Tabela2[[#This Row],[hours-per-week]],NA())</f>
        <v>48</v>
      </c>
    </row>
    <row r="640" spans="1:18">
      <c r="A640" s="3" t="s">
        <v>731</v>
      </c>
      <c r="B640" s="4">
        <v>65</v>
      </c>
      <c r="C640" s="4" t="s">
        <v>20</v>
      </c>
      <c r="D640" s="4">
        <v>103153</v>
      </c>
      <c r="E640" s="4" t="s">
        <v>57</v>
      </c>
      <c r="F640" s="4">
        <v>4</v>
      </c>
      <c r="G640" s="4" t="s">
        <v>29</v>
      </c>
      <c r="H640" s="4" t="s">
        <v>46</v>
      </c>
      <c r="I640" s="4" t="s">
        <v>32</v>
      </c>
      <c r="J640" s="4" t="s">
        <v>5</v>
      </c>
      <c r="K640" s="4" t="s">
        <v>18</v>
      </c>
      <c r="L640" s="4">
        <v>0</v>
      </c>
      <c r="M640" s="4">
        <v>1411</v>
      </c>
      <c r="N640" s="4">
        <v>40</v>
      </c>
      <c r="O640" s="4" t="s">
        <v>7</v>
      </c>
      <c r="P640" s="4" t="s">
        <v>8</v>
      </c>
      <c r="Q640" s="4" t="e">
        <f>IF(Tabela2[[#This Row],[sex]]="Female",Tabela2[[#This Row],[hours-per-week]],NA())</f>
        <v>#N/A</v>
      </c>
      <c r="R640" s="4">
        <f>IF(Tabela2[[#This Row],[sex]]="Male",Tabela2[[#This Row],[hours-per-week]],NA())</f>
        <v>40</v>
      </c>
    </row>
    <row r="641" spans="1:18">
      <c r="A641" s="3" t="s">
        <v>732</v>
      </c>
      <c r="B641" s="4">
        <v>54</v>
      </c>
      <c r="C641" s="4" t="s">
        <v>0</v>
      </c>
      <c r="D641" s="4">
        <v>161691</v>
      </c>
      <c r="E641" s="4" t="s">
        <v>39</v>
      </c>
      <c r="F641" s="4">
        <v>14</v>
      </c>
      <c r="G641" s="4" t="s">
        <v>15</v>
      </c>
      <c r="H641" s="4" t="s">
        <v>27</v>
      </c>
      <c r="I641" s="4" t="s">
        <v>11</v>
      </c>
      <c r="J641" s="4" t="s">
        <v>5</v>
      </c>
      <c r="K641" s="4" t="s">
        <v>6</v>
      </c>
      <c r="L641" s="4">
        <v>0</v>
      </c>
      <c r="M641" s="4">
        <v>2559</v>
      </c>
      <c r="N641" s="4">
        <v>40</v>
      </c>
      <c r="O641" s="4" t="s">
        <v>7</v>
      </c>
      <c r="P641" s="4" t="s">
        <v>19</v>
      </c>
      <c r="Q641" s="4">
        <f>IF(Tabela2[[#This Row],[sex]]="Female",Tabela2[[#This Row],[hours-per-week]],NA())</f>
        <v>40</v>
      </c>
      <c r="R641" s="4" t="e">
        <f>IF(Tabela2[[#This Row],[sex]]="Male",Tabela2[[#This Row],[hours-per-week]],NA())</f>
        <v>#N/A</v>
      </c>
    </row>
    <row r="642" spans="1:18">
      <c r="A642" s="3" t="s">
        <v>733</v>
      </c>
      <c r="B642" s="4">
        <v>42</v>
      </c>
      <c r="C642" s="4" t="s">
        <v>0</v>
      </c>
      <c r="D642" s="4">
        <v>248356</v>
      </c>
      <c r="E642" s="4" t="s">
        <v>28</v>
      </c>
      <c r="F642" s="4">
        <v>9</v>
      </c>
      <c r="G642" s="4" t="s">
        <v>2</v>
      </c>
      <c r="H642" s="4" t="s">
        <v>10</v>
      </c>
      <c r="I642" s="4" t="s">
        <v>35</v>
      </c>
      <c r="J642" s="4" t="s">
        <v>5</v>
      </c>
      <c r="K642" s="4" t="s">
        <v>6</v>
      </c>
      <c r="L642" s="4">
        <v>0</v>
      </c>
      <c r="M642" s="4">
        <v>0</v>
      </c>
      <c r="N642" s="4">
        <v>40</v>
      </c>
      <c r="O642" s="4" t="s">
        <v>7</v>
      </c>
      <c r="P642" s="4" t="s">
        <v>8</v>
      </c>
      <c r="Q642" s="4">
        <f>IF(Tabela2[[#This Row],[sex]]="Female",Tabela2[[#This Row],[hours-per-week]],NA())</f>
        <v>40</v>
      </c>
      <c r="R642" s="4" t="e">
        <f>IF(Tabela2[[#This Row],[sex]]="Male",Tabela2[[#This Row],[hours-per-week]],NA())</f>
        <v>#N/A</v>
      </c>
    </row>
    <row r="643" spans="1:18">
      <c r="A643" s="3" t="s">
        <v>734</v>
      </c>
      <c r="B643" s="4">
        <v>30</v>
      </c>
      <c r="C643" s="4" t="s">
        <v>40</v>
      </c>
      <c r="D643" s="4">
        <v>176185</v>
      </c>
      <c r="E643" s="4" t="s">
        <v>12</v>
      </c>
      <c r="F643" s="4">
        <v>10</v>
      </c>
      <c r="G643" s="4" t="s">
        <v>56</v>
      </c>
      <c r="H643" s="4" t="s">
        <v>16</v>
      </c>
      <c r="I643" s="4" t="s">
        <v>4</v>
      </c>
      <c r="J643" s="4" t="s">
        <v>5</v>
      </c>
      <c r="K643" s="4" t="s">
        <v>18</v>
      </c>
      <c r="L643" s="4">
        <v>0</v>
      </c>
      <c r="M643" s="4">
        <v>0</v>
      </c>
      <c r="N643" s="4">
        <v>60</v>
      </c>
      <c r="O643" s="4" t="s">
        <v>7</v>
      </c>
      <c r="P643" s="4" t="s">
        <v>19</v>
      </c>
      <c r="Q643" s="4" t="e">
        <f>IF(Tabela2[[#This Row],[sex]]="Female",Tabela2[[#This Row],[hours-per-week]],NA())</f>
        <v>#N/A</v>
      </c>
      <c r="R643" s="4">
        <f>IF(Tabela2[[#This Row],[sex]]="Male",Tabela2[[#This Row],[hours-per-week]],NA())</f>
        <v>60</v>
      </c>
    </row>
    <row r="644" spans="1:18">
      <c r="A644" s="3" t="s">
        <v>735</v>
      </c>
      <c r="B644" s="4">
        <v>30</v>
      </c>
      <c r="C644" s="4" t="s">
        <v>37</v>
      </c>
      <c r="D644" s="4">
        <v>33811</v>
      </c>
      <c r="E644" s="4" t="s">
        <v>26</v>
      </c>
      <c r="F644" s="4">
        <v>13</v>
      </c>
      <c r="G644" s="4" t="s">
        <v>2</v>
      </c>
      <c r="H644" s="4" t="s">
        <v>37</v>
      </c>
      <c r="I644" s="4" t="s">
        <v>11</v>
      </c>
      <c r="J644" s="4" t="s">
        <v>36</v>
      </c>
      <c r="K644" s="4" t="s">
        <v>6</v>
      </c>
      <c r="L644" s="4">
        <v>0</v>
      </c>
      <c r="M644" s="4">
        <v>0</v>
      </c>
      <c r="N644" s="4">
        <v>99</v>
      </c>
      <c r="O644" s="4" t="s">
        <v>7</v>
      </c>
      <c r="P644" s="4" t="s">
        <v>8</v>
      </c>
      <c r="Q644" s="4">
        <f>IF(Tabela2[[#This Row],[sex]]="Female",Tabela2[[#This Row],[hours-per-week]],NA())</f>
        <v>99</v>
      </c>
      <c r="R644" s="4" t="e">
        <f>IF(Tabela2[[#This Row],[sex]]="Male",Tabela2[[#This Row],[hours-per-week]],NA())</f>
        <v>#N/A</v>
      </c>
    </row>
  </sheetData>
  <phoneticPr fontId="3" type="noConversion"/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CD22D-D2FA-4A49-AB7B-29B727B8AA78}">
  <dimension ref="A1:M644"/>
  <sheetViews>
    <sheetView zoomScale="85" zoomScaleNormal="85" workbookViewId="0">
      <selection activeCell="W10" sqref="W10"/>
    </sheetView>
  </sheetViews>
  <sheetFormatPr defaultRowHeight="14.25"/>
  <cols>
    <col min="1" max="1" width="7.625" bestFit="1" customWidth="1"/>
    <col min="2" max="2" width="18" bestFit="1" customWidth="1"/>
    <col min="3" max="3" width="17.125" bestFit="1" customWidth="1"/>
    <col min="4" max="4" width="18" bestFit="1" customWidth="1"/>
    <col min="5" max="5" width="7.625" bestFit="1" customWidth="1"/>
    <col min="6" max="6" width="17.125" bestFit="1" customWidth="1"/>
    <col min="7" max="7" width="7.625" bestFit="1" customWidth="1"/>
    <col min="8" max="8" width="18" bestFit="1" customWidth="1"/>
    <col min="9" max="9" width="10.625" bestFit="1" customWidth="1"/>
    <col min="10" max="10" width="12.875" bestFit="1" customWidth="1"/>
    <col min="11" max="11" width="15" bestFit="1" customWidth="1"/>
    <col min="12" max="12" width="11.875" bestFit="1" customWidth="1"/>
    <col min="13" max="13" width="13.75" bestFit="1" customWidth="1"/>
  </cols>
  <sheetData>
    <row r="1" spans="1:13">
      <c r="A1" t="s">
        <v>768</v>
      </c>
      <c r="B1" t="s">
        <v>769</v>
      </c>
      <c r="C1" t="s">
        <v>770</v>
      </c>
      <c r="D1" t="s">
        <v>771</v>
      </c>
      <c r="E1" t="s">
        <v>772</v>
      </c>
      <c r="F1" t="s">
        <v>773</v>
      </c>
      <c r="G1" t="s">
        <v>775</v>
      </c>
      <c r="H1" t="s">
        <v>774</v>
      </c>
      <c r="I1" t="s">
        <v>776</v>
      </c>
      <c r="J1" t="s">
        <v>777</v>
      </c>
      <c r="K1" t="s">
        <v>778</v>
      </c>
      <c r="L1" t="s">
        <v>779</v>
      </c>
      <c r="M1" t="s">
        <v>780</v>
      </c>
    </row>
    <row r="2" spans="1:13">
      <c r="A2">
        <v>18</v>
      </c>
      <c r="B2">
        <v>22</v>
      </c>
      <c r="C2">
        <v>7</v>
      </c>
      <c r="D2">
        <v>22</v>
      </c>
      <c r="E2">
        <v>18</v>
      </c>
      <c r="F2">
        <v>7</v>
      </c>
      <c r="G2">
        <v>18</v>
      </c>
      <c r="H2">
        <v>22</v>
      </c>
      <c r="I2" t="s">
        <v>8</v>
      </c>
      <c r="J2">
        <f>IF(Tabela4[[#This Row],[4Income]]="&lt;=50K",Tabela4[[#This Row],[4Age]],NA())</f>
        <v>18</v>
      </c>
      <c r="K2">
        <f>IF(Tabela4[[#This Row],[4Income]]="&lt;=50K",Tabela4[[#This Row],[4hours-per-week]],NA())</f>
        <v>22</v>
      </c>
      <c r="L2" t="e">
        <f>IF(Tabela4[[#This Row],[4Income]]="&gt;50K",Tabela4[[#This Row],[4Age]],NA())</f>
        <v>#N/A</v>
      </c>
      <c r="M2" t="e">
        <f>IF(Tabela4[[#This Row],[4Income]]="&gt;50K",Tabela4[[#This Row],[4hours-per-week]],NA())</f>
        <v>#N/A</v>
      </c>
    </row>
    <row r="3" spans="1:13">
      <c r="A3">
        <v>28</v>
      </c>
      <c r="B3">
        <v>60</v>
      </c>
      <c r="C3">
        <v>12</v>
      </c>
      <c r="D3">
        <v>60</v>
      </c>
      <c r="E3">
        <v>28</v>
      </c>
      <c r="F3">
        <v>12</v>
      </c>
      <c r="G3">
        <v>28</v>
      </c>
      <c r="H3">
        <v>60</v>
      </c>
      <c r="I3" t="s">
        <v>8</v>
      </c>
      <c r="J3">
        <f>IF(Tabela4[[#This Row],[4Income]]="&lt;=50K",Tabela4[[#This Row],[4Age]],NA())</f>
        <v>28</v>
      </c>
      <c r="K3">
        <f>IF(Tabela4[[#This Row],[4Income]]="&lt;=50K",Tabela4[[#This Row],[4hours-per-week]],NA())</f>
        <v>60</v>
      </c>
      <c r="L3" t="e">
        <f>IF(Tabela4[[#This Row],[4Income]]="&gt;50K",Tabela4[[#This Row],[4Age]],NA())</f>
        <v>#N/A</v>
      </c>
      <c r="M3" t="e">
        <f>IF(Tabela4[[#This Row],[4Income]]="&gt;50K",Tabela4[[#This Row],[4hours-per-week]],NA())</f>
        <v>#N/A</v>
      </c>
    </row>
    <row r="4" spans="1:13">
      <c r="A4">
        <v>35</v>
      </c>
      <c r="B4">
        <v>40</v>
      </c>
      <c r="C4">
        <v>10</v>
      </c>
      <c r="D4">
        <v>40</v>
      </c>
      <c r="E4">
        <v>35</v>
      </c>
      <c r="F4">
        <v>10</v>
      </c>
      <c r="G4">
        <v>35</v>
      </c>
      <c r="H4">
        <v>40</v>
      </c>
      <c r="I4" t="s">
        <v>8</v>
      </c>
      <c r="J4">
        <f>IF(Tabela4[[#This Row],[4Income]]="&lt;=50K",Tabela4[[#This Row],[4Age]],NA())</f>
        <v>35</v>
      </c>
      <c r="K4">
        <f>IF(Tabela4[[#This Row],[4Income]]="&lt;=50K",Tabela4[[#This Row],[4hours-per-week]],NA())</f>
        <v>40</v>
      </c>
      <c r="L4" t="e">
        <f>IF(Tabela4[[#This Row],[4Income]]="&gt;50K",Tabela4[[#This Row],[4Age]],NA())</f>
        <v>#N/A</v>
      </c>
      <c r="M4" t="e">
        <f>IF(Tabela4[[#This Row],[4Income]]="&gt;50K",Tabela4[[#This Row],[4hours-per-week]],NA())</f>
        <v>#N/A</v>
      </c>
    </row>
    <row r="5" spans="1:13">
      <c r="A5">
        <v>46</v>
      </c>
      <c r="B5">
        <v>45</v>
      </c>
      <c r="C5">
        <v>3</v>
      </c>
      <c r="D5">
        <v>45</v>
      </c>
      <c r="E5">
        <v>46</v>
      </c>
      <c r="F5">
        <v>3</v>
      </c>
      <c r="G5">
        <v>46</v>
      </c>
      <c r="H5">
        <v>45</v>
      </c>
      <c r="I5" t="s">
        <v>8</v>
      </c>
      <c r="J5">
        <f>IF(Tabela4[[#This Row],[4Income]]="&lt;=50K",Tabela4[[#This Row],[4Age]],NA())</f>
        <v>46</v>
      </c>
      <c r="K5">
        <f>IF(Tabela4[[#This Row],[4Income]]="&lt;=50K",Tabela4[[#This Row],[4hours-per-week]],NA())</f>
        <v>45</v>
      </c>
      <c r="L5" t="e">
        <f>IF(Tabela4[[#This Row],[4Income]]="&gt;50K",Tabela4[[#This Row],[4Age]],NA())</f>
        <v>#N/A</v>
      </c>
      <c r="M5" t="e">
        <f>IF(Tabela4[[#This Row],[4Income]]="&gt;50K",Tabela4[[#This Row],[4hours-per-week]],NA())</f>
        <v>#N/A</v>
      </c>
    </row>
    <row r="6" spans="1:13">
      <c r="A6">
        <v>35</v>
      </c>
      <c r="B6">
        <v>50</v>
      </c>
      <c r="C6">
        <v>8</v>
      </c>
      <c r="D6">
        <v>50</v>
      </c>
      <c r="E6">
        <v>35</v>
      </c>
      <c r="F6">
        <v>8</v>
      </c>
      <c r="G6">
        <v>35</v>
      </c>
      <c r="H6">
        <v>50</v>
      </c>
      <c r="I6" t="s">
        <v>19</v>
      </c>
      <c r="J6" t="e">
        <f>IF(Tabela4[[#This Row],[4Income]]="&lt;=50K",Tabela4[[#This Row],[4Age]],NA())</f>
        <v>#N/A</v>
      </c>
      <c r="K6" t="e">
        <f>IF(Tabela4[[#This Row],[4Income]]="&lt;=50K",Tabela4[[#This Row],[4hours-per-week]],NA())</f>
        <v>#N/A</v>
      </c>
      <c r="L6">
        <f>IF(Tabela4[[#This Row],[4Income]]="&gt;50K",Tabela4[[#This Row],[4Age]],NA())</f>
        <v>35</v>
      </c>
      <c r="M6">
        <f>IF(Tabela4[[#This Row],[4Income]]="&gt;50K",Tabela4[[#This Row],[4hours-per-week]],NA())</f>
        <v>50</v>
      </c>
    </row>
    <row r="7" spans="1:13">
      <c r="A7">
        <v>34</v>
      </c>
      <c r="B7">
        <v>40</v>
      </c>
      <c r="C7">
        <v>7</v>
      </c>
      <c r="D7">
        <v>40</v>
      </c>
      <c r="E7">
        <v>34</v>
      </c>
      <c r="F7">
        <v>7</v>
      </c>
      <c r="G7">
        <v>34</v>
      </c>
      <c r="H7">
        <v>40</v>
      </c>
      <c r="I7" t="s">
        <v>8</v>
      </c>
      <c r="J7">
        <f>IF(Tabela4[[#This Row],[4Income]]="&lt;=50K",Tabela4[[#This Row],[4Age]],NA())</f>
        <v>34</v>
      </c>
      <c r="K7">
        <f>IF(Tabela4[[#This Row],[4Income]]="&lt;=50K",Tabela4[[#This Row],[4hours-per-week]],NA())</f>
        <v>40</v>
      </c>
      <c r="L7" t="e">
        <f>IF(Tabela4[[#This Row],[4Income]]="&gt;50K",Tabela4[[#This Row],[4Age]],NA())</f>
        <v>#N/A</v>
      </c>
      <c r="M7" t="e">
        <f>IF(Tabela4[[#This Row],[4Income]]="&gt;50K",Tabela4[[#This Row],[4hours-per-week]],NA())</f>
        <v>#N/A</v>
      </c>
    </row>
    <row r="8" spans="1:13">
      <c r="A8">
        <v>44</v>
      </c>
      <c r="B8">
        <v>40</v>
      </c>
      <c r="C8">
        <v>12</v>
      </c>
      <c r="D8">
        <v>40</v>
      </c>
      <c r="E8">
        <v>44</v>
      </c>
      <c r="F8">
        <v>12</v>
      </c>
      <c r="G8">
        <v>44</v>
      </c>
      <c r="H8">
        <v>40</v>
      </c>
      <c r="I8" t="s">
        <v>8</v>
      </c>
      <c r="J8">
        <f>IF(Tabela4[[#This Row],[4Income]]="&lt;=50K",Tabela4[[#This Row],[4Age]],NA())</f>
        <v>44</v>
      </c>
      <c r="K8">
        <f>IF(Tabela4[[#This Row],[4Income]]="&lt;=50K",Tabela4[[#This Row],[4hours-per-week]],NA())</f>
        <v>40</v>
      </c>
      <c r="L8" t="e">
        <f>IF(Tabela4[[#This Row],[4Income]]="&gt;50K",Tabela4[[#This Row],[4Age]],NA())</f>
        <v>#N/A</v>
      </c>
      <c r="M8" t="e">
        <f>IF(Tabela4[[#This Row],[4Income]]="&gt;50K",Tabela4[[#This Row],[4hours-per-week]],NA())</f>
        <v>#N/A</v>
      </c>
    </row>
    <row r="9" spans="1:13">
      <c r="A9">
        <v>28</v>
      </c>
      <c r="B9">
        <v>20</v>
      </c>
      <c r="C9">
        <v>13</v>
      </c>
      <c r="D9">
        <v>20</v>
      </c>
      <c r="E9">
        <v>28</v>
      </c>
      <c r="F9">
        <v>13</v>
      </c>
      <c r="G9">
        <v>28</v>
      </c>
      <c r="H9">
        <v>20</v>
      </c>
      <c r="I9" t="s">
        <v>8</v>
      </c>
      <c r="J9">
        <f>IF(Tabela4[[#This Row],[4Income]]="&lt;=50K",Tabela4[[#This Row],[4Age]],NA())</f>
        <v>28</v>
      </c>
      <c r="K9">
        <f>IF(Tabela4[[#This Row],[4Income]]="&lt;=50K",Tabela4[[#This Row],[4hours-per-week]],NA())</f>
        <v>20</v>
      </c>
      <c r="L9" t="e">
        <f>IF(Tabela4[[#This Row],[4Income]]="&gt;50K",Tabela4[[#This Row],[4Age]],NA())</f>
        <v>#N/A</v>
      </c>
      <c r="M9" t="e">
        <f>IF(Tabela4[[#This Row],[4Income]]="&gt;50K",Tabela4[[#This Row],[4hours-per-week]],NA())</f>
        <v>#N/A</v>
      </c>
    </row>
    <row r="10" spans="1:13">
      <c r="A10">
        <v>34</v>
      </c>
      <c r="B10">
        <v>32</v>
      </c>
      <c r="C10">
        <v>9</v>
      </c>
      <c r="D10">
        <v>32</v>
      </c>
      <c r="E10">
        <v>34</v>
      </c>
      <c r="F10">
        <v>9</v>
      </c>
      <c r="G10">
        <v>34</v>
      </c>
      <c r="H10">
        <v>32</v>
      </c>
      <c r="I10" t="s">
        <v>8</v>
      </c>
      <c r="J10">
        <f>IF(Tabela4[[#This Row],[4Income]]="&lt;=50K",Tabela4[[#This Row],[4Age]],NA())</f>
        <v>34</v>
      </c>
      <c r="K10">
        <f>IF(Tabela4[[#This Row],[4Income]]="&lt;=50K",Tabela4[[#This Row],[4hours-per-week]],NA())</f>
        <v>32</v>
      </c>
      <c r="L10" t="e">
        <f>IF(Tabela4[[#This Row],[4Income]]="&gt;50K",Tabela4[[#This Row],[4Age]],NA())</f>
        <v>#N/A</v>
      </c>
      <c r="M10" t="e">
        <f>IF(Tabela4[[#This Row],[4Income]]="&gt;50K",Tabela4[[#This Row],[4hours-per-week]],NA())</f>
        <v>#N/A</v>
      </c>
    </row>
    <row r="11" spans="1:13">
      <c r="A11">
        <v>54</v>
      </c>
      <c r="B11">
        <v>35</v>
      </c>
      <c r="C11">
        <v>13</v>
      </c>
      <c r="D11">
        <v>35</v>
      </c>
      <c r="E11">
        <v>54</v>
      </c>
      <c r="F11">
        <v>13</v>
      </c>
      <c r="G11">
        <v>54</v>
      </c>
      <c r="H11">
        <v>35</v>
      </c>
      <c r="I11" t="s">
        <v>19</v>
      </c>
      <c r="J11" t="e">
        <f>IF(Tabela4[[#This Row],[4Income]]="&lt;=50K",Tabela4[[#This Row],[4Age]],NA())</f>
        <v>#N/A</v>
      </c>
      <c r="K11" t="e">
        <f>IF(Tabela4[[#This Row],[4Income]]="&lt;=50K",Tabela4[[#This Row],[4hours-per-week]],NA())</f>
        <v>#N/A</v>
      </c>
      <c r="L11">
        <f>IF(Tabela4[[#This Row],[4Income]]="&gt;50K",Tabela4[[#This Row],[4Age]],NA())</f>
        <v>54</v>
      </c>
      <c r="M11">
        <f>IF(Tabela4[[#This Row],[4Income]]="&gt;50K",Tabela4[[#This Row],[4hours-per-week]],NA())</f>
        <v>35</v>
      </c>
    </row>
    <row r="12" spans="1:13">
      <c r="A12">
        <v>30</v>
      </c>
      <c r="B12">
        <v>40</v>
      </c>
      <c r="C12">
        <v>13</v>
      </c>
      <c r="D12">
        <v>40</v>
      </c>
      <c r="E12">
        <v>30</v>
      </c>
      <c r="F12">
        <v>13</v>
      </c>
      <c r="G12">
        <v>30</v>
      </c>
      <c r="H12">
        <v>40</v>
      </c>
      <c r="I12" t="s">
        <v>19</v>
      </c>
      <c r="J12" t="e">
        <f>IF(Tabela4[[#This Row],[4Income]]="&lt;=50K",Tabela4[[#This Row],[4Age]],NA())</f>
        <v>#N/A</v>
      </c>
      <c r="K12" t="e">
        <f>IF(Tabela4[[#This Row],[4Income]]="&lt;=50K",Tabela4[[#This Row],[4hours-per-week]],NA())</f>
        <v>#N/A</v>
      </c>
      <c r="L12">
        <f>IF(Tabela4[[#This Row],[4Income]]="&gt;50K",Tabela4[[#This Row],[4Age]],NA())</f>
        <v>30</v>
      </c>
      <c r="M12">
        <f>IF(Tabela4[[#This Row],[4Income]]="&gt;50K",Tabela4[[#This Row],[4hours-per-week]],NA())</f>
        <v>40</v>
      </c>
    </row>
    <row r="13" spans="1:13">
      <c r="A13">
        <v>42</v>
      </c>
      <c r="B13">
        <v>40</v>
      </c>
      <c r="C13">
        <v>9</v>
      </c>
      <c r="D13">
        <v>40</v>
      </c>
      <c r="E13">
        <v>42</v>
      </c>
      <c r="F13">
        <v>9</v>
      </c>
      <c r="G13">
        <v>42</v>
      </c>
      <c r="H13">
        <v>40</v>
      </c>
      <c r="I13" t="s">
        <v>19</v>
      </c>
      <c r="J13" t="e">
        <f>IF(Tabela4[[#This Row],[4Income]]="&lt;=50K",Tabela4[[#This Row],[4Age]],NA())</f>
        <v>#N/A</v>
      </c>
      <c r="K13" t="e">
        <f>IF(Tabela4[[#This Row],[4Income]]="&lt;=50K",Tabela4[[#This Row],[4hours-per-week]],NA())</f>
        <v>#N/A</v>
      </c>
      <c r="L13">
        <f>IF(Tabela4[[#This Row],[4Income]]="&gt;50K",Tabela4[[#This Row],[4Age]],NA())</f>
        <v>42</v>
      </c>
      <c r="M13">
        <f>IF(Tabela4[[#This Row],[4Income]]="&gt;50K",Tabela4[[#This Row],[4hours-per-week]],NA())</f>
        <v>40</v>
      </c>
    </row>
    <row r="14" spans="1:13">
      <c r="A14">
        <v>21</v>
      </c>
      <c r="B14">
        <v>30</v>
      </c>
      <c r="C14">
        <v>10</v>
      </c>
      <c r="D14">
        <v>30</v>
      </c>
      <c r="E14">
        <v>21</v>
      </c>
      <c r="F14">
        <v>10</v>
      </c>
      <c r="G14">
        <v>21</v>
      </c>
      <c r="H14">
        <v>30</v>
      </c>
      <c r="I14" t="s">
        <v>8</v>
      </c>
      <c r="J14">
        <f>IF(Tabela4[[#This Row],[4Income]]="&lt;=50K",Tabela4[[#This Row],[4Age]],NA())</f>
        <v>21</v>
      </c>
      <c r="K14">
        <f>IF(Tabela4[[#This Row],[4Income]]="&lt;=50K",Tabela4[[#This Row],[4hours-per-week]],NA())</f>
        <v>30</v>
      </c>
      <c r="L14" t="e">
        <f>IF(Tabela4[[#This Row],[4Income]]="&gt;50K",Tabela4[[#This Row],[4Age]],NA())</f>
        <v>#N/A</v>
      </c>
      <c r="M14" t="e">
        <f>IF(Tabela4[[#This Row],[4Income]]="&gt;50K",Tabela4[[#This Row],[4hours-per-week]],NA())</f>
        <v>#N/A</v>
      </c>
    </row>
    <row r="15" spans="1:13">
      <c r="A15">
        <v>36</v>
      </c>
      <c r="B15">
        <v>40</v>
      </c>
      <c r="C15">
        <v>10</v>
      </c>
      <c r="D15">
        <v>40</v>
      </c>
      <c r="E15">
        <v>36</v>
      </c>
      <c r="F15">
        <v>10</v>
      </c>
      <c r="G15">
        <v>36</v>
      </c>
      <c r="H15">
        <v>40</v>
      </c>
      <c r="I15" t="s">
        <v>8</v>
      </c>
      <c r="J15">
        <f>IF(Tabela4[[#This Row],[4Income]]="&lt;=50K",Tabela4[[#This Row],[4Age]],NA())</f>
        <v>36</v>
      </c>
      <c r="K15">
        <f>IF(Tabela4[[#This Row],[4Income]]="&lt;=50K",Tabela4[[#This Row],[4hours-per-week]],NA())</f>
        <v>40</v>
      </c>
      <c r="L15" t="e">
        <f>IF(Tabela4[[#This Row],[4Income]]="&gt;50K",Tabela4[[#This Row],[4Age]],NA())</f>
        <v>#N/A</v>
      </c>
      <c r="M15" t="e">
        <f>IF(Tabela4[[#This Row],[4Income]]="&gt;50K",Tabela4[[#This Row],[4hours-per-week]],NA())</f>
        <v>#N/A</v>
      </c>
    </row>
    <row r="16" spans="1:13">
      <c r="A16">
        <v>31</v>
      </c>
      <c r="B16">
        <v>40</v>
      </c>
      <c r="C16">
        <v>9</v>
      </c>
      <c r="D16">
        <v>40</v>
      </c>
      <c r="E16">
        <v>31</v>
      </c>
      <c r="F16">
        <v>9</v>
      </c>
      <c r="G16">
        <v>31</v>
      </c>
      <c r="H16">
        <v>40</v>
      </c>
      <c r="I16" t="s">
        <v>8</v>
      </c>
      <c r="J16">
        <f>IF(Tabela4[[#This Row],[4Income]]="&lt;=50K",Tabela4[[#This Row],[4Age]],NA())</f>
        <v>31</v>
      </c>
      <c r="K16">
        <f>IF(Tabela4[[#This Row],[4Income]]="&lt;=50K",Tabela4[[#This Row],[4hours-per-week]],NA())</f>
        <v>40</v>
      </c>
      <c r="L16" t="e">
        <f>IF(Tabela4[[#This Row],[4Income]]="&gt;50K",Tabela4[[#This Row],[4Age]],NA())</f>
        <v>#N/A</v>
      </c>
      <c r="M16" t="e">
        <f>IF(Tabela4[[#This Row],[4Income]]="&gt;50K",Tabela4[[#This Row],[4hours-per-week]],NA())</f>
        <v>#N/A</v>
      </c>
    </row>
    <row r="17" spans="1:13">
      <c r="A17">
        <v>55</v>
      </c>
      <c r="B17">
        <v>40</v>
      </c>
      <c r="C17">
        <v>10</v>
      </c>
      <c r="D17">
        <v>40</v>
      </c>
      <c r="E17">
        <v>55</v>
      </c>
      <c r="F17">
        <v>10</v>
      </c>
      <c r="G17">
        <v>55</v>
      </c>
      <c r="H17">
        <v>40</v>
      </c>
      <c r="I17" t="s">
        <v>8</v>
      </c>
      <c r="J17">
        <f>IF(Tabela4[[#This Row],[4Income]]="&lt;=50K",Tabela4[[#This Row],[4Age]],NA())</f>
        <v>55</v>
      </c>
      <c r="K17">
        <f>IF(Tabela4[[#This Row],[4Income]]="&lt;=50K",Tabela4[[#This Row],[4hours-per-week]],NA())</f>
        <v>40</v>
      </c>
      <c r="L17" t="e">
        <f>IF(Tabela4[[#This Row],[4Income]]="&gt;50K",Tabela4[[#This Row],[4Age]],NA())</f>
        <v>#N/A</v>
      </c>
      <c r="M17" t="e">
        <f>IF(Tabela4[[#This Row],[4Income]]="&gt;50K",Tabela4[[#This Row],[4hours-per-week]],NA())</f>
        <v>#N/A</v>
      </c>
    </row>
    <row r="18" spans="1:13">
      <c r="A18">
        <v>45</v>
      </c>
      <c r="B18">
        <v>40</v>
      </c>
      <c r="C18">
        <v>10</v>
      </c>
      <c r="D18">
        <v>40</v>
      </c>
      <c r="E18">
        <v>45</v>
      </c>
      <c r="F18">
        <v>10</v>
      </c>
      <c r="G18">
        <v>45</v>
      </c>
      <c r="H18">
        <v>40</v>
      </c>
      <c r="I18" t="s">
        <v>8</v>
      </c>
      <c r="J18">
        <f>IF(Tabela4[[#This Row],[4Income]]="&lt;=50K",Tabela4[[#This Row],[4Age]],NA())</f>
        <v>45</v>
      </c>
      <c r="K18">
        <f>IF(Tabela4[[#This Row],[4Income]]="&lt;=50K",Tabela4[[#This Row],[4hours-per-week]],NA())</f>
        <v>40</v>
      </c>
      <c r="L18" t="e">
        <f>IF(Tabela4[[#This Row],[4Income]]="&gt;50K",Tabela4[[#This Row],[4Age]],NA())</f>
        <v>#N/A</v>
      </c>
      <c r="M18" t="e">
        <f>IF(Tabela4[[#This Row],[4Income]]="&gt;50K",Tabela4[[#This Row],[4hours-per-week]],NA())</f>
        <v>#N/A</v>
      </c>
    </row>
    <row r="19" spans="1:13">
      <c r="A19">
        <v>23</v>
      </c>
      <c r="B19">
        <v>50</v>
      </c>
      <c r="C19">
        <v>9</v>
      </c>
      <c r="D19">
        <v>50</v>
      </c>
      <c r="E19">
        <v>23</v>
      </c>
      <c r="F19">
        <v>9</v>
      </c>
      <c r="G19">
        <v>23</v>
      </c>
      <c r="H19">
        <v>50</v>
      </c>
      <c r="I19" t="s">
        <v>8</v>
      </c>
      <c r="J19">
        <f>IF(Tabela4[[#This Row],[4Income]]="&lt;=50K",Tabela4[[#This Row],[4Age]],NA())</f>
        <v>23</v>
      </c>
      <c r="K19">
        <f>IF(Tabela4[[#This Row],[4Income]]="&lt;=50K",Tabela4[[#This Row],[4hours-per-week]],NA())</f>
        <v>50</v>
      </c>
      <c r="L19" t="e">
        <f>IF(Tabela4[[#This Row],[4Income]]="&gt;50K",Tabela4[[#This Row],[4Age]],NA())</f>
        <v>#N/A</v>
      </c>
      <c r="M19" t="e">
        <f>IF(Tabela4[[#This Row],[4Income]]="&gt;50K",Tabela4[[#This Row],[4hours-per-week]],NA())</f>
        <v>#N/A</v>
      </c>
    </row>
    <row r="20" spans="1:13">
      <c r="A20">
        <v>40</v>
      </c>
      <c r="B20">
        <v>35</v>
      </c>
      <c r="C20">
        <v>14</v>
      </c>
      <c r="D20">
        <v>35</v>
      </c>
      <c r="E20">
        <v>40</v>
      </c>
      <c r="F20">
        <v>14</v>
      </c>
      <c r="G20">
        <v>40</v>
      </c>
      <c r="H20">
        <v>35</v>
      </c>
      <c r="I20" t="s">
        <v>19</v>
      </c>
      <c r="J20" t="e">
        <f>IF(Tabela4[[#This Row],[4Income]]="&lt;=50K",Tabela4[[#This Row],[4Age]],NA())</f>
        <v>#N/A</v>
      </c>
      <c r="K20" t="e">
        <f>IF(Tabela4[[#This Row],[4Income]]="&lt;=50K",Tabela4[[#This Row],[4hours-per-week]],NA())</f>
        <v>#N/A</v>
      </c>
      <c r="L20">
        <f>IF(Tabela4[[#This Row],[4Income]]="&gt;50K",Tabela4[[#This Row],[4Age]],NA())</f>
        <v>40</v>
      </c>
      <c r="M20">
        <f>IF(Tabela4[[#This Row],[4Income]]="&gt;50K",Tabela4[[#This Row],[4hours-per-week]],NA())</f>
        <v>35</v>
      </c>
    </row>
    <row r="21" spans="1:13">
      <c r="A21">
        <v>37</v>
      </c>
      <c r="B21">
        <v>50</v>
      </c>
      <c r="C21">
        <v>9</v>
      </c>
      <c r="D21">
        <v>50</v>
      </c>
      <c r="E21">
        <v>37</v>
      </c>
      <c r="F21">
        <v>9</v>
      </c>
      <c r="G21">
        <v>37</v>
      </c>
      <c r="H21">
        <v>50</v>
      </c>
      <c r="I21" t="s">
        <v>19</v>
      </c>
      <c r="J21" t="e">
        <f>IF(Tabela4[[#This Row],[4Income]]="&lt;=50K",Tabela4[[#This Row],[4Age]],NA())</f>
        <v>#N/A</v>
      </c>
      <c r="K21" t="e">
        <f>IF(Tabela4[[#This Row],[4Income]]="&lt;=50K",Tabela4[[#This Row],[4hours-per-week]],NA())</f>
        <v>#N/A</v>
      </c>
      <c r="L21">
        <f>IF(Tabela4[[#This Row],[4Income]]="&gt;50K",Tabela4[[#This Row],[4Age]],NA())</f>
        <v>37</v>
      </c>
      <c r="M21">
        <f>IF(Tabela4[[#This Row],[4Income]]="&gt;50K",Tabela4[[#This Row],[4hours-per-week]],NA())</f>
        <v>50</v>
      </c>
    </row>
    <row r="22" spans="1:13">
      <c r="A22">
        <v>43</v>
      </c>
      <c r="B22">
        <v>40</v>
      </c>
      <c r="C22">
        <v>13</v>
      </c>
      <c r="D22">
        <v>40</v>
      </c>
      <c r="E22">
        <v>43</v>
      </c>
      <c r="F22">
        <v>13</v>
      </c>
      <c r="G22">
        <v>43</v>
      </c>
      <c r="H22">
        <v>40</v>
      </c>
      <c r="I22" t="s">
        <v>8</v>
      </c>
      <c r="J22">
        <f>IF(Tabela4[[#This Row],[4Income]]="&lt;=50K",Tabela4[[#This Row],[4Age]],NA())</f>
        <v>43</v>
      </c>
      <c r="K22">
        <f>IF(Tabela4[[#This Row],[4Income]]="&lt;=50K",Tabela4[[#This Row],[4hours-per-week]],NA())</f>
        <v>40</v>
      </c>
      <c r="L22" t="e">
        <f>IF(Tabela4[[#This Row],[4Income]]="&gt;50K",Tabela4[[#This Row],[4Age]],NA())</f>
        <v>#N/A</v>
      </c>
      <c r="M22" t="e">
        <f>IF(Tabela4[[#This Row],[4Income]]="&gt;50K",Tabela4[[#This Row],[4hours-per-week]],NA())</f>
        <v>#N/A</v>
      </c>
    </row>
    <row r="23" spans="1:13">
      <c r="A23">
        <v>31</v>
      </c>
      <c r="B23">
        <v>30</v>
      </c>
      <c r="C23">
        <v>9</v>
      </c>
      <c r="D23">
        <v>30</v>
      </c>
      <c r="E23">
        <v>31</v>
      </c>
      <c r="F23">
        <v>9</v>
      </c>
      <c r="G23">
        <v>31</v>
      </c>
      <c r="H23">
        <v>30</v>
      </c>
      <c r="I23" t="s">
        <v>8</v>
      </c>
      <c r="J23">
        <f>IF(Tabela4[[#This Row],[4Income]]="&lt;=50K",Tabela4[[#This Row],[4Age]],NA())</f>
        <v>31</v>
      </c>
      <c r="K23">
        <f>IF(Tabela4[[#This Row],[4Income]]="&lt;=50K",Tabela4[[#This Row],[4hours-per-week]],NA())</f>
        <v>30</v>
      </c>
      <c r="L23" t="e">
        <f>IF(Tabela4[[#This Row],[4Income]]="&gt;50K",Tabela4[[#This Row],[4Age]],NA())</f>
        <v>#N/A</v>
      </c>
      <c r="M23" t="e">
        <f>IF(Tabela4[[#This Row],[4Income]]="&gt;50K",Tabela4[[#This Row],[4hours-per-week]],NA())</f>
        <v>#N/A</v>
      </c>
    </row>
    <row r="24" spans="1:13">
      <c r="A24">
        <v>28</v>
      </c>
      <c r="B24">
        <v>40</v>
      </c>
      <c r="C24">
        <v>10</v>
      </c>
      <c r="D24">
        <v>40</v>
      </c>
      <c r="E24">
        <v>28</v>
      </c>
      <c r="F24">
        <v>10</v>
      </c>
      <c r="G24">
        <v>28</v>
      </c>
      <c r="H24">
        <v>40</v>
      </c>
      <c r="I24" t="s">
        <v>8</v>
      </c>
      <c r="J24">
        <f>IF(Tabela4[[#This Row],[4Income]]="&lt;=50K",Tabela4[[#This Row],[4Age]],NA())</f>
        <v>28</v>
      </c>
      <c r="K24">
        <f>IF(Tabela4[[#This Row],[4Income]]="&lt;=50K",Tabela4[[#This Row],[4hours-per-week]],NA())</f>
        <v>40</v>
      </c>
      <c r="L24" t="e">
        <f>IF(Tabela4[[#This Row],[4Income]]="&gt;50K",Tabela4[[#This Row],[4Age]],NA())</f>
        <v>#N/A</v>
      </c>
      <c r="M24" t="e">
        <f>IF(Tabela4[[#This Row],[4Income]]="&gt;50K",Tabela4[[#This Row],[4hours-per-week]],NA())</f>
        <v>#N/A</v>
      </c>
    </row>
    <row r="25" spans="1:13">
      <c r="A25">
        <v>29</v>
      </c>
      <c r="B25">
        <v>60</v>
      </c>
      <c r="C25">
        <v>10</v>
      </c>
      <c r="D25">
        <v>60</v>
      </c>
      <c r="E25">
        <v>29</v>
      </c>
      <c r="F25">
        <v>10</v>
      </c>
      <c r="G25">
        <v>29</v>
      </c>
      <c r="H25">
        <v>60</v>
      </c>
      <c r="I25" t="s">
        <v>8</v>
      </c>
      <c r="J25">
        <f>IF(Tabela4[[#This Row],[4Income]]="&lt;=50K",Tabela4[[#This Row],[4Age]],NA())</f>
        <v>29</v>
      </c>
      <c r="K25">
        <f>IF(Tabela4[[#This Row],[4Income]]="&lt;=50K",Tabela4[[#This Row],[4hours-per-week]],NA())</f>
        <v>60</v>
      </c>
      <c r="L25" t="e">
        <f>IF(Tabela4[[#This Row],[4Income]]="&gt;50K",Tabela4[[#This Row],[4Age]],NA())</f>
        <v>#N/A</v>
      </c>
      <c r="M25" t="e">
        <f>IF(Tabela4[[#This Row],[4Income]]="&gt;50K",Tabela4[[#This Row],[4hours-per-week]],NA())</f>
        <v>#N/A</v>
      </c>
    </row>
    <row r="26" spans="1:13">
      <c r="A26">
        <v>17</v>
      </c>
      <c r="B26">
        <v>20</v>
      </c>
      <c r="C26">
        <v>6</v>
      </c>
      <c r="D26">
        <v>20</v>
      </c>
      <c r="E26">
        <v>17</v>
      </c>
      <c r="F26">
        <v>6</v>
      </c>
      <c r="G26">
        <v>17</v>
      </c>
      <c r="H26">
        <v>20</v>
      </c>
      <c r="I26" t="s">
        <v>8</v>
      </c>
      <c r="J26">
        <f>IF(Tabela4[[#This Row],[4Income]]="&lt;=50K",Tabela4[[#This Row],[4Age]],NA())</f>
        <v>17</v>
      </c>
      <c r="K26">
        <f>IF(Tabela4[[#This Row],[4Income]]="&lt;=50K",Tabela4[[#This Row],[4hours-per-week]],NA())</f>
        <v>20</v>
      </c>
      <c r="L26" t="e">
        <f>IF(Tabela4[[#This Row],[4Income]]="&gt;50K",Tabela4[[#This Row],[4Age]],NA())</f>
        <v>#N/A</v>
      </c>
      <c r="M26" t="e">
        <f>IF(Tabela4[[#This Row],[4Income]]="&gt;50K",Tabela4[[#This Row],[4hours-per-week]],NA())</f>
        <v>#N/A</v>
      </c>
    </row>
    <row r="27" spans="1:13">
      <c r="A27">
        <v>17</v>
      </c>
      <c r="B27">
        <v>24</v>
      </c>
      <c r="C27">
        <v>7</v>
      </c>
      <c r="D27">
        <v>24</v>
      </c>
      <c r="E27">
        <v>17</v>
      </c>
      <c r="F27">
        <v>7</v>
      </c>
      <c r="G27">
        <v>17</v>
      </c>
      <c r="H27">
        <v>24</v>
      </c>
      <c r="I27" t="s">
        <v>8</v>
      </c>
      <c r="J27">
        <f>IF(Tabela4[[#This Row],[4Income]]="&lt;=50K",Tabela4[[#This Row],[4Age]],NA())</f>
        <v>17</v>
      </c>
      <c r="K27">
        <f>IF(Tabela4[[#This Row],[4Income]]="&lt;=50K",Tabela4[[#This Row],[4hours-per-week]],NA())</f>
        <v>24</v>
      </c>
      <c r="L27" t="e">
        <f>IF(Tabela4[[#This Row],[4Income]]="&gt;50K",Tabela4[[#This Row],[4Age]],NA())</f>
        <v>#N/A</v>
      </c>
      <c r="M27" t="e">
        <f>IF(Tabela4[[#This Row],[4Income]]="&gt;50K",Tabela4[[#This Row],[4hours-per-week]],NA())</f>
        <v>#N/A</v>
      </c>
    </row>
    <row r="28" spans="1:13">
      <c r="A28">
        <v>66</v>
      </c>
      <c r="B28">
        <v>50</v>
      </c>
      <c r="C28">
        <v>11</v>
      </c>
      <c r="D28">
        <v>50</v>
      </c>
      <c r="E28">
        <v>66</v>
      </c>
      <c r="F28">
        <v>11</v>
      </c>
      <c r="G28">
        <v>66</v>
      </c>
      <c r="H28">
        <v>50</v>
      </c>
      <c r="I28" t="s">
        <v>8</v>
      </c>
      <c r="J28">
        <f>IF(Tabela4[[#This Row],[4Income]]="&lt;=50K",Tabela4[[#This Row],[4Age]],NA())</f>
        <v>66</v>
      </c>
      <c r="K28">
        <f>IF(Tabela4[[#This Row],[4Income]]="&lt;=50K",Tabela4[[#This Row],[4hours-per-week]],NA())</f>
        <v>50</v>
      </c>
      <c r="L28" t="e">
        <f>IF(Tabela4[[#This Row],[4Income]]="&gt;50K",Tabela4[[#This Row],[4Age]],NA())</f>
        <v>#N/A</v>
      </c>
      <c r="M28" t="e">
        <f>IF(Tabela4[[#This Row],[4Income]]="&gt;50K",Tabela4[[#This Row],[4hours-per-week]],NA())</f>
        <v>#N/A</v>
      </c>
    </row>
    <row r="29" spans="1:13">
      <c r="A29">
        <v>69</v>
      </c>
      <c r="B29">
        <v>40</v>
      </c>
      <c r="C29">
        <v>3</v>
      </c>
      <c r="D29">
        <v>40</v>
      </c>
      <c r="E29">
        <v>69</v>
      </c>
      <c r="F29">
        <v>3</v>
      </c>
      <c r="G29">
        <v>69</v>
      </c>
      <c r="H29">
        <v>40</v>
      </c>
      <c r="I29" t="s">
        <v>8</v>
      </c>
      <c r="J29">
        <f>IF(Tabela4[[#This Row],[4Income]]="&lt;=50K",Tabela4[[#This Row],[4Age]],NA())</f>
        <v>69</v>
      </c>
      <c r="K29">
        <f>IF(Tabela4[[#This Row],[4Income]]="&lt;=50K",Tabela4[[#This Row],[4hours-per-week]],NA())</f>
        <v>40</v>
      </c>
      <c r="L29" t="e">
        <f>IF(Tabela4[[#This Row],[4Income]]="&gt;50K",Tabela4[[#This Row],[4Age]],NA())</f>
        <v>#N/A</v>
      </c>
      <c r="M29" t="e">
        <f>IF(Tabela4[[#This Row],[4Income]]="&gt;50K",Tabela4[[#This Row],[4hours-per-week]],NA())</f>
        <v>#N/A</v>
      </c>
    </row>
    <row r="30" spans="1:13">
      <c r="A30">
        <v>27</v>
      </c>
      <c r="B30">
        <v>40</v>
      </c>
      <c r="C30">
        <v>13</v>
      </c>
      <c r="D30">
        <v>40</v>
      </c>
      <c r="E30">
        <v>27</v>
      </c>
      <c r="F30">
        <v>13</v>
      </c>
      <c r="G30">
        <v>27</v>
      </c>
      <c r="H30">
        <v>40</v>
      </c>
      <c r="I30" t="s">
        <v>8</v>
      </c>
      <c r="J30">
        <f>IF(Tabela4[[#This Row],[4Income]]="&lt;=50K",Tabela4[[#This Row],[4Age]],NA())</f>
        <v>27</v>
      </c>
      <c r="K30">
        <f>IF(Tabela4[[#This Row],[4Income]]="&lt;=50K",Tabela4[[#This Row],[4hours-per-week]],NA())</f>
        <v>40</v>
      </c>
      <c r="L30" t="e">
        <f>IF(Tabela4[[#This Row],[4Income]]="&gt;50K",Tabela4[[#This Row],[4Age]],NA())</f>
        <v>#N/A</v>
      </c>
      <c r="M30" t="e">
        <f>IF(Tabela4[[#This Row],[4Income]]="&gt;50K",Tabela4[[#This Row],[4hours-per-week]],NA())</f>
        <v>#N/A</v>
      </c>
    </row>
    <row r="31" spans="1:13">
      <c r="A31">
        <v>26</v>
      </c>
      <c r="B31">
        <v>40</v>
      </c>
      <c r="C31">
        <v>13</v>
      </c>
      <c r="D31">
        <v>40</v>
      </c>
      <c r="E31">
        <v>26</v>
      </c>
      <c r="F31">
        <v>13</v>
      </c>
      <c r="G31">
        <v>26</v>
      </c>
      <c r="H31">
        <v>40</v>
      </c>
      <c r="I31" t="s">
        <v>8</v>
      </c>
      <c r="J31">
        <f>IF(Tabela4[[#This Row],[4Income]]="&lt;=50K",Tabela4[[#This Row],[4Age]],NA())</f>
        <v>26</v>
      </c>
      <c r="K31">
        <f>IF(Tabela4[[#This Row],[4Income]]="&lt;=50K",Tabela4[[#This Row],[4hours-per-week]],NA())</f>
        <v>40</v>
      </c>
      <c r="L31" t="e">
        <f>IF(Tabela4[[#This Row],[4Income]]="&gt;50K",Tabela4[[#This Row],[4Age]],NA())</f>
        <v>#N/A</v>
      </c>
      <c r="M31" t="e">
        <f>IF(Tabela4[[#This Row],[4Income]]="&gt;50K",Tabela4[[#This Row],[4hours-per-week]],NA())</f>
        <v>#N/A</v>
      </c>
    </row>
    <row r="32" spans="1:13">
      <c r="A32">
        <v>50</v>
      </c>
      <c r="B32">
        <v>50</v>
      </c>
      <c r="C32">
        <v>10</v>
      </c>
      <c r="D32">
        <v>50</v>
      </c>
      <c r="E32">
        <v>50</v>
      </c>
      <c r="F32">
        <v>10</v>
      </c>
      <c r="G32">
        <v>50</v>
      </c>
      <c r="H32">
        <v>50</v>
      </c>
      <c r="I32" t="s">
        <v>19</v>
      </c>
      <c r="J32" t="e">
        <f>IF(Tabela4[[#This Row],[4Income]]="&lt;=50K",Tabela4[[#This Row],[4Age]],NA())</f>
        <v>#N/A</v>
      </c>
      <c r="K32" t="e">
        <f>IF(Tabela4[[#This Row],[4Income]]="&lt;=50K",Tabela4[[#This Row],[4hours-per-week]],NA())</f>
        <v>#N/A</v>
      </c>
      <c r="L32">
        <f>IF(Tabela4[[#This Row],[4Income]]="&gt;50K",Tabela4[[#This Row],[4Age]],NA())</f>
        <v>50</v>
      </c>
      <c r="M32">
        <f>IF(Tabela4[[#This Row],[4Income]]="&gt;50K",Tabela4[[#This Row],[4hours-per-week]],NA())</f>
        <v>50</v>
      </c>
    </row>
    <row r="33" spans="1:13">
      <c r="A33">
        <v>59</v>
      </c>
      <c r="B33">
        <v>40</v>
      </c>
      <c r="C33">
        <v>7</v>
      </c>
      <c r="D33">
        <v>40</v>
      </c>
      <c r="E33">
        <v>59</v>
      </c>
      <c r="F33">
        <v>7</v>
      </c>
      <c r="G33">
        <v>59</v>
      </c>
      <c r="H33">
        <v>40</v>
      </c>
      <c r="I33" t="s">
        <v>8</v>
      </c>
      <c r="J33">
        <f>IF(Tabela4[[#This Row],[4Income]]="&lt;=50K",Tabela4[[#This Row],[4Age]],NA())</f>
        <v>59</v>
      </c>
      <c r="K33">
        <f>IF(Tabela4[[#This Row],[4Income]]="&lt;=50K",Tabela4[[#This Row],[4hours-per-week]],NA())</f>
        <v>40</v>
      </c>
      <c r="L33" t="e">
        <f>IF(Tabela4[[#This Row],[4Income]]="&gt;50K",Tabela4[[#This Row],[4Age]],NA())</f>
        <v>#N/A</v>
      </c>
      <c r="M33" t="e">
        <f>IF(Tabela4[[#This Row],[4Income]]="&gt;50K",Tabela4[[#This Row],[4hours-per-week]],NA())</f>
        <v>#N/A</v>
      </c>
    </row>
    <row r="34" spans="1:13">
      <c r="A34">
        <v>37</v>
      </c>
      <c r="B34">
        <v>35</v>
      </c>
      <c r="C34">
        <v>9</v>
      </c>
      <c r="D34">
        <v>35</v>
      </c>
      <c r="E34">
        <v>37</v>
      </c>
      <c r="F34">
        <v>9</v>
      </c>
      <c r="G34">
        <v>37</v>
      </c>
      <c r="H34">
        <v>35</v>
      </c>
      <c r="I34" t="s">
        <v>8</v>
      </c>
      <c r="J34">
        <f>IF(Tabela4[[#This Row],[4Income]]="&lt;=50K",Tabela4[[#This Row],[4Age]],NA())</f>
        <v>37</v>
      </c>
      <c r="K34">
        <f>IF(Tabela4[[#This Row],[4Income]]="&lt;=50K",Tabela4[[#This Row],[4hours-per-week]],NA())</f>
        <v>35</v>
      </c>
      <c r="L34" t="e">
        <f>IF(Tabela4[[#This Row],[4Income]]="&gt;50K",Tabela4[[#This Row],[4Age]],NA())</f>
        <v>#N/A</v>
      </c>
      <c r="M34" t="e">
        <f>IF(Tabela4[[#This Row],[4Income]]="&gt;50K",Tabela4[[#This Row],[4hours-per-week]],NA())</f>
        <v>#N/A</v>
      </c>
    </row>
    <row r="35" spans="1:13">
      <c r="A35">
        <v>18</v>
      </c>
      <c r="B35">
        <v>8</v>
      </c>
      <c r="C35">
        <v>9</v>
      </c>
      <c r="D35">
        <v>8</v>
      </c>
      <c r="E35">
        <v>18</v>
      </c>
      <c r="F35">
        <v>9</v>
      </c>
      <c r="G35">
        <v>18</v>
      </c>
      <c r="H35">
        <v>8</v>
      </c>
      <c r="I35" t="s">
        <v>8</v>
      </c>
      <c r="J35">
        <f>IF(Tabela4[[#This Row],[4Income]]="&lt;=50K",Tabela4[[#This Row],[4Age]],NA())</f>
        <v>18</v>
      </c>
      <c r="K35">
        <f>IF(Tabela4[[#This Row],[4Income]]="&lt;=50K",Tabela4[[#This Row],[4hours-per-week]],NA())</f>
        <v>8</v>
      </c>
      <c r="L35" t="e">
        <f>IF(Tabela4[[#This Row],[4Income]]="&gt;50K",Tabela4[[#This Row],[4Age]],NA())</f>
        <v>#N/A</v>
      </c>
      <c r="M35" t="e">
        <f>IF(Tabela4[[#This Row],[4Income]]="&gt;50K",Tabela4[[#This Row],[4hours-per-week]],NA())</f>
        <v>#N/A</v>
      </c>
    </row>
    <row r="36" spans="1:13">
      <c r="A36">
        <v>21</v>
      </c>
      <c r="B36">
        <v>40</v>
      </c>
      <c r="C36">
        <v>9</v>
      </c>
      <c r="D36">
        <v>40</v>
      </c>
      <c r="E36">
        <v>21</v>
      </c>
      <c r="F36">
        <v>9</v>
      </c>
      <c r="G36">
        <v>21</v>
      </c>
      <c r="H36">
        <v>40</v>
      </c>
      <c r="I36" t="s">
        <v>8</v>
      </c>
      <c r="J36">
        <f>IF(Tabela4[[#This Row],[4Income]]="&lt;=50K",Tabela4[[#This Row],[4Age]],NA())</f>
        <v>21</v>
      </c>
      <c r="K36">
        <f>IF(Tabela4[[#This Row],[4Income]]="&lt;=50K",Tabela4[[#This Row],[4hours-per-week]],NA())</f>
        <v>40</v>
      </c>
      <c r="L36" t="e">
        <f>IF(Tabela4[[#This Row],[4Income]]="&gt;50K",Tabela4[[#This Row],[4Age]],NA())</f>
        <v>#N/A</v>
      </c>
      <c r="M36" t="e">
        <f>IF(Tabela4[[#This Row],[4Income]]="&gt;50K",Tabela4[[#This Row],[4hours-per-week]],NA())</f>
        <v>#N/A</v>
      </c>
    </row>
    <row r="37" spans="1:13">
      <c r="A37">
        <v>64</v>
      </c>
      <c r="B37">
        <v>38</v>
      </c>
      <c r="C37">
        <v>9</v>
      </c>
      <c r="D37">
        <v>38</v>
      </c>
      <c r="E37">
        <v>64</v>
      </c>
      <c r="F37">
        <v>9</v>
      </c>
      <c r="G37">
        <v>64</v>
      </c>
      <c r="H37">
        <v>38</v>
      </c>
      <c r="I37" t="s">
        <v>8</v>
      </c>
      <c r="J37">
        <f>IF(Tabela4[[#This Row],[4Income]]="&lt;=50K",Tabela4[[#This Row],[4Age]],NA())</f>
        <v>64</v>
      </c>
      <c r="K37">
        <f>IF(Tabela4[[#This Row],[4Income]]="&lt;=50K",Tabela4[[#This Row],[4hours-per-week]],NA())</f>
        <v>38</v>
      </c>
      <c r="L37" t="e">
        <f>IF(Tabela4[[#This Row],[4Income]]="&gt;50K",Tabela4[[#This Row],[4Age]],NA())</f>
        <v>#N/A</v>
      </c>
      <c r="M37" t="e">
        <f>IF(Tabela4[[#This Row],[4Income]]="&gt;50K",Tabela4[[#This Row],[4hours-per-week]],NA())</f>
        <v>#N/A</v>
      </c>
    </row>
    <row r="38" spans="1:13">
      <c r="A38">
        <v>50</v>
      </c>
      <c r="B38">
        <v>38</v>
      </c>
      <c r="C38">
        <v>9</v>
      </c>
      <c r="D38">
        <v>38</v>
      </c>
      <c r="E38">
        <v>50</v>
      </c>
      <c r="F38">
        <v>9</v>
      </c>
      <c r="G38">
        <v>50</v>
      </c>
      <c r="H38">
        <v>38</v>
      </c>
      <c r="I38" t="s">
        <v>8</v>
      </c>
      <c r="J38">
        <f>IF(Tabela4[[#This Row],[4Income]]="&lt;=50K",Tabela4[[#This Row],[4Age]],NA())</f>
        <v>50</v>
      </c>
      <c r="K38">
        <f>IF(Tabela4[[#This Row],[4Income]]="&lt;=50K",Tabela4[[#This Row],[4hours-per-week]],NA())</f>
        <v>38</v>
      </c>
      <c r="L38" t="e">
        <f>IF(Tabela4[[#This Row],[4Income]]="&gt;50K",Tabela4[[#This Row],[4Age]],NA())</f>
        <v>#N/A</v>
      </c>
      <c r="M38" t="e">
        <f>IF(Tabela4[[#This Row],[4Income]]="&gt;50K",Tabela4[[#This Row],[4hours-per-week]],NA())</f>
        <v>#N/A</v>
      </c>
    </row>
    <row r="39" spans="1:13">
      <c r="A39">
        <v>19</v>
      </c>
      <c r="B39">
        <v>30</v>
      </c>
      <c r="C39">
        <v>9</v>
      </c>
      <c r="D39">
        <v>30</v>
      </c>
      <c r="E39">
        <v>19</v>
      </c>
      <c r="F39">
        <v>9</v>
      </c>
      <c r="G39">
        <v>19</v>
      </c>
      <c r="H39">
        <v>30</v>
      </c>
      <c r="I39" t="s">
        <v>8</v>
      </c>
      <c r="J39">
        <f>IF(Tabela4[[#This Row],[4Income]]="&lt;=50K",Tabela4[[#This Row],[4Age]],NA())</f>
        <v>19</v>
      </c>
      <c r="K39">
        <f>IF(Tabela4[[#This Row],[4Income]]="&lt;=50K",Tabela4[[#This Row],[4hours-per-week]],NA())</f>
        <v>30</v>
      </c>
      <c r="L39" t="e">
        <f>IF(Tabela4[[#This Row],[4Income]]="&gt;50K",Tabela4[[#This Row],[4Age]],NA())</f>
        <v>#N/A</v>
      </c>
      <c r="M39" t="e">
        <f>IF(Tabela4[[#This Row],[4Income]]="&gt;50K",Tabela4[[#This Row],[4hours-per-week]],NA())</f>
        <v>#N/A</v>
      </c>
    </row>
    <row r="40" spans="1:13">
      <c r="A40">
        <v>28</v>
      </c>
      <c r="B40">
        <v>17</v>
      </c>
      <c r="C40">
        <v>9</v>
      </c>
      <c r="D40">
        <v>17</v>
      </c>
      <c r="E40">
        <v>28</v>
      </c>
      <c r="F40">
        <v>9</v>
      </c>
      <c r="G40">
        <v>28</v>
      </c>
      <c r="H40">
        <v>17</v>
      </c>
      <c r="I40" t="s">
        <v>8</v>
      </c>
      <c r="J40">
        <f>IF(Tabela4[[#This Row],[4Income]]="&lt;=50K",Tabela4[[#This Row],[4Age]],NA())</f>
        <v>28</v>
      </c>
      <c r="K40">
        <f>IF(Tabela4[[#This Row],[4Income]]="&lt;=50K",Tabela4[[#This Row],[4hours-per-week]],NA())</f>
        <v>17</v>
      </c>
      <c r="L40" t="e">
        <f>IF(Tabela4[[#This Row],[4Income]]="&gt;50K",Tabela4[[#This Row],[4Age]],NA())</f>
        <v>#N/A</v>
      </c>
      <c r="M40" t="e">
        <f>IF(Tabela4[[#This Row],[4Income]]="&gt;50K",Tabela4[[#This Row],[4hours-per-week]],NA())</f>
        <v>#N/A</v>
      </c>
    </row>
    <row r="41" spans="1:13">
      <c r="A41">
        <v>47</v>
      </c>
      <c r="B41">
        <v>40</v>
      </c>
      <c r="C41">
        <v>11</v>
      </c>
      <c r="D41">
        <v>40</v>
      </c>
      <c r="E41">
        <v>47</v>
      </c>
      <c r="F41">
        <v>11</v>
      </c>
      <c r="G41">
        <v>47</v>
      </c>
      <c r="H41">
        <v>40</v>
      </c>
      <c r="I41" t="s">
        <v>8</v>
      </c>
      <c r="J41">
        <f>IF(Tabela4[[#This Row],[4Income]]="&lt;=50K",Tabela4[[#This Row],[4Age]],NA())</f>
        <v>47</v>
      </c>
      <c r="K41">
        <f>IF(Tabela4[[#This Row],[4Income]]="&lt;=50K",Tabela4[[#This Row],[4hours-per-week]],NA())</f>
        <v>40</v>
      </c>
      <c r="L41" t="e">
        <f>IF(Tabela4[[#This Row],[4Income]]="&gt;50K",Tabela4[[#This Row],[4Age]],NA())</f>
        <v>#N/A</v>
      </c>
      <c r="M41" t="e">
        <f>IF(Tabela4[[#This Row],[4Income]]="&gt;50K",Tabela4[[#This Row],[4hours-per-week]],NA())</f>
        <v>#N/A</v>
      </c>
    </row>
    <row r="42" spans="1:13">
      <c r="A42">
        <v>56</v>
      </c>
      <c r="B42">
        <v>40</v>
      </c>
      <c r="C42">
        <v>10</v>
      </c>
      <c r="D42">
        <v>40</v>
      </c>
      <c r="E42">
        <v>56</v>
      </c>
      <c r="F42">
        <v>10</v>
      </c>
      <c r="G42">
        <v>56</v>
      </c>
      <c r="H42">
        <v>40</v>
      </c>
      <c r="I42" t="s">
        <v>8</v>
      </c>
      <c r="J42">
        <f>IF(Tabela4[[#This Row],[4Income]]="&lt;=50K",Tabela4[[#This Row],[4Age]],NA())</f>
        <v>56</v>
      </c>
      <c r="K42">
        <f>IF(Tabela4[[#This Row],[4Income]]="&lt;=50K",Tabela4[[#This Row],[4hours-per-week]],NA())</f>
        <v>40</v>
      </c>
      <c r="L42" t="e">
        <f>IF(Tabela4[[#This Row],[4Income]]="&gt;50K",Tabela4[[#This Row],[4Age]],NA())</f>
        <v>#N/A</v>
      </c>
      <c r="M42" t="e">
        <f>IF(Tabela4[[#This Row],[4Income]]="&gt;50K",Tabela4[[#This Row],[4hours-per-week]],NA())</f>
        <v>#N/A</v>
      </c>
    </row>
    <row r="43" spans="1:13">
      <c r="A43">
        <v>26</v>
      </c>
      <c r="B43">
        <v>40</v>
      </c>
      <c r="C43">
        <v>10</v>
      </c>
      <c r="D43">
        <v>40</v>
      </c>
      <c r="E43">
        <v>26</v>
      </c>
      <c r="F43">
        <v>10</v>
      </c>
      <c r="G43">
        <v>26</v>
      </c>
      <c r="H43">
        <v>40</v>
      </c>
      <c r="I43" t="s">
        <v>8</v>
      </c>
      <c r="J43">
        <f>IF(Tabela4[[#This Row],[4Income]]="&lt;=50K",Tabela4[[#This Row],[4Age]],NA())</f>
        <v>26</v>
      </c>
      <c r="K43">
        <f>IF(Tabela4[[#This Row],[4Income]]="&lt;=50K",Tabela4[[#This Row],[4hours-per-week]],NA())</f>
        <v>40</v>
      </c>
      <c r="L43" t="e">
        <f>IF(Tabela4[[#This Row],[4Income]]="&gt;50K",Tabela4[[#This Row],[4Age]],NA())</f>
        <v>#N/A</v>
      </c>
      <c r="M43" t="e">
        <f>IF(Tabela4[[#This Row],[4Income]]="&gt;50K",Tabela4[[#This Row],[4hours-per-week]],NA())</f>
        <v>#N/A</v>
      </c>
    </row>
    <row r="44" spans="1:13">
      <c r="A44">
        <v>51</v>
      </c>
      <c r="B44">
        <v>40</v>
      </c>
      <c r="C44">
        <v>11</v>
      </c>
      <c r="D44">
        <v>40</v>
      </c>
      <c r="E44">
        <v>51</v>
      </c>
      <c r="F44">
        <v>11</v>
      </c>
      <c r="G44">
        <v>51</v>
      </c>
      <c r="H44">
        <v>40</v>
      </c>
      <c r="I44" t="s">
        <v>19</v>
      </c>
      <c r="J44" t="e">
        <f>IF(Tabela4[[#This Row],[4Income]]="&lt;=50K",Tabela4[[#This Row],[4Age]],NA())</f>
        <v>#N/A</v>
      </c>
      <c r="K44" t="e">
        <f>IF(Tabela4[[#This Row],[4Income]]="&lt;=50K",Tabela4[[#This Row],[4hours-per-week]],NA())</f>
        <v>#N/A</v>
      </c>
      <c r="L44">
        <f>IF(Tabela4[[#This Row],[4Income]]="&gt;50K",Tabela4[[#This Row],[4Age]],NA())</f>
        <v>51</v>
      </c>
      <c r="M44">
        <f>IF(Tabela4[[#This Row],[4Income]]="&gt;50K",Tabela4[[#This Row],[4hours-per-week]],NA())</f>
        <v>40</v>
      </c>
    </row>
    <row r="45" spans="1:13">
      <c r="A45">
        <v>20</v>
      </c>
      <c r="B45">
        <v>40</v>
      </c>
      <c r="C45">
        <v>10</v>
      </c>
      <c r="D45">
        <v>40</v>
      </c>
      <c r="E45">
        <v>20</v>
      </c>
      <c r="F45">
        <v>10</v>
      </c>
      <c r="G45">
        <v>20</v>
      </c>
      <c r="H45">
        <v>40</v>
      </c>
      <c r="I45" t="s">
        <v>8</v>
      </c>
      <c r="J45">
        <f>IF(Tabela4[[#This Row],[4Income]]="&lt;=50K",Tabela4[[#This Row],[4Age]],NA())</f>
        <v>20</v>
      </c>
      <c r="K45">
        <f>IF(Tabela4[[#This Row],[4Income]]="&lt;=50K",Tabela4[[#This Row],[4hours-per-week]],NA())</f>
        <v>40</v>
      </c>
      <c r="L45" t="e">
        <f>IF(Tabela4[[#This Row],[4Income]]="&gt;50K",Tabela4[[#This Row],[4Age]],NA())</f>
        <v>#N/A</v>
      </c>
      <c r="M45" t="e">
        <f>IF(Tabela4[[#This Row],[4Income]]="&gt;50K",Tabela4[[#This Row],[4hours-per-week]],NA())</f>
        <v>#N/A</v>
      </c>
    </row>
    <row r="46" spans="1:13">
      <c r="A46">
        <v>25</v>
      </c>
      <c r="B46">
        <v>40</v>
      </c>
      <c r="C46">
        <v>9</v>
      </c>
      <c r="D46">
        <v>40</v>
      </c>
      <c r="E46">
        <v>25</v>
      </c>
      <c r="F46">
        <v>9</v>
      </c>
      <c r="G46">
        <v>25</v>
      </c>
      <c r="H46">
        <v>40</v>
      </c>
      <c r="I46" t="s">
        <v>8</v>
      </c>
      <c r="J46">
        <f>IF(Tabela4[[#This Row],[4Income]]="&lt;=50K",Tabela4[[#This Row],[4Age]],NA())</f>
        <v>25</v>
      </c>
      <c r="K46">
        <f>IF(Tabela4[[#This Row],[4Income]]="&lt;=50K",Tabela4[[#This Row],[4hours-per-week]],NA())</f>
        <v>40</v>
      </c>
      <c r="L46" t="e">
        <f>IF(Tabela4[[#This Row],[4Income]]="&gt;50K",Tabela4[[#This Row],[4Age]],NA())</f>
        <v>#N/A</v>
      </c>
      <c r="M46" t="e">
        <f>IF(Tabela4[[#This Row],[4Income]]="&gt;50K",Tabela4[[#This Row],[4hours-per-week]],NA())</f>
        <v>#N/A</v>
      </c>
    </row>
    <row r="47" spans="1:13">
      <c r="A47">
        <v>46</v>
      </c>
      <c r="B47">
        <v>37</v>
      </c>
      <c r="C47">
        <v>9</v>
      </c>
      <c r="D47">
        <v>37</v>
      </c>
      <c r="E47">
        <v>46</v>
      </c>
      <c r="F47">
        <v>9</v>
      </c>
      <c r="G47">
        <v>46</v>
      </c>
      <c r="H47">
        <v>37</v>
      </c>
      <c r="I47" t="s">
        <v>8</v>
      </c>
      <c r="J47">
        <f>IF(Tabela4[[#This Row],[4Income]]="&lt;=50K",Tabela4[[#This Row],[4Age]],NA())</f>
        <v>46</v>
      </c>
      <c r="K47">
        <f>IF(Tabela4[[#This Row],[4Income]]="&lt;=50K",Tabela4[[#This Row],[4hours-per-week]],NA())</f>
        <v>37</v>
      </c>
      <c r="L47" t="e">
        <f>IF(Tabela4[[#This Row],[4Income]]="&gt;50K",Tabela4[[#This Row],[4Age]],NA())</f>
        <v>#N/A</v>
      </c>
      <c r="M47" t="e">
        <f>IF(Tabela4[[#This Row],[4Income]]="&gt;50K",Tabela4[[#This Row],[4hours-per-week]],NA())</f>
        <v>#N/A</v>
      </c>
    </row>
    <row r="48" spans="1:13">
      <c r="A48">
        <v>22</v>
      </c>
      <c r="B48">
        <v>25</v>
      </c>
      <c r="C48">
        <v>6</v>
      </c>
      <c r="D48">
        <v>25</v>
      </c>
      <c r="E48">
        <v>22</v>
      </c>
      <c r="F48">
        <v>6</v>
      </c>
      <c r="G48">
        <v>22</v>
      </c>
      <c r="H48">
        <v>25</v>
      </c>
      <c r="I48" t="s">
        <v>8</v>
      </c>
      <c r="J48">
        <f>IF(Tabela4[[#This Row],[4Income]]="&lt;=50K",Tabela4[[#This Row],[4Age]],NA())</f>
        <v>22</v>
      </c>
      <c r="K48">
        <f>IF(Tabela4[[#This Row],[4Income]]="&lt;=50K",Tabela4[[#This Row],[4hours-per-week]],NA())</f>
        <v>25</v>
      </c>
      <c r="L48" t="e">
        <f>IF(Tabela4[[#This Row],[4Income]]="&gt;50K",Tabela4[[#This Row],[4Age]],NA())</f>
        <v>#N/A</v>
      </c>
      <c r="M48" t="e">
        <f>IF(Tabela4[[#This Row],[4Income]]="&gt;50K",Tabela4[[#This Row],[4hours-per-week]],NA())</f>
        <v>#N/A</v>
      </c>
    </row>
    <row r="49" spans="1:13">
      <c r="A49">
        <v>37</v>
      </c>
      <c r="B49">
        <v>50</v>
      </c>
      <c r="C49">
        <v>13</v>
      </c>
      <c r="D49">
        <v>50</v>
      </c>
      <c r="E49">
        <v>37</v>
      </c>
      <c r="F49">
        <v>13</v>
      </c>
      <c r="G49">
        <v>37</v>
      </c>
      <c r="H49">
        <v>50</v>
      </c>
      <c r="I49" t="s">
        <v>8</v>
      </c>
      <c r="J49">
        <f>IF(Tabela4[[#This Row],[4Income]]="&lt;=50K",Tabela4[[#This Row],[4Age]],NA())</f>
        <v>37</v>
      </c>
      <c r="K49">
        <f>IF(Tabela4[[#This Row],[4Income]]="&lt;=50K",Tabela4[[#This Row],[4hours-per-week]],NA())</f>
        <v>50</v>
      </c>
      <c r="L49" t="e">
        <f>IF(Tabela4[[#This Row],[4Income]]="&gt;50K",Tabela4[[#This Row],[4Age]],NA())</f>
        <v>#N/A</v>
      </c>
      <c r="M49" t="e">
        <f>IF(Tabela4[[#This Row],[4Income]]="&gt;50K",Tabela4[[#This Row],[4hours-per-week]],NA())</f>
        <v>#N/A</v>
      </c>
    </row>
    <row r="50" spans="1:13">
      <c r="A50">
        <v>22</v>
      </c>
      <c r="B50">
        <v>55</v>
      </c>
      <c r="C50">
        <v>13</v>
      </c>
      <c r="D50">
        <v>55</v>
      </c>
      <c r="E50">
        <v>22</v>
      </c>
      <c r="F50">
        <v>13</v>
      </c>
      <c r="G50">
        <v>22</v>
      </c>
      <c r="H50">
        <v>55</v>
      </c>
      <c r="I50" t="s">
        <v>8</v>
      </c>
      <c r="J50">
        <f>IF(Tabela4[[#This Row],[4Income]]="&lt;=50K",Tabela4[[#This Row],[4Age]],NA())</f>
        <v>22</v>
      </c>
      <c r="K50">
        <f>IF(Tabela4[[#This Row],[4Income]]="&lt;=50K",Tabela4[[#This Row],[4hours-per-week]],NA())</f>
        <v>55</v>
      </c>
      <c r="L50" t="e">
        <f>IF(Tabela4[[#This Row],[4Income]]="&gt;50K",Tabela4[[#This Row],[4Age]],NA())</f>
        <v>#N/A</v>
      </c>
      <c r="M50" t="e">
        <f>IF(Tabela4[[#This Row],[4Income]]="&gt;50K",Tabela4[[#This Row],[4hours-per-week]],NA())</f>
        <v>#N/A</v>
      </c>
    </row>
    <row r="51" spans="1:13">
      <c r="A51">
        <v>27</v>
      </c>
      <c r="B51">
        <v>40</v>
      </c>
      <c r="C51">
        <v>10</v>
      </c>
      <c r="D51">
        <v>40</v>
      </c>
      <c r="E51">
        <v>27</v>
      </c>
      <c r="F51">
        <v>10</v>
      </c>
      <c r="G51">
        <v>27</v>
      </c>
      <c r="H51">
        <v>40</v>
      </c>
      <c r="I51" t="s">
        <v>8</v>
      </c>
      <c r="J51">
        <f>IF(Tabela4[[#This Row],[4Income]]="&lt;=50K",Tabela4[[#This Row],[4Age]],NA())</f>
        <v>27</v>
      </c>
      <c r="K51">
        <f>IF(Tabela4[[#This Row],[4Income]]="&lt;=50K",Tabela4[[#This Row],[4hours-per-week]],NA())</f>
        <v>40</v>
      </c>
      <c r="L51" t="e">
        <f>IF(Tabela4[[#This Row],[4Income]]="&gt;50K",Tabela4[[#This Row],[4Age]],NA())</f>
        <v>#N/A</v>
      </c>
      <c r="M51" t="e">
        <f>IF(Tabela4[[#This Row],[4Income]]="&gt;50K",Tabela4[[#This Row],[4hours-per-week]],NA())</f>
        <v>#N/A</v>
      </c>
    </row>
    <row r="52" spans="1:13">
      <c r="A52">
        <v>55</v>
      </c>
      <c r="B52">
        <v>35</v>
      </c>
      <c r="C52">
        <v>15</v>
      </c>
      <c r="D52">
        <v>35</v>
      </c>
      <c r="E52">
        <v>55</v>
      </c>
      <c r="F52">
        <v>15</v>
      </c>
      <c r="G52">
        <v>55</v>
      </c>
      <c r="H52">
        <v>35</v>
      </c>
      <c r="I52" t="s">
        <v>19</v>
      </c>
      <c r="J52" t="e">
        <f>IF(Tabela4[[#This Row],[4Income]]="&lt;=50K",Tabela4[[#This Row],[4Age]],NA())</f>
        <v>#N/A</v>
      </c>
      <c r="K52" t="e">
        <f>IF(Tabela4[[#This Row],[4Income]]="&lt;=50K",Tabela4[[#This Row],[4hours-per-week]],NA())</f>
        <v>#N/A</v>
      </c>
      <c r="L52">
        <f>IF(Tabela4[[#This Row],[4Income]]="&gt;50K",Tabela4[[#This Row],[4Age]],NA())</f>
        <v>55</v>
      </c>
      <c r="M52">
        <f>IF(Tabela4[[#This Row],[4Income]]="&gt;50K",Tabela4[[#This Row],[4hours-per-week]],NA())</f>
        <v>35</v>
      </c>
    </row>
    <row r="53" spans="1:13">
      <c r="A53">
        <v>39</v>
      </c>
      <c r="B53">
        <v>20</v>
      </c>
      <c r="C53">
        <v>11</v>
      </c>
      <c r="D53">
        <v>20</v>
      </c>
      <c r="E53">
        <v>39</v>
      </c>
      <c r="F53">
        <v>11</v>
      </c>
      <c r="G53">
        <v>39</v>
      </c>
      <c r="H53">
        <v>20</v>
      </c>
      <c r="I53" t="s">
        <v>19</v>
      </c>
      <c r="J53" t="e">
        <f>IF(Tabela4[[#This Row],[4Income]]="&lt;=50K",Tabela4[[#This Row],[4Age]],NA())</f>
        <v>#N/A</v>
      </c>
      <c r="K53" t="e">
        <f>IF(Tabela4[[#This Row],[4Income]]="&lt;=50K",Tabela4[[#This Row],[4hours-per-week]],NA())</f>
        <v>#N/A</v>
      </c>
      <c r="L53">
        <f>IF(Tabela4[[#This Row],[4Income]]="&gt;50K",Tabela4[[#This Row],[4Age]],NA())</f>
        <v>39</v>
      </c>
      <c r="M53">
        <f>IF(Tabela4[[#This Row],[4Income]]="&gt;50K",Tabela4[[#This Row],[4hours-per-week]],NA())</f>
        <v>20</v>
      </c>
    </row>
    <row r="54" spans="1:13">
      <c r="A54">
        <v>53</v>
      </c>
      <c r="B54">
        <v>40</v>
      </c>
      <c r="C54">
        <v>9</v>
      </c>
      <c r="D54">
        <v>40</v>
      </c>
      <c r="E54">
        <v>53</v>
      </c>
      <c r="F54">
        <v>9</v>
      </c>
      <c r="G54">
        <v>53</v>
      </c>
      <c r="H54">
        <v>40</v>
      </c>
      <c r="I54" t="s">
        <v>8</v>
      </c>
      <c r="J54">
        <f>IF(Tabela4[[#This Row],[4Income]]="&lt;=50K",Tabela4[[#This Row],[4Age]],NA())</f>
        <v>53</v>
      </c>
      <c r="K54">
        <f>IF(Tabela4[[#This Row],[4Income]]="&lt;=50K",Tabela4[[#This Row],[4hours-per-week]],NA())</f>
        <v>40</v>
      </c>
      <c r="L54" t="e">
        <f>IF(Tabela4[[#This Row],[4Income]]="&gt;50K",Tabela4[[#This Row],[4Age]],NA())</f>
        <v>#N/A</v>
      </c>
      <c r="M54" t="e">
        <f>IF(Tabela4[[#This Row],[4Income]]="&gt;50K",Tabela4[[#This Row],[4hours-per-week]],NA())</f>
        <v>#N/A</v>
      </c>
    </row>
    <row r="55" spans="1:13">
      <c r="A55">
        <v>24</v>
      </c>
      <c r="B55">
        <v>13</v>
      </c>
      <c r="C55">
        <v>14</v>
      </c>
      <c r="D55">
        <v>13</v>
      </c>
      <c r="E55">
        <v>24</v>
      </c>
      <c r="F55">
        <v>14</v>
      </c>
      <c r="G55">
        <v>24</v>
      </c>
      <c r="H55">
        <v>13</v>
      </c>
      <c r="I55" t="s">
        <v>8</v>
      </c>
      <c r="J55">
        <f>IF(Tabela4[[#This Row],[4Income]]="&lt;=50K",Tabela4[[#This Row],[4Age]],NA())</f>
        <v>24</v>
      </c>
      <c r="K55">
        <f>IF(Tabela4[[#This Row],[4Income]]="&lt;=50K",Tabela4[[#This Row],[4hours-per-week]],NA())</f>
        <v>13</v>
      </c>
      <c r="L55" t="e">
        <f>IF(Tabela4[[#This Row],[4Income]]="&gt;50K",Tabela4[[#This Row],[4Age]],NA())</f>
        <v>#N/A</v>
      </c>
      <c r="M55" t="e">
        <f>IF(Tabela4[[#This Row],[4Income]]="&gt;50K",Tabela4[[#This Row],[4hours-per-week]],NA())</f>
        <v>#N/A</v>
      </c>
    </row>
    <row r="56" spans="1:13">
      <c r="A56">
        <v>24</v>
      </c>
      <c r="B56">
        <v>40</v>
      </c>
      <c r="C56">
        <v>13</v>
      </c>
      <c r="D56">
        <v>40</v>
      </c>
      <c r="E56">
        <v>24</v>
      </c>
      <c r="F56">
        <v>13</v>
      </c>
      <c r="G56">
        <v>24</v>
      </c>
      <c r="H56">
        <v>40</v>
      </c>
      <c r="I56" t="s">
        <v>8</v>
      </c>
      <c r="J56">
        <f>IF(Tabela4[[#This Row],[4Income]]="&lt;=50K",Tabela4[[#This Row],[4Age]],NA())</f>
        <v>24</v>
      </c>
      <c r="K56">
        <f>IF(Tabela4[[#This Row],[4Income]]="&lt;=50K",Tabela4[[#This Row],[4hours-per-week]],NA())</f>
        <v>40</v>
      </c>
      <c r="L56" t="e">
        <f>IF(Tabela4[[#This Row],[4Income]]="&gt;50K",Tabela4[[#This Row],[4Age]],NA())</f>
        <v>#N/A</v>
      </c>
      <c r="M56" t="e">
        <f>IF(Tabela4[[#This Row],[4Income]]="&gt;50K",Tabela4[[#This Row],[4hours-per-week]],NA())</f>
        <v>#N/A</v>
      </c>
    </row>
    <row r="57" spans="1:13">
      <c r="A57">
        <v>21</v>
      </c>
      <c r="B57">
        <v>25</v>
      </c>
      <c r="C57">
        <v>10</v>
      </c>
      <c r="D57">
        <v>25</v>
      </c>
      <c r="E57">
        <v>21</v>
      </c>
      <c r="F57">
        <v>10</v>
      </c>
      <c r="G57">
        <v>21</v>
      </c>
      <c r="H57">
        <v>25</v>
      </c>
      <c r="I57" t="s">
        <v>8</v>
      </c>
      <c r="J57">
        <f>IF(Tabela4[[#This Row],[4Income]]="&lt;=50K",Tabela4[[#This Row],[4Age]],NA())</f>
        <v>21</v>
      </c>
      <c r="K57">
        <f>IF(Tabela4[[#This Row],[4Income]]="&lt;=50K",Tabela4[[#This Row],[4hours-per-week]],NA())</f>
        <v>25</v>
      </c>
      <c r="L57" t="e">
        <f>IF(Tabela4[[#This Row],[4Income]]="&gt;50K",Tabela4[[#This Row],[4Age]],NA())</f>
        <v>#N/A</v>
      </c>
      <c r="M57" t="e">
        <f>IF(Tabela4[[#This Row],[4Income]]="&gt;50K",Tabela4[[#This Row],[4hours-per-week]],NA())</f>
        <v>#N/A</v>
      </c>
    </row>
    <row r="58" spans="1:13">
      <c r="A58">
        <v>30</v>
      </c>
      <c r="B58">
        <v>40</v>
      </c>
      <c r="C58">
        <v>13</v>
      </c>
      <c r="D58">
        <v>40</v>
      </c>
      <c r="E58">
        <v>30</v>
      </c>
      <c r="F58">
        <v>13</v>
      </c>
      <c r="G58">
        <v>30</v>
      </c>
      <c r="H58">
        <v>40</v>
      </c>
      <c r="I58" t="s">
        <v>19</v>
      </c>
      <c r="J58" t="e">
        <f>IF(Tabela4[[#This Row],[4Income]]="&lt;=50K",Tabela4[[#This Row],[4Age]],NA())</f>
        <v>#N/A</v>
      </c>
      <c r="K58" t="e">
        <f>IF(Tabela4[[#This Row],[4Income]]="&lt;=50K",Tabela4[[#This Row],[4hours-per-week]],NA())</f>
        <v>#N/A</v>
      </c>
      <c r="L58">
        <f>IF(Tabela4[[#This Row],[4Income]]="&gt;50K",Tabela4[[#This Row],[4Age]],NA())</f>
        <v>30</v>
      </c>
      <c r="M58">
        <f>IF(Tabela4[[#This Row],[4Income]]="&gt;50K",Tabela4[[#This Row],[4hours-per-week]],NA())</f>
        <v>40</v>
      </c>
    </row>
    <row r="59" spans="1:13">
      <c r="A59">
        <v>58</v>
      </c>
      <c r="B59">
        <v>40</v>
      </c>
      <c r="C59">
        <v>9</v>
      </c>
      <c r="D59">
        <v>40</v>
      </c>
      <c r="E59">
        <v>58</v>
      </c>
      <c r="F59">
        <v>9</v>
      </c>
      <c r="G59">
        <v>58</v>
      </c>
      <c r="H59">
        <v>40</v>
      </c>
      <c r="I59" t="s">
        <v>8</v>
      </c>
      <c r="J59">
        <f>IF(Tabela4[[#This Row],[4Income]]="&lt;=50K",Tabela4[[#This Row],[4Age]],NA())</f>
        <v>58</v>
      </c>
      <c r="K59">
        <f>IF(Tabela4[[#This Row],[4Income]]="&lt;=50K",Tabela4[[#This Row],[4hours-per-week]],NA())</f>
        <v>40</v>
      </c>
      <c r="L59" t="e">
        <f>IF(Tabela4[[#This Row],[4Income]]="&gt;50K",Tabela4[[#This Row],[4Age]],NA())</f>
        <v>#N/A</v>
      </c>
      <c r="M59" t="e">
        <f>IF(Tabela4[[#This Row],[4Income]]="&gt;50K",Tabela4[[#This Row],[4hours-per-week]],NA())</f>
        <v>#N/A</v>
      </c>
    </row>
    <row r="60" spans="1:13">
      <c r="A60">
        <v>41</v>
      </c>
      <c r="B60">
        <v>40</v>
      </c>
      <c r="C60">
        <v>9</v>
      </c>
      <c r="D60">
        <v>40</v>
      </c>
      <c r="E60">
        <v>41</v>
      </c>
      <c r="F60">
        <v>9</v>
      </c>
      <c r="G60">
        <v>41</v>
      </c>
      <c r="H60">
        <v>40</v>
      </c>
      <c r="I60" t="s">
        <v>8</v>
      </c>
      <c r="J60">
        <f>IF(Tabela4[[#This Row],[4Income]]="&lt;=50K",Tabela4[[#This Row],[4Age]],NA())</f>
        <v>41</v>
      </c>
      <c r="K60">
        <f>IF(Tabela4[[#This Row],[4Income]]="&lt;=50K",Tabela4[[#This Row],[4hours-per-week]],NA())</f>
        <v>40</v>
      </c>
      <c r="L60" t="e">
        <f>IF(Tabela4[[#This Row],[4Income]]="&gt;50K",Tabela4[[#This Row],[4Age]],NA())</f>
        <v>#N/A</v>
      </c>
      <c r="M60" t="e">
        <f>IF(Tabela4[[#This Row],[4Income]]="&gt;50K",Tabela4[[#This Row],[4hours-per-week]],NA())</f>
        <v>#N/A</v>
      </c>
    </row>
    <row r="61" spans="1:13">
      <c r="A61">
        <v>17</v>
      </c>
      <c r="B61">
        <v>25</v>
      </c>
      <c r="C61">
        <v>7</v>
      </c>
      <c r="D61">
        <v>25</v>
      </c>
      <c r="E61">
        <v>17</v>
      </c>
      <c r="F61">
        <v>7</v>
      </c>
      <c r="G61">
        <v>17</v>
      </c>
      <c r="H61">
        <v>25</v>
      </c>
      <c r="I61" t="s">
        <v>8</v>
      </c>
      <c r="J61">
        <f>IF(Tabela4[[#This Row],[4Income]]="&lt;=50K",Tabela4[[#This Row],[4Age]],NA())</f>
        <v>17</v>
      </c>
      <c r="K61">
        <f>IF(Tabela4[[#This Row],[4Income]]="&lt;=50K",Tabela4[[#This Row],[4hours-per-week]],NA())</f>
        <v>25</v>
      </c>
      <c r="L61" t="e">
        <f>IF(Tabela4[[#This Row],[4Income]]="&gt;50K",Tabela4[[#This Row],[4Age]],NA())</f>
        <v>#N/A</v>
      </c>
      <c r="M61" t="e">
        <f>IF(Tabela4[[#This Row],[4Income]]="&gt;50K",Tabela4[[#This Row],[4hours-per-week]],NA())</f>
        <v>#N/A</v>
      </c>
    </row>
    <row r="62" spans="1:13">
      <c r="A62">
        <v>31</v>
      </c>
      <c r="B62">
        <v>40</v>
      </c>
      <c r="C62">
        <v>9</v>
      </c>
      <c r="D62">
        <v>40</v>
      </c>
      <c r="E62">
        <v>31</v>
      </c>
      <c r="F62">
        <v>9</v>
      </c>
      <c r="G62">
        <v>31</v>
      </c>
      <c r="H62">
        <v>40</v>
      </c>
      <c r="I62" t="s">
        <v>8</v>
      </c>
      <c r="J62">
        <f>IF(Tabela4[[#This Row],[4Income]]="&lt;=50K",Tabela4[[#This Row],[4Age]],NA())</f>
        <v>31</v>
      </c>
      <c r="K62">
        <f>IF(Tabela4[[#This Row],[4Income]]="&lt;=50K",Tabela4[[#This Row],[4hours-per-week]],NA())</f>
        <v>40</v>
      </c>
      <c r="L62" t="e">
        <f>IF(Tabela4[[#This Row],[4Income]]="&gt;50K",Tabela4[[#This Row],[4Age]],NA())</f>
        <v>#N/A</v>
      </c>
      <c r="M62" t="e">
        <f>IF(Tabela4[[#This Row],[4Income]]="&gt;50K",Tabela4[[#This Row],[4hours-per-week]],NA())</f>
        <v>#N/A</v>
      </c>
    </row>
    <row r="63" spans="1:13">
      <c r="A63">
        <v>48</v>
      </c>
      <c r="B63">
        <v>45</v>
      </c>
      <c r="C63">
        <v>13</v>
      </c>
      <c r="D63">
        <v>45</v>
      </c>
      <c r="E63">
        <v>48</v>
      </c>
      <c r="F63">
        <v>13</v>
      </c>
      <c r="G63">
        <v>48</v>
      </c>
      <c r="H63">
        <v>45</v>
      </c>
      <c r="I63" t="s">
        <v>19</v>
      </c>
      <c r="J63" t="e">
        <f>IF(Tabela4[[#This Row],[4Income]]="&lt;=50K",Tabela4[[#This Row],[4Age]],NA())</f>
        <v>#N/A</v>
      </c>
      <c r="K63" t="e">
        <f>IF(Tabela4[[#This Row],[4Income]]="&lt;=50K",Tabela4[[#This Row],[4hours-per-week]],NA())</f>
        <v>#N/A</v>
      </c>
      <c r="L63">
        <f>IF(Tabela4[[#This Row],[4Income]]="&gt;50K",Tabela4[[#This Row],[4Age]],NA())</f>
        <v>48</v>
      </c>
      <c r="M63">
        <f>IF(Tabela4[[#This Row],[4Income]]="&gt;50K",Tabela4[[#This Row],[4hours-per-week]],NA())</f>
        <v>45</v>
      </c>
    </row>
    <row r="64" spans="1:13">
      <c r="A64">
        <v>42</v>
      </c>
      <c r="B64">
        <v>40</v>
      </c>
      <c r="C64">
        <v>10</v>
      </c>
      <c r="D64">
        <v>40</v>
      </c>
      <c r="E64">
        <v>42</v>
      </c>
      <c r="F64">
        <v>10</v>
      </c>
      <c r="G64">
        <v>42</v>
      </c>
      <c r="H64">
        <v>40</v>
      </c>
      <c r="I64" t="s">
        <v>8</v>
      </c>
      <c r="J64">
        <f>IF(Tabela4[[#This Row],[4Income]]="&lt;=50K",Tabela4[[#This Row],[4Age]],NA())</f>
        <v>42</v>
      </c>
      <c r="K64">
        <f>IF(Tabela4[[#This Row],[4Income]]="&lt;=50K",Tabela4[[#This Row],[4hours-per-week]],NA())</f>
        <v>40</v>
      </c>
      <c r="L64" t="e">
        <f>IF(Tabela4[[#This Row],[4Income]]="&gt;50K",Tabela4[[#This Row],[4Age]],NA())</f>
        <v>#N/A</v>
      </c>
      <c r="M64" t="e">
        <f>IF(Tabela4[[#This Row],[4Income]]="&gt;50K",Tabela4[[#This Row],[4hours-per-week]],NA())</f>
        <v>#N/A</v>
      </c>
    </row>
    <row r="65" spans="1:13">
      <c r="A65">
        <v>26</v>
      </c>
      <c r="B65">
        <v>40</v>
      </c>
      <c r="C65">
        <v>14</v>
      </c>
      <c r="D65">
        <v>40</v>
      </c>
      <c r="E65">
        <v>26</v>
      </c>
      <c r="F65">
        <v>14</v>
      </c>
      <c r="G65">
        <v>26</v>
      </c>
      <c r="H65">
        <v>40</v>
      </c>
      <c r="I65" t="s">
        <v>8</v>
      </c>
      <c r="J65">
        <f>IF(Tabela4[[#This Row],[4Income]]="&lt;=50K",Tabela4[[#This Row],[4Age]],NA())</f>
        <v>26</v>
      </c>
      <c r="K65">
        <f>IF(Tabela4[[#This Row],[4Income]]="&lt;=50K",Tabela4[[#This Row],[4hours-per-week]],NA())</f>
        <v>40</v>
      </c>
      <c r="L65" t="e">
        <f>IF(Tabela4[[#This Row],[4Income]]="&gt;50K",Tabela4[[#This Row],[4Age]],NA())</f>
        <v>#N/A</v>
      </c>
      <c r="M65" t="e">
        <f>IF(Tabela4[[#This Row],[4Income]]="&gt;50K",Tabela4[[#This Row],[4hours-per-week]],NA())</f>
        <v>#N/A</v>
      </c>
    </row>
    <row r="66" spans="1:13">
      <c r="A66">
        <v>33</v>
      </c>
      <c r="B66">
        <v>50</v>
      </c>
      <c r="C66">
        <v>13</v>
      </c>
      <c r="D66">
        <v>50</v>
      </c>
      <c r="E66">
        <v>33</v>
      </c>
      <c r="F66">
        <v>13</v>
      </c>
      <c r="G66">
        <v>33</v>
      </c>
      <c r="H66">
        <v>50</v>
      </c>
      <c r="I66" t="s">
        <v>8</v>
      </c>
      <c r="J66">
        <f>IF(Tabela4[[#This Row],[4Income]]="&lt;=50K",Tabela4[[#This Row],[4Age]],NA())</f>
        <v>33</v>
      </c>
      <c r="K66">
        <f>IF(Tabela4[[#This Row],[4Income]]="&lt;=50K",Tabela4[[#This Row],[4hours-per-week]],NA())</f>
        <v>50</v>
      </c>
      <c r="L66" t="e">
        <f>IF(Tabela4[[#This Row],[4Income]]="&gt;50K",Tabela4[[#This Row],[4Age]],NA())</f>
        <v>#N/A</v>
      </c>
      <c r="M66" t="e">
        <f>IF(Tabela4[[#This Row],[4Income]]="&gt;50K",Tabela4[[#This Row],[4hours-per-week]],NA())</f>
        <v>#N/A</v>
      </c>
    </row>
    <row r="67" spans="1:13">
      <c r="A67">
        <v>40</v>
      </c>
      <c r="B67">
        <v>40</v>
      </c>
      <c r="C67">
        <v>10</v>
      </c>
      <c r="D67">
        <v>40</v>
      </c>
      <c r="E67">
        <v>40</v>
      </c>
      <c r="F67">
        <v>10</v>
      </c>
      <c r="G67">
        <v>40</v>
      </c>
      <c r="H67">
        <v>40</v>
      </c>
      <c r="I67" t="s">
        <v>8</v>
      </c>
      <c r="J67">
        <f>IF(Tabela4[[#This Row],[4Income]]="&lt;=50K",Tabela4[[#This Row],[4Age]],NA())</f>
        <v>40</v>
      </c>
      <c r="K67">
        <f>IF(Tabela4[[#This Row],[4Income]]="&lt;=50K",Tabela4[[#This Row],[4hours-per-week]],NA())</f>
        <v>40</v>
      </c>
      <c r="L67" t="e">
        <f>IF(Tabela4[[#This Row],[4Income]]="&gt;50K",Tabela4[[#This Row],[4Age]],NA())</f>
        <v>#N/A</v>
      </c>
      <c r="M67" t="e">
        <f>IF(Tabela4[[#This Row],[4Income]]="&gt;50K",Tabela4[[#This Row],[4hours-per-week]],NA())</f>
        <v>#N/A</v>
      </c>
    </row>
    <row r="68" spans="1:13">
      <c r="A68">
        <v>51</v>
      </c>
      <c r="B68">
        <v>40</v>
      </c>
      <c r="C68">
        <v>13</v>
      </c>
      <c r="D68">
        <v>40</v>
      </c>
      <c r="E68">
        <v>51</v>
      </c>
      <c r="F68">
        <v>13</v>
      </c>
      <c r="G68">
        <v>51</v>
      </c>
      <c r="H68">
        <v>40</v>
      </c>
      <c r="I68" t="s">
        <v>19</v>
      </c>
      <c r="J68" t="e">
        <f>IF(Tabela4[[#This Row],[4Income]]="&lt;=50K",Tabela4[[#This Row],[4Age]],NA())</f>
        <v>#N/A</v>
      </c>
      <c r="K68" t="e">
        <f>IF(Tabela4[[#This Row],[4Income]]="&lt;=50K",Tabela4[[#This Row],[4hours-per-week]],NA())</f>
        <v>#N/A</v>
      </c>
      <c r="L68">
        <f>IF(Tabela4[[#This Row],[4Income]]="&gt;50K",Tabela4[[#This Row],[4Age]],NA())</f>
        <v>51</v>
      </c>
      <c r="M68">
        <f>IF(Tabela4[[#This Row],[4Income]]="&gt;50K",Tabela4[[#This Row],[4hours-per-week]],NA())</f>
        <v>40</v>
      </c>
    </row>
    <row r="69" spans="1:13">
      <c r="A69">
        <v>35</v>
      </c>
      <c r="B69">
        <v>20</v>
      </c>
      <c r="C69">
        <v>13</v>
      </c>
      <c r="D69">
        <v>20</v>
      </c>
      <c r="E69">
        <v>35</v>
      </c>
      <c r="F69">
        <v>13</v>
      </c>
      <c r="G69">
        <v>35</v>
      </c>
      <c r="H69">
        <v>20</v>
      </c>
      <c r="I69" t="s">
        <v>8</v>
      </c>
      <c r="J69">
        <f>IF(Tabela4[[#This Row],[4Income]]="&lt;=50K",Tabela4[[#This Row],[4Age]],NA())</f>
        <v>35</v>
      </c>
      <c r="K69">
        <f>IF(Tabela4[[#This Row],[4Income]]="&lt;=50K",Tabela4[[#This Row],[4hours-per-week]],NA())</f>
        <v>20</v>
      </c>
      <c r="L69" t="e">
        <f>IF(Tabela4[[#This Row],[4Income]]="&gt;50K",Tabela4[[#This Row],[4Age]],NA())</f>
        <v>#N/A</v>
      </c>
      <c r="M69" t="e">
        <f>IF(Tabela4[[#This Row],[4Income]]="&gt;50K",Tabela4[[#This Row],[4hours-per-week]],NA())</f>
        <v>#N/A</v>
      </c>
    </row>
    <row r="70" spans="1:13">
      <c r="A70">
        <v>44</v>
      </c>
      <c r="B70">
        <v>65</v>
      </c>
      <c r="C70">
        <v>13</v>
      </c>
      <c r="D70">
        <v>65</v>
      </c>
      <c r="E70">
        <v>44</v>
      </c>
      <c r="F70">
        <v>13</v>
      </c>
      <c r="G70">
        <v>44</v>
      </c>
      <c r="H70">
        <v>65</v>
      </c>
      <c r="I70" t="s">
        <v>8</v>
      </c>
      <c r="J70">
        <f>IF(Tabela4[[#This Row],[4Income]]="&lt;=50K",Tabela4[[#This Row],[4Age]],NA())</f>
        <v>44</v>
      </c>
      <c r="K70">
        <f>IF(Tabela4[[#This Row],[4Income]]="&lt;=50K",Tabela4[[#This Row],[4hours-per-week]],NA())</f>
        <v>65</v>
      </c>
      <c r="L70" t="e">
        <f>IF(Tabela4[[#This Row],[4Income]]="&gt;50K",Tabela4[[#This Row],[4Age]],NA())</f>
        <v>#N/A</v>
      </c>
      <c r="M70" t="e">
        <f>IF(Tabela4[[#This Row],[4Income]]="&gt;50K",Tabela4[[#This Row],[4hours-per-week]],NA())</f>
        <v>#N/A</v>
      </c>
    </row>
    <row r="71" spans="1:13">
      <c r="A71">
        <v>58</v>
      </c>
      <c r="B71">
        <v>40</v>
      </c>
      <c r="C71">
        <v>6</v>
      </c>
      <c r="D71">
        <v>40</v>
      </c>
      <c r="E71">
        <v>58</v>
      </c>
      <c r="F71">
        <v>6</v>
      </c>
      <c r="G71">
        <v>58</v>
      </c>
      <c r="H71">
        <v>40</v>
      </c>
      <c r="I71" t="s">
        <v>8</v>
      </c>
      <c r="J71">
        <f>IF(Tabela4[[#This Row],[4Income]]="&lt;=50K",Tabela4[[#This Row],[4Age]],NA())</f>
        <v>58</v>
      </c>
      <c r="K71">
        <f>IF(Tabela4[[#This Row],[4Income]]="&lt;=50K",Tabela4[[#This Row],[4hours-per-week]],NA())</f>
        <v>40</v>
      </c>
      <c r="L71" t="e">
        <f>IF(Tabela4[[#This Row],[4Income]]="&gt;50K",Tabela4[[#This Row],[4Age]],NA())</f>
        <v>#N/A</v>
      </c>
      <c r="M71" t="e">
        <f>IF(Tabela4[[#This Row],[4Income]]="&gt;50K",Tabela4[[#This Row],[4hours-per-week]],NA())</f>
        <v>#N/A</v>
      </c>
    </row>
    <row r="72" spans="1:13">
      <c r="A72">
        <v>73</v>
      </c>
      <c r="B72">
        <v>10</v>
      </c>
      <c r="C72">
        <v>6</v>
      </c>
      <c r="D72">
        <v>10</v>
      </c>
      <c r="E72">
        <v>73</v>
      </c>
      <c r="F72">
        <v>6</v>
      </c>
      <c r="G72">
        <v>73</v>
      </c>
      <c r="H72">
        <v>10</v>
      </c>
      <c r="I72" t="s">
        <v>8</v>
      </c>
      <c r="J72">
        <f>IF(Tabela4[[#This Row],[4Income]]="&lt;=50K",Tabela4[[#This Row],[4Age]],NA())</f>
        <v>73</v>
      </c>
      <c r="K72">
        <f>IF(Tabela4[[#This Row],[4Income]]="&lt;=50K",Tabela4[[#This Row],[4hours-per-week]],NA())</f>
        <v>10</v>
      </c>
      <c r="L72" t="e">
        <f>IF(Tabela4[[#This Row],[4Income]]="&gt;50K",Tabela4[[#This Row],[4Age]],NA())</f>
        <v>#N/A</v>
      </c>
      <c r="M72" t="e">
        <f>IF(Tabela4[[#This Row],[4Income]]="&gt;50K",Tabela4[[#This Row],[4hours-per-week]],NA())</f>
        <v>#N/A</v>
      </c>
    </row>
    <row r="73" spans="1:13">
      <c r="A73">
        <v>36</v>
      </c>
      <c r="B73">
        <v>40</v>
      </c>
      <c r="C73">
        <v>13</v>
      </c>
      <c r="D73">
        <v>40</v>
      </c>
      <c r="E73">
        <v>36</v>
      </c>
      <c r="F73">
        <v>13</v>
      </c>
      <c r="G73">
        <v>36</v>
      </c>
      <c r="H73">
        <v>40</v>
      </c>
      <c r="I73" t="s">
        <v>19</v>
      </c>
      <c r="J73" t="e">
        <f>IF(Tabela4[[#This Row],[4Income]]="&lt;=50K",Tabela4[[#This Row],[4Age]],NA())</f>
        <v>#N/A</v>
      </c>
      <c r="K73" t="e">
        <f>IF(Tabela4[[#This Row],[4Income]]="&lt;=50K",Tabela4[[#This Row],[4hours-per-week]],NA())</f>
        <v>#N/A</v>
      </c>
      <c r="L73">
        <f>IF(Tabela4[[#This Row],[4Income]]="&gt;50K",Tabela4[[#This Row],[4Age]],NA())</f>
        <v>36</v>
      </c>
      <c r="M73">
        <f>IF(Tabela4[[#This Row],[4Income]]="&gt;50K",Tabela4[[#This Row],[4hours-per-week]],NA())</f>
        <v>40</v>
      </c>
    </row>
    <row r="74" spans="1:13">
      <c r="A74">
        <v>23</v>
      </c>
      <c r="B74">
        <v>50</v>
      </c>
      <c r="C74">
        <v>10</v>
      </c>
      <c r="D74">
        <v>50</v>
      </c>
      <c r="E74">
        <v>23</v>
      </c>
      <c r="F74">
        <v>10</v>
      </c>
      <c r="G74">
        <v>23</v>
      </c>
      <c r="H74">
        <v>50</v>
      </c>
      <c r="I74" t="s">
        <v>8</v>
      </c>
      <c r="J74">
        <f>IF(Tabela4[[#This Row],[4Income]]="&lt;=50K",Tabela4[[#This Row],[4Age]],NA())</f>
        <v>23</v>
      </c>
      <c r="K74">
        <f>IF(Tabela4[[#This Row],[4Income]]="&lt;=50K",Tabela4[[#This Row],[4hours-per-week]],NA())</f>
        <v>50</v>
      </c>
      <c r="L74" t="e">
        <f>IF(Tabela4[[#This Row],[4Income]]="&gt;50K",Tabela4[[#This Row],[4Age]],NA())</f>
        <v>#N/A</v>
      </c>
      <c r="M74" t="e">
        <f>IF(Tabela4[[#This Row],[4Income]]="&gt;50K",Tabela4[[#This Row],[4hours-per-week]],NA())</f>
        <v>#N/A</v>
      </c>
    </row>
    <row r="75" spans="1:13">
      <c r="A75">
        <v>59</v>
      </c>
      <c r="B75">
        <v>40</v>
      </c>
      <c r="C75">
        <v>11</v>
      </c>
      <c r="D75">
        <v>40</v>
      </c>
      <c r="E75">
        <v>59</v>
      </c>
      <c r="F75">
        <v>11</v>
      </c>
      <c r="G75">
        <v>59</v>
      </c>
      <c r="H75">
        <v>40</v>
      </c>
      <c r="I75" t="s">
        <v>19</v>
      </c>
      <c r="J75" t="e">
        <f>IF(Tabela4[[#This Row],[4Income]]="&lt;=50K",Tabela4[[#This Row],[4Age]],NA())</f>
        <v>#N/A</v>
      </c>
      <c r="K75" t="e">
        <f>IF(Tabela4[[#This Row],[4Income]]="&lt;=50K",Tabela4[[#This Row],[4hours-per-week]],NA())</f>
        <v>#N/A</v>
      </c>
      <c r="L75">
        <f>IF(Tabela4[[#This Row],[4Income]]="&gt;50K",Tabela4[[#This Row],[4Age]],NA())</f>
        <v>59</v>
      </c>
      <c r="M75">
        <f>IF(Tabela4[[#This Row],[4Income]]="&gt;50K",Tabela4[[#This Row],[4hours-per-week]],NA())</f>
        <v>40</v>
      </c>
    </row>
    <row r="76" spans="1:13">
      <c r="A76">
        <v>24</v>
      </c>
      <c r="B76">
        <v>40</v>
      </c>
      <c r="C76">
        <v>9</v>
      </c>
      <c r="D76">
        <v>40</v>
      </c>
      <c r="E76">
        <v>24</v>
      </c>
      <c r="F76">
        <v>9</v>
      </c>
      <c r="G76">
        <v>24</v>
      </c>
      <c r="H76">
        <v>40</v>
      </c>
      <c r="I76" t="s">
        <v>8</v>
      </c>
      <c r="J76">
        <f>IF(Tabela4[[#This Row],[4Income]]="&lt;=50K",Tabela4[[#This Row],[4Age]],NA())</f>
        <v>24</v>
      </c>
      <c r="K76">
        <f>IF(Tabela4[[#This Row],[4Income]]="&lt;=50K",Tabela4[[#This Row],[4hours-per-week]],NA())</f>
        <v>40</v>
      </c>
      <c r="L76" t="e">
        <f>IF(Tabela4[[#This Row],[4Income]]="&gt;50K",Tabela4[[#This Row],[4Age]],NA())</f>
        <v>#N/A</v>
      </c>
      <c r="M76" t="e">
        <f>IF(Tabela4[[#This Row],[4Income]]="&gt;50K",Tabela4[[#This Row],[4hours-per-week]],NA())</f>
        <v>#N/A</v>
      </c>
    </row>
    <row r="77" spans="1:13">
      <c r="A77">
        <v>39</v>
      </c>
      <c r="B77">
        <v>20</v>
      </c>
      <c r="C77">
        <v>1</v>
      </c>
      <c r="D77">
        <v>20</v>
      </c>
      <c r="E77">
        <v>39</v>
      </c>
      <c r="F77">
        <v>1</v>
      </c>
      <c r="G77">
        <v>39</v>
      </c>
      <c r="H77">
        <v>20</v>
      </c>
      <c r="I77" t="s">
        <v>8</v>
      </c>
      <c r="J77">
        <f>IF(Tabela4[[#This Row],[4Income]]="&lt;=50K",Tabela4[[#This Row],[4Age]],NA())</f>
        <v>39</v>
      </c>
      <c r="K77">
        <f>IF(Tabela4[[#This Row],[4Income]]="&lt;=50K",Tabela4[[#This Row],[4hours-per-week]],NA())</f>
        <v>20</v>
      </c>
      <c r="L77" t="e">
        <f>IF(Tabela4[[#This Row],[4Income]]="&gt;50K",Tabela4[[#This Row],[4Age]],NA())</f>
        <v>#N/A</v>
      </c>
      <c r="M77" t="e">
        <f>IF(Tabela4[[#This Row],[4Income]]="&gt;50K",Tabela4[[#This Row],[4hours-per-week]],NA())</f>
        <v>#N/A</v>
      </c>
    </row>
    <row r="78" spans="1:13">
      <c r="A78">
        <v>43</v>
      </c>
      <c r="B78">
        <v>44</v>
      </c>
      <c r="C78">
        <v>9</v>
      </c>
      <c r="D78">
        <v>44</v>
      </c>
      <c r="E78">
        <v>43</v>
      </c>
      <c r="F78">
        <v>9</v>
      </c>
      <c r="G78">
        <v>43</v>
      </c>
      <c r="H78">
        <v>44</v>
      </c>
      <c r="I78" t="s">
        <v>8</v>
      </c>
      <c r="J78">
        <f>IF(Tabela4[[#This Row],[4Income]]="&lt;=50K",Tabela4[[#This Row],[4Age]],NA())</f>
        <v>43</v>
      </c>
      <c r="K78">
        <f>IF(Tabela4[[#This Row],[4Income]]="&lt;=50K",Tabela4[[#This Row],[4hours-per-week]],NA())</f>
        <v>44</v>
      </c>
      <c r="L78" t="e">
        <f>IF(Tabela4[[#This Row],[4Income]]="&gt;50K",Tabela4[[#This Row],[4Age]],NA())</f>
        <v>#N/A</v>
      </c>
      <c r="M78" t="e">
        <f>IF(Tabela4[[#This Row],[4Income]]="&gt;50K",Tabela4[[#This Row],[4hours-per-week]],NA())</f>
        <v>#N/A</v>
      </c>
    </row>
    <row r="79" spans="1:13">
      <c r="A79">
        <v>51</v>
      </c>
      <c r="B79">
        <v>40</v>
      </c>
      <c r="C79">
        <v>9</v>
      </c>
      <c r="D79">
        <v>40</v>
      </c>
      <c r="E79">
        <v>51</v>
      </c>
      <c r="F79">
        <v>9</v>
      </c>
      <c r="G79">
        <v>51</v>
      </c>
      <c r="H79">
        <v>40</v>
      </c>
      <c r="I79" t="s">
        <v>8</v>
      </c>
      <c r="J79">
        <f>IF(Tabela4[[#This Row],[4Income]]="&lt;=50K",Tabela4[[#This Row],[4Age]],NA())</f>
        <v>51</v>
      </c>
      <c r="K79">
        <f>IF(Tabela4[[#This Row],[4Income]]="&lt;=50K",Tabela4[[#This Row],[4hours-per-week]],NA())</f>
        <v>40</v>
      </c>
      <c r="L79" t="e">
        <f>IF(Tabela4[[#This Row],[4Income]]="&gt;50K",Tabela4[[#This Row],[4Age]],NA())</f>
        <v>#N/A</v>
      </c>
      <c r="M79" t="e">
        <f>IF(Tabela4[[#This Row],[4Income]]="&gt;50K",Tabela4[[#This Row],[4hours-per-week]],NA())</f>
        <v>#N/A</v>
      </c>
    </row>
    <row r="80" spans="1:13">
      <c r="A80">
        <v>70</v>
      </c>
      <c r="B80">
        <v>30</v>
      </c>
      <c r="C80">
        <v>9</v>
      </c>
      <c r="D80">
        <v>30</v>
      </c>
      <c r="E80">
        <v>70</v>
      </c>
      <c r="F80">
        <v>9</v>
      </c>
      <c r="G80">
        <v>70</v>
      </c>
      <c r="H80">
        <v>30</v>
      </c>
      <c r="I80" t="s">
        <v>8</v>
      </c>
      <c r="J80">
        <f>IF(Tabela4[[#This Row],[4Income]]="&lt;=50K",Tabela4[[#This Row],[4Age]],NA())</f>
        <v>70</v>
      </c>
      <c r="K80">
        <f>IF(Tabela4[[#This Row],[4Income]]="&lt;=50K",Tabela4[[#This Row],[4hours-per-week]],NA())</f>
        <v>30</v>
      </c>
      <c r="L80" t="e">
        <f>IF(Tabela4[[#This Row],[4Income]]="&gt;50K",Tabela4[[#This Row],[4Age]],NA())</f>
        <v>#N/A</v>
      </c>
      <c r="M80" t="e">
        <f>IF(Tabela4[[#This Row],[4Income]]="&gt;50K",Tabela4[[#This Row],[4hours-per-week]],NA())</f>
        <v>#N/A</v>
      </c>
    </row>
    <row r="81" spans="1:13">
      <c r="A81">
        <v>70</v>
      </c>
      <c r="B81">
        <v>5</v>
      </c>
      <c r="C81">
        <v>9</v>
      </c>
      <c r="D81">
        <v>5</v>
      </c>
      <c r="E81">
        <v>70</v>
      </c>
      <c r="F81">
        <v>9</v>
      </c>
      <c r="G81">
        <v>70</v>
      </c>
      <c r="H81">
        <v>5</v>
      </c>
      <c r="I81" t="s">
        <v>8</v>
      </c>
      <c r="J81">
        <f>IF(Tabela4[[#This Row],[4Income]]="&lt;=50K",Tabela4[[#This Row],[4Age]],NA())</f>
        <v>70</v>
      </c>
      <c r="K81">
        <f>IF(Tabela4[[#This Row],[4Income]]="&lt;=50K",Tabela4[[#This Row],[4hours-per-week]],NA())</f>
        <v>5</v>
      </c>
      <c r="L81" t="e">
        <f>IF(Tabela4[[#This Row],[4Income]]="&gt;50K",Tabela4[[#This Row],[4Age]],NA())</f>
        <v>#N/A</v>
      </c>
      <c r="M81" t="e">
        <f>IF(Tabela4[[#This Row],[4Income]]="&gt;50K",Tabela4[[#This Row],[4hours-per-week]],NA())</f>
        <v>#N/A</v>
      </c>
    </row>
    <row r="82" spans="1:13">
      <c r="A82">
        <v>28</v>
      </c>
      <c r="B82">
        <v>40</v>
      </c>
      <c r="C82">
        <v>9</v>
      </c>
      <c r="D82">
        <v>40</v>
      </c>
      <c r="E82">
        <v>28</v>
      </c>
      <c r="F82">
        <v>9</v>
      </c>
      <c r="G82">
        <v>28</v>
      </c>
      <c r="H82">
        <v>40</v>
      </c>
      <c r="I82" t="s">
        <v>8</v>
      </c>
      <c r="J82">
        <f>IF(Tabela4[[#This Row],[4Income]]="&lt;=50K",Tabela4[[#This Row],[4Age]],NA())</f>
        <v>28</v>
      </c>
      <c r="K82">
        <f>IF(Tabela4[[#This Row],[4Income]]="&lt;=50K",Tabela4[[#This Row],[4hours-per-week]],NA())</f>
        <v>40</v>
      </c>
      <c r="L82" t="e">
        <f>IF(Tabela4[[#This Row],[4Income]]="&gt;50K",Tabela4[[#This Row],[4Age]],NA())</f>
        <v>#N/A</v>
      </c>
      <c r="M82" t="e">
        <f>IF(Tabela4[[#This Row],[4Income]]="&gt;50K",Tabela4[[#This Row],[4hours-per-week]],NA())</f>
        <v>#N/A</v>
      </c>
    </row>
    <row r="83" spans="1:13">
      <c r="A83">
        <v>19</v>
      </c>
      <c r="B83">
        <v>66</v>
      </c>
      <c r="C83">
        <v>10</v>
      </c>
      <c r="D83">
        <v>66</v>
      </c>
      <c r="E83">
        <v>19</v>
      </c>
      <c r="F83">
        <v>10</v>
      </c>
      <c r="G83">
        <v>19</v>
      </c>
      <c r="H83">
        <v>66</v>
      </c>
      <c r="I83" t="s">
        <v>8</v>
      </c>
      <c r="J83">
        <f>IF(Tabela4[[#This Row],[4Income]]="&lt;=50K",Tabela4[[#This Row],[4Age]],NA())</f>
        <v>19</v>
      </c>
      <c r="K83">
        <f>IF(Tabela4[[#This Row],[4Income]]="&lt;=50K",Tabela4[[#This Row],[4hours-per-week]],NA())</f>
        <v>66</v>
      </c>
      <c r="L83" t="e">
        <f>IF(Tabela4[[#This Row],[4Income]]="&gt;50K",Tabela4[[#This Row],[4Age]],NA())</f>
        <v>#N/A</v>
      </c>
      <c r="M83" t="e">
        <f>IF(Tabela4[[#This Row],[4Income]]="&gt;50K",Tabela4[[#This Row],[4hours-per-week]],NA())</f>
        <v>#N/A</v>
      </c>
    </row>
    <row r="84" spans="1:13">
      <c r="A84">
        <v>51</v>
      </c>
      <c r="B84">
        <v>40</v>
      </c>
      <c r="C84">
        <v>9</v>
      </c>
      <c r="D84">
        <v>40</v>
      </c>
      <c r="E84">
        <v>51</v>
      </c>
      <c r="F84">
        <v>9</v>
      </c>
      <c r="G84">
        <v>51</v>
      </c>
      <c r="H84">
        <v>40</v>
      </c>
      <c r="I84" t="s">
        <v>19</v>
      </c>
      <c r="J84" t="e">
        <f>IF(Tabela4[[#This Row],[4Income]]="&lt;=50K",Tabela4[[#This Row],[4Age]],NA())</f>
        <v>#N/A</v>
      </c>
      <c r="K84" t="e">
        <f>IF(Tabela4[[#This Row],[4Income]]="&lt;=50K",Tabela4[[#This Row],[4hours-per-week]],NA())</f>
        <v>#N/A</v>
      </c>
      <c r="L84">
        <f>IF(Tabela4[[#This Row],[4Income]]="&gt;50K",Tabela4[[#This Row],[4Age]],NA())</f>
        <v>51</v>
      </c>
      <c r="M84">
        <f>IF(Tabela4[[#This Row],[4Income]]="&gt;50K",Tabela4[[#This Row],[4hours-per-week]],NA())</f>
        <v>40</v>
      </c>
    </row>
    <row r="85" spans="1:13">
      <c r="A85">
        <v>47</v>
      </c>
      <c r="B85">
        <v>50</v>
      </c>
      <c r="C85">
        <v>9</v>
      </c>
      <c r="D85">
        <v>50</v>
      </c>
      <c r="E85">
        <v>47</v>
      </c>
      <c r="F85">
        <v>9</v>
      </c>
      <c r="G85">
        <v>47</v>
      </c>
      <c r="H85">
        <v>50</v>
      </c>
      <c r="I85" t="s">
        <v>8</v>
      </c>
      <c r="J85">
        <f>IF(Tabela4[[#This Row],[4Income]]="&lt;=50K",Tabela4[[#This Row],[4Age]],NA())</f>
        <v>47</v>
      </c>
      <c r="K85">
        <f>IF(Tabela4[[#This Row],[4Income]]="&lt;=50K",Tabela4[[#This Row],[4hours-per-week]],NA())</f>
        <v>50</v>
      </c>
      <c r="L85" t="e">
        <f>IF(Tabela4[[#This Row],[4Income]]="&gt;50K",Tabela4[[#This Row],[4Age]],NA())</f>
        <v>#N/A</v>
      </c>
      <c r="M85" t="e">
        <f>IF(Tabela4[[#This Row],[4Income]]="&gt;50K",Tabela4[[#This Row],[4hours-per-week]],NA())</f>
        <v>#N/A</v>
      </c>
    </row>
    <row r="86" spans="1:13">
      <c r="A86">
        <v>28</v>
      </c>
      <c r="B86">
        <v>40</v>
      </c>
      <c r="C86">
        <v>7</v>
      </c>
      <c r="D86">
        <v>40</v>
      </c>
      <c r="E86">
        <v>28</v>
      </c>
      <c r="F86">
        <v>7</v>
      </c>
      <c r="G86">
        <v>28</v>
      </c>
      <c r="H86">
        <v>40</v>
      </c>
      <c r="I86" t="s">
        <v>8</v>
      </c>
      <c r="J86">
        <f>IF(Tabela4[[#This Row],[4Income]]="&lt;=50K",Tabela4[[#This Row],[4Age]],NA())</f>
        <v>28</v>
      </c>
      <c r="K86">
        <f>IF(Tabela4[[#This Row],[4Income]]="&lt;=50K",Tabela4[[#This Row],[4hours-per-week]],NA())</f>
        <v>40</v>
      </c>
      <c r="L86" t="e">
        <f>IF(Tabela4[[#This Row],[4Income]]="&gt;50K",Tabela4[[#This Row],[4Age]],NA())</f>
        <v>#N/A</v>
      </c>
      <c r="M86" t="e">
        <f>IF(Tabela4[[#This Row],[4Income]]="&gt;50K",Tabela4[[#This Row],[4hours-per-week]],NA())</f>
        <v>#N/A</v>
      </c>
    </row>
    <row r="87" spans="1:13">
      <c r="A87">
        <v>41</v>
      </c>
      <c r="B87">
        <v>40</v>
      </c>
      <c r="C87">
        <v>10</v>
      </c>
      <c r="D87">
        <v>40</v>
      </c>
      <c r="E87">
        <v>41</v>
      </c>
      <c r="F87">
        <v>10</v>
      </c>
      <c r="G87">
        <v>41</v>
      </c>
      <c r="H87">
        <v>40</v>
      </c>
      <c r="I87" t="s">
        <v>8</v>
      </c>
      <c r="J87">
        <f>IF(Tabela4[[#This Row],[4Income]]="&lt;=50K",Tabela4[[#This Row],[4Age]],NA())</f>
        <v>41</v>
      </c>
      <c r="K87">
        <f>IF(Tabela4[[#This Row],[4Income]]="&lt;=50K",Tabela4[[#This Row],[4hours-per-week]],NA())</f>
        <v>40</v>
      </c>
      <c r="L87" t="e">
        <f>IF(Tabela4[[#This Row],[4Income]]="&gt;50K",Tabela4[[#This Row],[4Age]],NA())</f>
        <v>#N/A</v>
      </c>
      <c r="M87" t="e">
        <f>IF(Tabela4[[#This Row],[4Income]]="&gt;50K",Tabela4[[#This Row],[4hours-per-week]],NA())</f>
        <v>#N/A</v>
      </c>
    </row>
    <row r="88" spans="1:13">
      <c r="A88">
        <v>31</v>
      </c>
      <c r="B88">
        <v>54</v>
      </c>
      <c r="C88">
        <v>9</v>
      </c>
      <c r="D88">
        <v>54</v>
      </c>
      <c r="E88">
        <v>31</v>
      </c>
      <c r="F88">
        <v>9</v>
      </c>
      <c r="G88">
        <v>31</v>
      </c>
      <c r="H88">
        <v>54</v>
      </c>
      <c r="I88" t="s">
        <v>8</v>
      </c>
      <c r="J88">
        <f>IF(Tabela4[[#This Row],[4Income]]="&lt;=50K",Tabela4[[#This Row],[4Age]],NA())</f>
        <v>31</v>
      </c>
      <c r="K88">
        <f>IF(Tabela4[[#This Row],[4Income]]="&lt;=50K",Tabela4[[#This Row],[4hours-per-week]],NA())</f>
        <v>54</v>
      </c>
      <c r="L88" t="e">
        <f>IF(Tabela4[[#This Row],[4Income]]="&gt;50K",Tabela4[[#This Row],[4Age]],NA())</f>
        <v>#N/A</v>
      </c>
      <c r="M88" t="e">
        <f>IF(Tabela4[[#This Row],[4Income]]="&gt;50K",Tabela4[[#This Row],[4hours-per-week]],NA())</f>
        <v>#N/A</v>
      </c>
    </row>
    <row r="89" spans="1:13">
      <c r="A89">
        <v>38</v>
      </c>
      <c r="B89">
        <v>40</v>
      </c>
      <c r="C89">
        <v>10</v>
      </c>
      <c r="D89">
        <v>40</v>
      </c>
      <c r="E89">
        <v>38</v>
      </c>
      <c r="F89">
        <v>10</v>
      </c>
      <c r="G89">
        <v>38</v>
      </c>
      <c r="H89">
        <v>40</v>
      </c>
      <c r="I89" t="s">
        <v>19</v>
      </c>
      <c r="J89" t="e">
        <f>IF(Tabela4[[#This Row],[4Income]]="&lt;=50K",Tabela4[[#This Row],[4Age]],NA())</f>
        <v>#N/A</v>
      </c>
      <c r="K89" t="e">
        <f>IF(Tabela4[[#This Row],[4Income]]="&lt;=50K",Tabela4[[#This Row],[4hours-per-week]],NA())</f>
        <v>#N/A</v>
      </c>
      <c r="L89">
        <f>IF(Tabela4[[#This Row],[4Income]]="&gt;50K",Tabela4[[#This Row],[4Age]],NA())</f>
        <v>38</v>
      </c>
      <c r="M89">
        <f>IF(Tabela4[[#This Row],[4Income]]="&gt;50K",Tabela4[[#This Row],[4hours-per-week]],NA())</f>
        <v>40</v>
      </c>
    </row>
    <row r="90" spans="1:13">
      <c r="A90">
        <v>21</v>
      </c>
      <c r="B90">
        <v>40</v>
      </c>
      <c r="C90">
        <v>9</v>
      </c>
      <c r="D90">
        <v>40</v>
      </c>
      <c r="E90">
        <v>21</v>
      </c>
      <c r="F90">
        <v>9</v>
      </c>
      <c r="G90">
        <v>21</v>
      </c>
      <c r="H90">
        <v>40</v>
      </c>
      <c r="I90" t="s">
        <v>8</v>
      </c>
      <c r="J90">
        <f>IF(Tabela4[[#This Row],[4Income]]="&lt;=50K",Tabela4[[#This Row],[4Age]],NA())</f>
        <v>21</v>
      </c>
      <c r="K90">
        <f>IF(Tabela4[[#This Row],[4Income]]="&lt;=50K",Tabela4[[#This Row],[4hours-per-week]],NA())</f>
        <v>40</v>
      </c>
      <c r="L90" t="e">
        <f>IF(Tabela4[[#This Row],[4Income]]="&gt;50K",Tabela4[[#This Row],[4Age]],NA())</f>
        <v>#N/A</v>
      </c>
      <c r="M90" t="e">
        <f>IF(Tabela4[[#This Row],[4Income]]="&gt;50K",Tabela4[[#This Row],[4hours-per-week]],NA())</f>
        <v>#N/A</v>
      </c>
    </row>
    <row r="91" spans="1:13">
      <c r="A91">
        <v>44</v>
      </c>
      <c r="B91">
        <v>50</v>
      </c>
      <c r="C91">
        <v>9</v>
      </c>
      <c r="D91">
        <v>50</v>
      </c>
      <c r="E91">
        <v>44</v>
      </c>
      <c r="F91">
        <v>9</v>
      </c>
      <c r="G91">
        <v>44</v>
      </c>
      <c r="H91">
        <v>50</v>
      </c>
      <c r="I91" t="s">
        <v>8</v>
      </c>
      <c r="J91">
        <f>IF(Tabela4[[#This Row],[4Income]]="&lt;=50K",Tabela4[[#This Row],[4Age]],NA())</f>
        <v>44</v>
      </c>
      <c r="K91">
        <f>IF(Tabela4[[#This Row],[4Income]]="&lt;=50K",Tabela4[[#This Row],[4hours-per-week]],NA())</f>
        <v>50</v>
      </c>
      <c r="L91" t="e">
        <f>IF(Tabela4[[#This Row],[4Income]]="&gt;50K",Tabela4[[#This Row],[4Age]],NA())</f>
        <v>#N/A</v>
      </c>
      <c r="M91" t="e">
        <f>IF(Tabela4[[#This Row],[4Income]]="&gt;50K",Tabela4[[#This Row],[4hours-per-week]],NA())</f>
        <v>#N/A</v>
      </c>
    </row>
    <row r="92" spans="1:13">
      <c r="A92">
        <v>29</v>
      </c>
      <c r="B92">
        <v>40</v>
      </c>
      <c r="C92">
        <v>9</v>
      </c>
      <c r="D92">
        <v>40</v>
      </c>
      <c r="E92">
        <v>29</v>
      </c>
      <c r="F92">
        <v>9</v>
      </c>
      <c r="G92">
        <v>29</v>
      </c>
      <c r="H92">
        <v>40</v>
      </c>
      <c r="I92" t="s">
        <v>8</v>
      </c>
      <c r="J92">
        <f>IF(Tabela4[[#This Row],[4Income]]="&lt;=50K",Tabela4[[#This Row],[4Age]],NA())</f>
        <v>29</v>
      </c>
      <c r="K92">
        <f>IF(Tabela4[[#This Row],[4Income]]="&lt;=50K",Tabela4[[#This Row],[4hours-per-week]],NA())</f>
        <v>40</v>
      </c>
      <c r="L92" t="e">
        <f>IF(Tabela4[[#This Row],[4Income]]="&gt;50K",Tabela4[[#This Row],[4Age]],NA())</f>
        <v>#N/A</v>
      </c>
      <c r="M92" t="e">
        <f>IF(Tabela4[[#This Row],[4Income]]="&gt;50K",Tabela4[[#This Row],[4hours-per-week]],NA())</f>
        <v>#N/A</v>
      </c>
    </row>
    <row r="93" spans="1:13">
      <c r="A93">
        <v>25</v>
      </c>
      <c r="B93">
        <v>45</v>
      </c>
      <c r="C93">
        <v>11</v>
      </c>
      <c r="D93">
        <v>45</v>
      </c>
      <c r="E93">
        <v>25</v>
      </c>
      <c r="F93">
        <v>11</v>
      </c>
      <c r="G93">
        <v>25</v>
      </c>
      <c r="H93">
        <v>45</v>
      </c>
      <c r="I93" t="s">
        <v>8</v>
      </c>
      <c r="J93">
        <f>IF(Tabela4[[#This Row],[4Income]]="&lt;=50K",Tabela4[[#This Row],[4Age]],NA())</f>
        <v>25</v>
      </c>
      <c r="K93">
        <f>IF(Tabela4[[#This Row],[4Income]]="&lt;=50K",Tabela4[[#This Row],[4hours-per-week]],NA())</f>
        <v>45</v>
      </c>
      <c r="L93" t="e">
        <f>IF(Tabela4[[#This Row],[4Income]]="&gt;50K",Tabela4[[#This Row],[4Age]],NA())</f>
        <v>#N/A</v>
      </c>
      <c r="M93" t="e">
        <f>IF(Tabela4[[#This Row],[4Income]]="&gt;50K",Tabela4[[#This Row],[4hours-per-week]],NA())</f>
        <v>#N/A</v>
      </c>
    </row>
    <row r="94" spans="1:13">
      <c r="A94">
        <v>20</v>
      </c>
      <c r="B94">
        <v>20</v>
      </c>
      <c r="C94">
        <v>10</v>
      </c>
      <c r="D94">
        <v>20</v>
      </c>
      <c r="E94">
        <v>20</v>
      </c>
      <c r="F94">
        <v>10</v>
      </c>
      <c r="G94">
        <v>20</v>
      </c>
      <c r="H94">
        <v>20</v>
      </c>
      <c r="I94" t="s">
        <v>8</v>
      </c>
      <c r="J94">
        <f>IF(Tabela4[[#This Row],[4Income]]="&lt;=50K",Tabela4[[#This Row],[4Age]],NA())</f>
        <v>20</v>
      </c>
      <c r="K94">
        <f>IF(Tabela4[[#This Row],[4Income]]="&lt;=50K",Tabela4[[#This Row],[4hours-per-week]],NA())</f>
        <v>20</v>
      </c>
      <c r="L94" t="e">
        <f>IF(Tabela4[[#This Row],[4Income]]="&gt;50K",Tabela4[[#This Row],[4Age]],NA())</f>
        <v>#N/A</v>
      </c>
      <c r="M94" t="e">
        <f>IF(Tabela4[[#This Row],[4Income]]="&gt;50K",Tabela4[[#This Row],[4hours-per-week]],NA())</f>
        <v>#N/A</v>
      </c>
    </row>
    <row r="95" spans="1:13">
      <c r="A95">
        <v>43</v>
      </c>
      <c r="B95">
        <v>40</v>
      </c>
      <c r="C95">
        <v>9</v>
      </c>
      <c r="D95">
        <v>40</v>
      </c>
      <c r="E95">
        <v>43</v>
      </c>
      <c r="F95">
        <v>9</v>
      </c>
      <c r="G95">
        <v>43</v>
      </c>
      <c r="H95">
        <v>40</v>
      </c>
      <c r="I95" t="s">
        <v>8</v>
      </c>
      <c r="J95">
        <f>IF(Tabela4[[#This Row],[4Income]]="&lt;=50K",Tabela4[[#This Row],[4Age]],NA())</f>
        <v>43</v>
      </c>
      <c r="K95">
        <f>IF(Tabela4[[#This Row],[4Income]]="&lt;=50K",Tabela4[[#This Row],[4hours-per-week]],NA())</f>
        <v>40</v>
      </c>
      <c r="L95" t="e">
        <f>IF(Tabela4[[#This Row],[4Income]]="&gt;50K",Tabela4[[#This Row],[4Age]],NA())</f>
        <v>#N/A</v>
      </c>
      <c r="M95" t="e">
        <f>IF(Tabela4[[#This Row],[4Income]]="&gt;50K",Tabela4[[#This Row],[4hours-per-week]],NA())</f>
        <v>#N/A</v>
      </c>
    </row>
    <row r="96" spans="1:13">
      <c r="A96">
        <v>27</v>
      </c>
      <c r="B96">
        <v>40</v>
      </c>
      <c r="C96">
        <v>12</v>
      </c>
      <c r="D96">
        <v>40</v>
      </c>
      <c r="E96">
        <v>27</v>
      </c>
      <c r="F96">
        <v>12</v>
      </c>
      <c r="G96">
        <v>27</v>
      </c>
      <c r="H96">
        <v>40</v>
      </c>
      <c r="I96" t="s">
        <v>8</v>
      </c>
      <c r="J96">
        <f>IF(Tabela4[[#This Row],[4Income]]="&lt;=50K",Tabela4[[#This Row],[4Age]],NA())</f>
        <v>27</v>
      </c>
      <c r="K96">
        <f>IF(Tabela4[[#This Row],[4Income]]="&lt;=50K",Tabela4[[#This Row],[4hours-per-week]],NA())</f>
        <v>40</v>
      </c>
      <c r="L96" t="e">
        <f>IF(Tabela4[[#This Row],[4Income]]="&gt;50K",Tabela4[[#This Row],[4Age]],NA())</f>
        <v>#N/A</v>
      </c>
      <c r="M96" t="e">
        <f>IF(Tabela4[[#This Row],[4Income]]="&gt;50K",Tabela4[[#This Row],[4hours-per-week]],NA())</f>
        <v>#N/A</v>
      </c>
    </row>
    <row r="97" spans="1:13">
      <c r="A97">
        <v>32</v>
      </c>
      <c r="B97">
        <v>40</v>
      </c>
      <c r="C97">
        <v>9</v>
      </c>
      <c r="D97">
        <v>40</v>
      </c>
      <c r="E97">
        <v>32</v>
      </c>
      <c r="F97">
        <v>9</v>
      </c>
      <c r="G97">
        <v>32</v>
      </c>
      <c r="H97">
        <v>40</v>
      </c>
      <c r="I97" t="s">
        <v>8</v>
      </c>
      <c r="J97">
        <f>IF(Tabela4[[#This Row],[4Income]]="&lt;=50K",Tabela4[[#This Row],[4Age]],NA())</f>
        <v>32</v>
      </c>
      <c r="K97">
        <f>IF(Tabela4[[#This Row],[4Income]]="&lt;=50K",Tabela4[[#This Row],[4hours-per-week]],NA())</f>
        <v>40</v>
      </c>
      <c r="L97" t="e">
        <f>IF(Tabela4[[#This Row],[4Income]]="&gt;50K",Tabela4[[#This Row],[4Age]],NA())</f>
        <v>#N/A</v>
      </c>
      <c r="M97" t="e">
        <f>IF(Tabela4[[#This Row],[4Income]]="&gt;50K",Tabela4[[#This Row],[4hours-per-week]],NA())</f>
        <v>#N/A</v>
      </c>
    </row>
    <row r="98" spans="1:13">
      <c r="A98">
        <v>29</v>
      </c>
      <c r="B98">
        <v>40</v>
      </c>
      <c r="C98">
        <v>13</v>
      </c>
      <c r="D98">
        <v>40</v>
      </c>
      <c r="E98">
        <v>29</v>
      </c>
      <c r="F98">
        <v>13</v>
      </c>
      <c r="G98">
        <v>29</v>
      </c>
      <c r="H98">
        <v>40</v>
      </c>
      <c r="I98" t="s">
        <v>19</v>
      </c>
      <c r="J98" t="e">
        <f>IF(Tabela4[[#This Row],[4Income]]="&lt;=50K",Tabela4[[#This Row],[4Age]],NA())</f>
        <v>#N/A</v>
      </c>
      <c r="K98" t="e">
        <f>IF(Tabela4[[#This Row],[4Income]]="&lt;=50K",Tabela4[[#This Row],[4hours-per-week]],NA())</f>
        <v>#N/A</v>
      </c>
      <c r="L98">
        <f>IF(Tabela4[[#This Row],[4Income]]="&gt;50K",Tabela4[[#This Row],[4Age]],NA())</f>
        <v>29</v>
      </c>
      <c r="M98">
        <f>IF(Tabela4[[#This Row],[4Income]]="&gt;50K",Tabela4[[#This Row],[4hours-per-week]],NA())</f>
        <v>40</v>
      </c>
    </row>
    <row r="99" spans="1:13">
      <c r="A99">
        <v>34</v>
      </c>
      <c r="B99">
        <v>54</v>
      </c>
      <c r="C99">
        <v>9</v>
      </c>
      <c r="D99">
        <v>54</v>
      </c>
      <c r="E99">
        <v>34</v>
      </c>
      <c r="F99">
        <v>9</v>
      </c>
      <c r="G99">
        <v>34</v>
      </c>
      <c r="H99">
        <v>54</v>
      </c>
      <c r="I99" t="s">
        <v>19</v>
      </c>
      <c r="J99" t="e">
        <f>IF(Tabela4[[#This Row],[4Income]]="&lt;=50K",Tabela4[[#This Row],[4Age]],NA())</f>
        <v>#N/A</v>
      </c>
      <c r="K99" t="e">
        <f>IF(Tabela4[[#This Row],[4Income]]="&lt;=50K",Tabela4[[#This Row],[4hours-per-week]],NA())</f>
        <v>#N/A</v>
      </c>
      <c r="L99">
        <f>IF(Tabela4[[#This Row],[4Income]]="&gt;50K",Tabela4[[#This Row],[4Age]],NA())</f>
        <v>34</v>
      </c>
      <c r="M99">
        <f>IF(Tabela4[[#This Row],[4Income]]="&gt;50K",Tabela4[[#This Row],[4hours-per-week]],NA())</f>
        <v>54</v>
      </c>
    </row>
    <row r="100" spans="1:13">
      <c r="A100">
        <v>42</v>
      </c>
      <c r="B100">
        <v>38</v>
      </c>
      <c r="C100">
        <v>15</v>
      </c>
      <c r="D100">
        <v>38</v>
      </c>
      <c r="E100">
        <v>42</v>
      </c>
      <c r="F100">
        <v>15</v>
      </c>
      <c r="G100">
        <v>42</v>
      </c>
      <c r="H100">
        <v>38</v>
      </c>
      <c r="I100" t="s">
        <v>19</v>
      </c>
      <c r="J100" t="e">
        <f>IF(Tabela4[[#This Row],[4Income]]="&lt;=50K",Tabela4[[#This Row],[4Age]],NA())</f>
        <v>#N/A</v>
      </c>
      <c r="K100" t="e">
        <f>IF(Tabela4[[#This Row],[4Income]]="&lt;=50K",Tabela4[[#This Row],[4hours-per-week]],NA())</f>
        <v>#N/A</v>
      </c>
      <c r="L100">
        <f>IF(Tabela4[[#This Row],[4Income]]="&gt;50K",Tabela4[[#This Row],[4Age]],NA())</f>
        <v>42</v>
      </c>
      <c r="M100">
        <f>IF(Tabela4[[#This Row],[4Income]]="&gt;50K",Tabela4[[#This Row],[4hours-per-week]],NA())</f>
        <v>38</v>
      </c>
    </row>
    <row r="101" spans="1:13">
      <c r="A101">
        <v>39</v>
      </c>
      <c r="B101">
        <v>50</v>
      </c>
      <c r="C101">
        <v>9</v>
      </c>
      <c r="D101">
        <v>50</v>
      </c>
      <c r="E101">
        <v>39</v>
      </c>
      <c r="F101">
        <v>9</v>
      </c>
      <c r="G101">
        <v>39</v>
      </c>
      <c r="H101">
        <v>50</v>
      </c>
      <c r="I101" t="s">
        <v>19</v>
      </c>
      <c r="J101" t="e">
        <f>IF(Tabela4[[#This Row],[4Income]]="&lt;=50K",Tabela4[[#This Row],[4Age]],NA())</f>
        <v>#N/A</v>
      </c>
      <c r="K101" t="e">
        <f>IF(Tabela4[[#This Row],[4Income]]="&lt;=50K",Tabela4[[#This Row],[4hours-per-week]],NA())</f>
        <v>#N/A</v>
      </c>
      <c r="L101">
        <f>IF(Tabela4[[#This Row],[4Income]]="&gt;50K",Tabela4[[#This Row],[4Age]],NA())</f>
        <v>39</v>
      </c>
      <c r="M101">
        <f>IF(Tabela4[[#This Row],[4Income]]="&gt;50K",Tabela4[[#This Row],[4hours-per-week]],NA())</f>
        <v>50</v>
      </c>
    </row>
    <row r="102" spans="1:13">
      <c r="A102">
        <v>42</v>
      </c>
      <c r="B102">
        <v>40</v>
      </c>
      <c r="C102">
        <v>12</v>
      </c>
      <c r="D102">
        <v>40</v>
      </c>
      <c r="E102">
        <v>42</v>
      </c>
      <c r="F102">
        <v>12</v>
      </c>
      <c r="G102">
        <v>42</v>
      </c>
      <c r="H102">
        <v>40</v>
      </c>
      <c r="I102" t="s">
        <v>8</v>
      </c>
      <c r="J102">
        <f>IF(Tabela4[[#This Row],[4Income]]="&lt;=50K",Tabela4[[#This Row],[4Age]],NA())</f>
        <v>42</v>
      </c>
      <c r="K102">
        <f>IF(Tabela4[[#This Row],[4Income]]="&lt;=50K",Tabela4[[#This Row],[4hours-per-week]],NA())</f>
        <v>40</v>
      </c>
      <c r="L102" t="e">
        <f>IF(Tabela4[[#This Row],[4Income]]="&gt;50K",Tabela4[[#This Row],[4Age]],NA())</f>
        <v>#N/A</v>
      </c>
      <c r="M102" t="e">
        <f>IF(Tabela4[[#This Row],[4Income]]="&gt;50K",Tabela4[[#This Row],[4hours-per-week]],NA())</f>
        <v>#N/A</v>
      </c>
    </row>
    <row r="103" spans="1:13">
      <c r="A103">
        <v>25</v>
      </c>
      <c r="B103">
        <v>8</v>
      </c>
      <c r="C103">
        <v>10</v>
      </c>
      <c r="D103">
        <v>8</v>
      </c>
      <c r="E103">
        <v>25</v>
      </c>
      <c r="F103">
        <v>10</v>
      </c>
      <c r="G103">
        <v>25</v>
      </c>
      <c r="H103">
        <v>8</v>
      </c>
      <c r="I103" t="s">
        <v>8</v>
      </c>
      <c r="J103">
        <f>IF(Tabela4[[#This Row],[4Income]]="&lt;=50K",Tabela4[[#This Row],[4Age]],NA())</f>
        <v>25</v>
      </c>
      <c r="K103">
        <f>IF(Tabela4[[#This Row],[4Income]]="&lt;=50K",Tabela4[[#This Row],[4hours-per-week]],NA())</f>
        <v>8</v>
      </c>
      <c r="L103" t="e">
        <f>IF(Tabela4[[#This Row],[4Income]]="&gt;50K",Tabela4[[#This Row],[4Age]],NA())</f>
        <v>#N/A</v>
      </c>
      <c r="M103" t="e">
        <f>IF(Tabela4[[#This Row],[4Income]]="&gt;50K",Tabela4[[#This Row],[4hours-per-week]],NA())</f>
        <v>#N/A</v>
      </c>
    </row>
    <row r="104" spans="1:13">
      <c r="A104">
        <v>52</v>
      </c>
      <c r="B104">
        <v>60</v>
      </c>
      <c r="C104">
        <v>11</v>
      </c>
      <c r="D104">
        <v>60</v>
      </c>
      <c r="E104">
        <v>52</v>
      </c>
      <c r="F104">
        <v>11</v>
      </c>
      <c r="G104">
        <v>52</v>
      </c>
      <c r="H104">
        <v>60</v>
      </c>
      <c r="I104" t="s">
        <v>8</v>
      </c>
      <c r="J104">
        <f>IF(Tabela4[[#This Row],[4Income]]="&lt;=50K",Tabela4[[#This Row],[4Age]],NA())</f>
        <v>52</v>
      </c>
      <c r="K104">
        <f>IF(Tabela4[[#This Row],[4Income]]="&lt;=50K",Tabela4[[#This Row],[4hours-per-week]],NA())</f>
        <v>60</v>
      </c>
      <c r="L104" t="e">
        <f>IF(Tabela4[[#This Row],[4Income]]="&gt;50K",Tabela4[[#This Row],[4Age]],NA())</f>
        <v>#N/A</v>
      </c>
      <c r="M104" t="e">
        <f>IF(Tabela4[[#This Row],[4Income]]="&gt;50K",Tabela4[[#This Row],[4hours-per-week]],NA())</f>
        <v>#N/A</v>
      </c>
    </row>
    <row r="105" spans="1:13">
      <c r="A105">
        <v>26</v>
      </c>
      <c r="B105">
        <v>40</v>
      </c>
      <c r="C105">
        <v>9</v>
      </c>
      <c r="D105">
        <v>40</v>
      </c>
      <c r="E105">
        <v>26</v>
      </c>
      <c r="F105">
        <v>9</v>
      </c>
      <c r="G105">
        <v>26</v>
      </c>
      <c r="H105">
        <v>40</v>
      </c>
      <c r="I105" t="s">
        <v>8</v>
      </c>
      <c r="J105">
        <f>IF(Tabela4[[#This Row],[4Income]]="&lt;=50K",Tabela4[[#This Row],[4Age]],NA())</f>
        <v>26</v>
      </c>
      <c r="K105">
        <f>IF(Tabela4[[#This Row],[4Income]]="&lt;=50K",Tabela4[[#This Row],[4hours-per-week]],NA())</f>
        <v>40</v>
      </c>
      <c r="L105" t="e">
        <f>IF(Tabela4[[#This Row],[4Income]]="&gt;50K",Tabela4[[#This Row],[4Age]],NA())</f>
        <v>#N/A</v>
      </c>
      <c r="M105" t="e">
        <f>IF(Tabela4[[#This Row],[4Income]]="&gt;50K",Tabela4[[#This Row],[4hours-per-week]],NA())</f>
        <v>#N/A</v>
      </c>
    </row>
    <row r="106" spans="1:13">
      <c r="A106">
        <v>57</v>
      </c>
      <c r="B106">
        <v>40</v>
      </c>
      <c r="C106">
        <v>9</v>
      </c>
      <c r="D106">
        <v>40</v>
      </c>
      <c r="E106">
        <v>57</v>
      </c>
      <c r="F106">
        <v>9</v>
      </c>
      <c r="G106">
        <v>57</v>
      </c>
      <c r="H106">
        <v>40</v>
      </c>
      <c r="I106" t="s">
        <v>8</v>
      </c>
      <c r="J106">
        <f>IF(Tabela4[[#This Row],[4Income]]="&lt;=50K",Tabela4[[#This Row],[4Age]],NA())</f>
        <v>57</v>
      </c>
      <c r="K106">
        <f>IF(Tabela4[[#This Row],[4Income]]="&lt;=50K",Tabela4[[#This Row],[4hours-per-week]],NA())</f>
        <v>40</v>
      </c>
      <c r="L106" t="e">
        <f>IF(Tabela4[[#This Row],[4Income]]="&gt;50K",Tabela4[[#This Row],[4Age]],NA())</f>
        <v>#N/A</v>
      </c>
      <c r="M106" t="e">
        <f>IF(Tabela4[[#This Row],[4Income]]="&gt;50K",Tabela4[[#This Row],[4hours-per-week]],NA())</f>
        <v>#N/A</v>
      </c>
    </row>
    <row r="107" spans="1:13">
      <c r="A107">
        <v>28</v>
      </c>
      <c r="B107">
        <v>55</v>
      </c>
      <c r="C107">
        <v>10</v>
      </c>
      <c r="D107">
        <v>55</v>
      </c>
      <c r="E107">
        <v>28</v>
      </c>
      <c r="F107">
        <v>10</v>
      </c>
      <c r="G107">
        <v>28</v>
      </c>
      <c r="H107">
        <v>55</v>
      </c>
      <c r="I107" t="s">
        <v>8</v>
      </c>
      <c r="J107">
        <f>IF(Tabela4[[#This Row],[4Income]]="&lt;=50K",Tabela4[[#This Row],[4Age]],NA())</f>
        <v>28</v>
      </c>
      <c r="K107">
        <f>IF(Tabela4[[#This Row],[4Income]]="&lt;=50K",Tabela4[[#This Row],[4hours-per-week]],NA())</f>
        <v>55</v>
      </c>
      <c r="L107" t="e">
        <f>IF(Tabela4[[#This Row],[4Income]]="&gt;50K",Tabela4[[#This Row],[4Age]],NA())</f>
        <v>#N/A</v>
      </c>
      <c r="M107" t="e">
        <f>IF(Tabela4[[#This Row],[4Income]]="&gt;50K",Tabela4[[#This Row],[4hours-per-week]],NA())</f>
        <v>#N/A</v>
      </c>
    </row>
    <row r="108" spans="1:13">
      <c r="A108">
        <v>28</v>
      </c>
      <c r="B108">
        <v>52</v>
      </c>
      <c r="C108">
        <v>9</v>
      </c>
      <c r="D108">
        <v>52</v>
      </c>
      <c r="E108">
        <v>28</v>
      </c>
      <c r="F108">
        <v>9</v>
      </c>
      <c r="G108">
        <v>28</v>
      </c>
      <c r="H108">
        <v>52</v>
      </c>
      <c r="I108" t="s">
        <v>8</v>
      </c>
      <c r="J108">
        <f>IF(Tabela4[[#This Row],[4Income]]="&lt;=50K",Tabela4[[#This Row],[4Age]],NA())</f>
        <v>28</v>
      </c>
      <c r="K108">
        <f>IF(Tabela4[[#This Row],[4Income]]="&lt;=50K",Tabela4[[#This Row],[4hours-per-week]],NA())</f>
        <v>52</v>
      </c>
      <c r="L108" t="e">
        <f>IF(Tabela4[[#This Row],[4Income]]="&gt;50K",Tabela4[[#This Row],[4Age]],NA())</f>
        <v>#N/A</v>
      </c>
      <c r="M108" t="e">
        <f>IF(Tabela4[[#This Row],[4Income]]="&gt;50K",Tabela4[[#This Row],[4hours-per-week]],NA())</f>
        <v>#N/A</v>
      </c>
    </row>
    <row r="109" spans="1:13">
      <c r="A109">
        <v>59</v>
      </c>
      <c r="B109">
        <v>48</v>
      </c>
      <c r="C109">
        <v>9</v>
      </c>
      <c r="D109">
        <v>48</v>
      </c>
      <c r="E109">
        <v>59</v>
      </c>
      <c r="F109">
        <v>9</v>
      </c>
      <c r="G109">
        <v>59</v>
      </c>
      <c r="H109">
        <v>48</v>
      </c>
      <c r="I109" t="s">
        <v>8</v>
      </c>
      <c r="J109">
        <f>IF(Tabela4[[#This Row],[4Income]]="&lt;=50K",Tabela4[[#This Row],[4Age]],NA())</f>
        <v>59</v>
      </c>
      <c r="K109">
        <f>IF(Tabela4[[#This Row],[4Income]]="&lt;=50K",Tabela4[[#This Row],[4hours-per-week]],NA())</f>
        <v>48</v>
      </c>
      <c r="L109" t="e">
        <f>IF(Tabela4[[#This Row],[4Income]]="&gt;50K",Tabela4[[#This Row],[4Age]],NA())</f>
        <v>#N/A</v>
      </c>
      <c r="M109" t="e">
        <f>IF(Tabela4[[#This Row],[4Income]]="&gt;50K",Tabela4[[#This Row],[4hours-per-week]],NA())</f>
        <v>#N/A</v>
      </c>
    </row>
    <row r="110" spans="1:13">
      <c r="A110">
        <v>61</v>
      </c>
      <c r="B110">
        <v>40</v>
      </c>
      <c r="C110">
        <v>10</v>
      </c>
      <c r="D110">
        <v>40</v>
      </c>
      <c r="E110">
        <v>61</v>
      </c>
      <c r="F110">
        <v>10</v>
      </c>
      <c r="G110">
        <v>61</v>
      </c>
      <c r="H110">
        <v>40</v>
      </c>
      <c r="I110" t="s">
        <v>8</v>
      </c>
      <c r="J110">
        <f>IF(Tabela4[[#This Row],[4Income]]="&lt;=50K",Tabela4[[#This Row],[4Age]],NA())</f>
        <v>61</v>
      </c>
      <c r="K110">
        <f>IF(Tabela4[[#This Row],[4Income]]="&lt;=50K",Tabela4[[#This Row],[4hours-per-week]],NA())</f>
        <v>40</v>
      </c>
      <c r="L110" t="e">
        <f>IF(Tabela4[[#This Row],[4Income]]="&gt;50K",Tabela4[[#This Row],[4Age]],NA())</f>
        <v>#N/A</v>
      </c>
      <c r="M110" t="e">
        <f>IF(Tabela4[[#This Row],[4Income]]="&gt;50K",Tabela4[[#This Row],[4hours-per-week]],NA())</f>
        <v>#N/A</v>
      </c>
    </row>
    <row r="111" spans="1:13">
      <c r="A111">
        <v>21</v>
      </c>
      <c r="B111">
        <v>40</v>
      </c>
      <c r="C111">
        <v>11</v>
      </c>
      <c r="D111">
        <v>40</v>
      </c>
      <c r="E111">
        <v>21</v>
      </c>
      <c r="F111">
        <v>11</v>
      </c>
      <c r="G111">
        <v>21</v>
      </c>
      <c r="H111">
        <v>40</v>
      </c>
      <c r="I111" t="s">
        <v>8</v>
      </c>
      <c r="J111">
        <f>IF(Tabela4[[#This Row],[4Income]]="&lt;=50K",Tabela4[[#This Row],[4Age]],NA())</f>
        <v>21</v>
      </c>
      <c r="K111">
        <f>IF(Tabela4[[#This Row],[4Income]]="&lt;=50K",Tabela4[[#This Row],[4hours-per-week]],NA())</f>
        <v>40</v>
      </c>
      <c r="L111" t="e">
        <f>IF(Tabela4[[#This Row],[4Income]]="&gt;50K",Tabela4[[#This Row],[4Age]],NA())</f>
        <v>#N/A</v>
      </c>
      <c r="M111" t="e">
        <f>IF(Tabela4[[#This Row],[4Income]]="&gt;50K",Tabela4[[#This Row],[4hours-per-week]],NA())</f>
        <v>#N/A</v>
      </c>
    </row>
    <row r="112" spans="1:13">
      <c r="A112">
        <v>19</v>
      </c>
      <c r="B112">
        <v>40</v>
      </c>
      <c r="C112">
        <v>6</v>
      </c>
      <c r="D112">
        <v>40</v>
      </c>
      <c r="E112">
        <v>19</v>
      </c>
      <c r="F112">
        <v>6</v>
      </c>
      <c r="G112">
        <v>19</v>
      </c>
      <c r="H112">
        <v>40</v>
      </c>
      <c r="I112" t="s">
        <v>8</v>
      </c>
      <c r="J112">
        <f>IF(Tabela4[[#This Row],[4Income]]="&lt;=50K",Tabela4[[#This Row],[4Age]],NA())</f>
        <v>19</v>
      </c>
      <c r="K112">
        <f>IF(Tabela4[[#This Row],[4Income]]="&lt;=50K",Tabela4[[#This Row],[4hours-per-week]],NA())</f>
        <v>40</v>
      </c>
      <c r="L112" t="e">
        <f>IF(Tabela4[[#This Row],[4Income]]="&gt;50K",Tabela4[[#This Row],[4Age]],NA())</f>
        <v>#N/A</v>
      </c>
      <c r="M112" t="e">
        <f>IF(Tabela4[[#This Row],[4Income]]="&gt;50K",Tabela4[[#This Row],[4hours-per-week]],NA())</f>
        <v>#N/A</v>
      </c>
    </row>
    <row r="113" spans="1:13">
      <c r="A113">
        <v>28</v>
      </c>
      <c r="B113">
        <v>40</v>
      </c>
      <c r="C113">
        <v>10</v>
      </c>
      <c r="D113">
        <v>40</v>
      </c>
      <c r="E113">
        <v>28</v>
      </c>
      <c r="F113">
        <v>10</v>
      </c>
      <c r="G113">
        <v>28</v>
      </c>
      <c r="H113">
        <v>40</v>
      </c>
      <c r="I113" t="s">
        <v>8</v>
      </c>
      <c r="J113">
        <f>IF(Tabela4[[#This Row],[4Income]]="&lt;=50K",Tabela4[[#This Row],[4Age]],NA())</f>
        <v>28</v>
      </c>
      <c r="K113">
        <f>IF(Tabela4[[#This Row],[4Income]]="&lt;=50K",Tabela4[[#This Row],[4hours-per-week]],NA())</f>
        <v>40</v>
      </c>
      <c r="L113" t="e">
        <f>IF(Tabela4[[#This Row],[4Income]]="&gt;50K",Tabela4[[#This Row],[4Age]],NA())</f>
        <v>#N/A</v>
      </c>
      <c r="M113" t="e">
        <f>IF(Tabela4[[#This Row],[4Income]]="&gt;50K",Tabela4[[#This Row],[4hours-per-week]],NA())</f>
        <v>#N/A</v>
      </c>
    </row>
    <row r="114" spans="1:13">
      <c r="A114">
        <v>39</v>
      </c>
      <c r="B114">
        <v>35</v>
      </c>
      <c r="C114">
        <v>13</v>
      </c>
      <c r="D114">
        <v>35</v>
      </c>
      <c r="E114">
        <v>39</v>
      </c>
      <c r="F114">
        <v>13</v>
      </c>
      <c r="G114">
        <v>39</v>
      </c>
      <c r="H114">
        <v>35</v>
      </c>
      <c r="I114" t="s">
        <v>19</v>
      </c>
      <c r="J114" t="e">
        <f>IF(Tabela4[[#This Row],[4Income]]="&lt;=50K",Tabela4[[#This Row],[4Age]],NA())</f>
        <v>#N/A</v>
      </c>
      <c r="K114" t="e">
        <f>IF(Tabela4[[#This Row],[4Income]]="&lt;=50K",Tabela4[[#This Row],[4hours-per-week]],NA())</f>
        <v>#N/A</v>
      </c>
      <c r="L114">
        <f>IF(Tabela4[[#This Row],[4Income]]="&gt;50K",Tabela4[[#This Row],[4Age]],NA())</f>
        <v>39</v>
      </c>
      <c r="M114">
        <f>IF(Tabela4[[#This Row],[4Income]]="&gt;50K",Tabela4[[#This Row],[4hours-per-week]],NA())</f>
        <v>35</v>
      </c>
    </row>
    <row r="115" spans="1:13">
      <c r="A115">
        <v>64</v>
      </c>
      <c r="B115">
        <v>40</v>
      </c>
      <c r="C115">
        <v>4</v>
      </c>
      <c r="D115">
        <v>40</v>
      </c>
      <c r="E115">
        <v>64</v>
      </c>
      <c r="F115">
        <v>4</v>
      </c>
      <c r="G115">
        <v>64</v>
      </c>
      <c r="H115">
        <v>40</v>
      </c>
      <c r="I115" t="s">
        <v>8</v>
      </c>
      <c r="J115">
        <f>IF(Tabela4[[#This Row],[4Income]]="&lt;=50K",Tabela4[[#This Row],[4Age]],NA())</f>
        <v>64</v>
      </c>
      <c r="K115">
        <f>IF(Tabela4[[#This Row],[4Income]]="&lt;=50K",Tabela4[[#This Row],[4hours-per-week]],NA())</f>
        <v>40</v>
      </c>
      <c r="L115" t="e">
        <f>IF(Tabela4[[#This Row],[4Income]]="&gt;50K",Tabela4[[#This Row],[4Age]],NA())</f>
        <v>#N/A</v>
      </c>
      <c r="M115" t="e">
        <f>IF(Tabela4[[#This Row],[4Income]]="&gt;50K",Tabela4[[#This Row],[4hours-per-week]],NA())</f>
        <v>#N/A</v>
      </c>
    </row>
    <row r="116" spans="1:13">
      <c r="A116">
        <v>28</v>
      </c>
      <c r="B116">
        <v>48</v>
      </c>
      <c r="C116">
        <v>13</v>
      </c>
      <c r="D116">
        <v>48</v>
      </c>
      <c r="E116">
        <v>28</v>
      </c>
      <c r="F116">
        <v>13</v>
      </c>
      <c r="G116">
        <v>28</v>
      </c>
      <c r="H116">
        <v>48</v>
      </c>
      <c r="I116" t="s">
        <v>8</v>
      </c>
      <c r="J116">
        <f>IF(Tabela4[[#This Row],[4Income]]="&lt;=50K",Tabela4[[#This Row],[4Age]],NA())</f>
        <v>28</v>
      </c>
      <c r="K116">
        <f>IF(Tabela4[[#This Row],[4Income]]="&lt;=50K",Tabela4[[#This Row],[4hours-per-week]],NA())</f>
        <v>48</v>
      </c>
      <c r="L116" t="e">
        <f>IF(Tabela4[[#This Row],[4Income]]="&gt;50K",Tabela4[[#This Row],[4Age]],NA())</f>
        <v>#N/A</v>
      </c>
      <c r="M116" t="e">
        <f>IF(Tabela4[[#This Row],[4Income]]="&gt;50K",Tabela4[[#This Row],[4hours-per-week]],NA())</f>
        <v>#N/A</v>
      </c>
    </row>
    <row r="117" spans="1:13">
      <c r="A117">
        <v>42</v>
      </c>
      <c r="B117">
        <v>40</v>
      </c>
      <c r="C117">
        <v>3</v>
      </c>
      <c r="D117">
        <v>40</v>
      </c>
      <c r="E117">
        <v>42</v>
      </c>
      <c r="F117">
        <v>3</v>
      </c>
      <c r="G117">
        <v>42</v>
      </c>
      <c r="H117">
        <v>40</v>
      </c>
      <c r="I117" t="s">
        <v>8</v>
      </c>
      <c r="J117">
        <f>IF(Tabela4[[#This Row],[4Income]]="&lt;=50K",Tabela4[[#This Row],[4Age]],NA())</f>
        <v>42</v>
      </c>
      <c r="K117">
        <f>IF(Tabela4[[#This Row],[4Income]]="&lt;=50K",Tabela4[[#This Row],[4hours-per-week]],NA())</f>
        <v>40</v>
      </c>
      <c r="L117" t="e">
        <f>IF(Tabela4[[#This Row],[4Income]]="&gt;50K",Tabela4[[#This Row],[4Age]],NA())</f>
        <v>#N/A</v>
      </c>
      <c r="M117" t="e">
        <f>IF(Tabela4[[#This Row],[4Income]]="&gt;50K",Tabela4[[#This Row],[4hours-per-week]],NA())</f>
        <v>#N/A</v>
      </c>
    </row>
    <row r="118" spans="1:13">
      <c r="A118">
        <v>35</v>
      </c>
      <c r="B118">
        <v>40</v>
      </c>
      <c r="C118">
        <v>14</v>
      </c>
      <c r="D118">
        <v>40</v>
      </c>
      <c r="E118">
        <v>35</v>
      </c>
      <c r="F118">
        <v>14</v>
      </c>
      <c r="G118">
        <v>35</v>
      </c>
      <c r="H118">
        <v>40</v>
      </c>
      <c r="I118" t="s">
        <v>8</v>
      </c>
      <c r="J118">
        <f>IF(Tabela4[[#This Row],[4Income]]="&lt;=50K",Tabela4[[#This Row],[4Age]],NA())</f>
        <v>35</v>
      </c>
      <c r="K118">
        <f>IF(Tabela4[[#This Row],[4Income]]="&lt;=50K",Tabela4[[#This Row],[4hours-per-week]],NA())</f>
        <v>40</v>
      </c>
      <c r="L118" t="e">
        <f>IF(Tabela4[[#This Row],[4Income]]="&gt;50K",Tabela4[[#This Row],[4Age]],NA())</f>
        <v>#N/A</v>
      </c>
      <c r="M118" t="e">
        <f>IF(Tabela4[[#This Row],[4Income]]="&gt;50K",Tabela4[[#This Row],[4hours-per-week]],NA())</f>
        <v>#N/A</v>
      </c>
    </row>
    <row r="119" spans="1:13">
      <c r="A119">
        <v>23</v>
      </c>
      <c r="B119">
        <v>25</v>
      </c>
      <c r="C119">
        <v>10</v>
      </c>
      <c r="D119">
        <v>25</v>
      </c>
      <c r="E119">
        <v>23</v>
      </c>
      <c r="F119">
        <v>10</v>
      </c>
      <c r="G119">
        <v>23</v>
      </c>
      <c r="H119">
        <v>25</v>
      </c>
      <c r="I119" t="s">
        <v>8</v>
      </c>
      <c r="J119">
        <f>IF(Tabela4[[#This Row],[4Income]]="&lt;=50K",Tabela4[[#This Row],[4Age]],NA())</f>
        <v>23</v>
      </c>
      <c r="K119">
        <f>IF(Tabela4[[#This Row],[4Income]]="&lt;=50K",Tabela4[[#This Row],[4hours-per-week]],NA())</f>
        <v>25</v>
      </c>
      <c r="L119" t="e">
        <f>IF(Tabela4[[#This Row],[4Income]]="&gt;50K",Tabela4[[#This Row],[4Age]],NA())</f>
        <v>#N/A</v>
      </c>
      <c r="M119" t="e">
        <f>IF(Tabela4[[#This Row],[4Income]]="&gt;50K",Tabela4[[#This Row],[4hours-per-week]],NA())</f>
        <v>#N/A</v>
      </c>
    </row>
    <row r="120" spans="1:13">
      <c r="A120">
        <v>63</v>
      </c>
      <c r="B120">
        <v>20</v>
      </c>
      <c r="C120">
        <v>9</v>
      </c>
      <c r="D120">
        <v>20</v>
      </c>
      <c r="E120">
        <v>63</v>
      </c>
      <c r="F120">
        <v>9</v>
      </c>
      <c r="G120">
        <v>63</v>
      </c>
      <c r="H120">
        <v>20</v>
      </c>
      <c r="I120" t="s">
        <v>8</v>
      </c>
      <c r="J120">
        <f>IF(Tabela4[[#This Row],[4Income]]="&lt;=50K",Tabela4[[#This Row],[4Age]],NA())</f>
        <v>63</v>
      </c>
      <c r="K120">
        <f>IF(Tabela4[[#This Row],[4Income]]="&lt;=50K",Tabela4[[#This Row],[4hours-per-week]],NA())</f>
        <v>20</v>
      </c>
      <c r="L120" t="e">
        <f>IF(Tabela4[[#This Row],[4Income]]="&gt;50K",Tabela4[[#This Row],[4Age]],NA())</f>
        <v>#N/A</v>
      </c>
      <c r="M120" t="e">
        <f>IF(Tabela4[[#This Row],[4Income]]="&gt;50K",Tabela4[[#This Row],[4hours-per-week]],NA())</f>
        <v>#N/A</v>
      </c>
    </row>
    <row r="121" spans="1:13">
      <c r="A121">
        <v>53</v>
      </c>
      <c r="B121">
        <v>48</v>
      </c>
      <c r="C121">
        <v>10</v>
      </c>
      <c r="D121">
        <v>48</v>
      </c>
      <c r="E121">
        <v>53</v>
      </c>
      <c r="F121">
        <v>10</v>
      </c>
      <c r="G121">
        <v>53</v>
      </c>
      <c r="H121">
        <v>48</v>
      </c>
      <c r="I121" t="s">
        <v>19</v>
      </c>
      <c r="J121" t="e">
        <f>IF(Tabela4[[#This Row],[4Income]]="&lt;=50K",Tabela4[[#This Row],[4Age]],NA())</f>
        <v>#N/A</v>
      </c>
      <c r="K121" t="e">
        <f>IF(Tabela4[[#This Row],[4Income]]="&lt;=50K",Tabela4[[#This Row],[4hours-per-week]],NA())</f>
        <v>#N/A</v>
      </c>
      <c r="L121">
        <f>IF(Tabela4[[#This Row],[4Income]]="&gt;50K",Tabela4[[#This Row],[4Age]],NA())</f>
        <v>53</v>
      </c>
      <c r="M121">
        <f>IF(Tabela4[[#This Row],[4Income]]="&gt;50K",Tabela4[[#This Row],[4hours-per-week]],NA())</f>
        <v>48</v>
      </c>
    </row>
    <row r="122" spans="1:13">
      <c r="A122">
        <v>56</v>
      </c>
      <c r="B122">
        <v>60</v>
      </c>
      <c r="C122">
        <v>13</v>
      </c>
      <c r="D122">
        <v>60</v>
      </c>
      <c r="E122">
        <v>56</v>
      </c>
      <c r="F122">
        <v>13</v>
      </c>
      <c r="G122">
        <v>56</v>
      </c>
      <c r="H122">
        <v>60</v>
      </c>
      <c r="I122" t="s">
        <v>8</v>
      </c>
      <c r="J122">
        <f>IF(Tabela4[[#This Row],[4Income]]="&lt;=50K",Tabela4[[#This Row],[4Age]],NA())</f>
        <v>56</v>
      </c>
      <c r="K122">
        <f>IF(Tabela4[[#This Row],[4Income]]="&lt;=50K",Tabela4[[#This Row],[4hours-per-week]],NA())</f>
        <v>60</v>
      </c>
      <c r="L122" t="e">
        <f>IF(Tabela4[[#This Row],[4Income]]="&gt;50K",Tabela4[[#This Row],[4Age]],NA())</f>
        <v>#N/A</v>
      </c>
      <c r="M122" t="e">
        <f>IF(Tabela4[[#This Row],[4Income]]="&gt;50K",Tabela4[[#This Row],[4hours-per-week]],NA())</f>
        <v>#N/A</v>
      </c>
    </row>
    <row r="123" spans="1:13">
      <c r="A123">
        <v>49</v>
      </c>
      <c r="B123">
        <v>40</v>
      </c>
      <c r="C123">
        <v>9</v>
      </c>
      <c r="D123">
        <v>40</v>
      </c>
      <c r="E123">
        <v>49</v>
      </c>
      <c r="F123">
        <v>9</v>
      </c>
      <c r="G123">
        <v>49</v>
      </c>
      <c r="H123">
        <v>40</v>
      </c>
      <c r="I123" t="s">
        <v>8</v>
      </c>
      <c r="J123">
        <f>IF(Tabela4[[#This Row],[4Income]]="&lt;=50K",Tabela4[[#This Row],[4Age]],NA())</f>
        <v>49</v>
      </c>
      <c r="K123">
        <f>IF(Tabela4[[#This Row],[4Income]]="&lt;=50K",Tabela4[[#This Row],[4hours-per-week]],NA())</f>
        <v>40</v>
      </c>
      <c r="L123" t="e">
        <f>IF(Tabela4[[#This Row],[4Income]]="&gt;50K",Tabela4[[#This Row],[4Age]],NA())</f>
        <v>#N/A</v>
      </c>
      <c r="M123" t="e">
        <f>IF(Tabela4[[#This Row],[4Income]]="&gt;50K",Tabela4[[#This Row],[4hours-per-week]],NA())</f>
        <v>#N/A</v>
      </c>
    </row>
    <row r="124" spans="1:13">
      <c r="A124">
        <v>47</v>
      </c>
      <c r="B124">
        <v>35</v>
      </c>
      <c r="C124">
        <v>10</v>
      </c>
      <c r="D124">
        <v>35</v>
      </c>
      <c r="E124">
        <v>47</v>
      </c>
      <c r="F124">
        <v>10</v>
      </c>
      <c r="G124">
        <v>47</v>
      </c>
      <c r="H124">
        <v>35</v>
      </c>
      <c r="I124" t="s">
        <v>8</v>
      </c>
      <c r="J124">
        <f>IF(Tabela4[[#This Row],[4Income]]="&lt;=50K",Tabela4[[#This Row],[4Age]],NA())</f>
        <v>47</v>
      </c>
      <c r="K124">
        <f>IF(Tabela4[[#This Row],[4Income]]="&lt;=50K",Tabela4[[#This Row],[4hours-per-week]],NA())</f>
        <v>35</v>
      </c>
      <c r="L124" t="e">
        <f>IF(Tabela4[[#This Row],[4Income]]="&gt;50K",Tabela4[[#This Row],[4Age]],NA())</f>
        <v>#N/A</v>
      </c>
      <c r="M124" t="e">
        <f>IF(Tabela4[[#This Row],[4Income]]="&gt;50K",Tabela4[[#This Row],[4hours-per-week]],NA())</f>
        <v>#N/A</v>
      </c>
    </row>
    <row r="125" spans="1:13">
      <c r="A125">
        <v>22</v>
      </c>
      <c r="B125">
        <v>40</v>
      </c>
      <c r="C125">
        <v>6</v>
      </c>
      <c r="D125">
        <v>40</v>
      </c>
      <c r="E125">
        <v>22</v>
      </c>
      <c r="F125">
        <v>6</v>
      </c>
      <c r="G125">
        <v>22</v>
      </c>
      <c r="H125">
        <v>40</v>
      </c>
      <c r="I125" t="s">
        <v>8</v>
      </c>
      <c r="J125">
        <f>IF(Tabela4[[#This Row],[4Income]]="&lt;=50K",Tabela4[[#This Row],[4Age]],NA())</f>
        <v>22</v>
      </c>
      <c r="K125">
        <f>IF(Tabela4[[#This Row],[4Income]]="&lt;=50K",Tabela4[[#This Row],[4hours-per-week]],NA())</f>
        <v>40</v>
      </c>
      <c r="L125" t="e">
        <f>IF(Tabela4[[#This Row],[4Income]]="&gt;50K",Tabela4[[#This Row],[4Age]],NA())</f>
        <v>#N/A</v>
      </c>
      <c r="M125" t="e">
        <f>IF(Tabela4[[#This Row],[4Income]]="&gt;50K",Tabela4[[#This Row],[4hours-per-week]],NA())</f>
        <v>#N/A</v>
      </c>
    </row>
    <row r="126" spans="1:13">
      <c r="A126">
        <v>20</v>
      </c>
      <c r="B126">
        <v>18</v>
      </c>
      <c r="C126">
        <v>10</v>
      </c>
      <c r="D126">
        <v>18</v>
      </c>
      <c r="E126">
        <v>20</v>
      </c>
      <c r="F126">
        <v>10</v>
      </c>
      <c r="G126">
        <v>20</v>
      </c>
      <c r="H126">
        <v>18</v>
      </c>
      <c r="I126" t="s">
        <v>8</v>
      </c>
      <c r="J126">
        <f>IF(Tabela4[[#This Row],[4Income]]="&lt;=50K",Tabela4[[#This Row],[4Age]],NA())</f>
        <v>20</v>
      </c>
      <c r="K126">
        <f>IF(Tabela4[[#This Row],[4Income]]="&lt;=50K",Tabela4[[#This Row],[4hours-per-week]],NA())</f>
        <v>18</v>
      </c>
      <c r="L126" t="e">
        <f>IF(Tabela4[[#This Row],[4Income]]="&gt;50K",Tabela4[[#This Row],[4Age]],NA())</f>
        <v>#N/A</v>
      </c>
      <c r="M126" t="e">
        <f>IF(Tabela4[[#This Row],[4Income]]="&gt;50K",Tabela4[[#This Row],[4hours-per-week]],NA())</f>
        <v>#N/A</v>
      </c>
    </row>
    <row r="127" spans="1:13">
      <c r="A127">
        <v>18</v>
      </c>
      <c r="B127">
        <v>40</v>
      </c>
      <c r="C127">
        <v>9</v>
      </c>
      <c r="D127">
        <v>40</v>
      </c>
      <c r="E127">
        <v>18</v>
      </c>
      <c r="F127">
        <v>9</v>
      </c>
      <c r="G127">
        <v>18</v>
      </c>
      <c r="H127">
        <v>40</v>
      </c>
      <c r="I127" t="s">
        <v>8</v>
      </c>
      <c r="J127">
        <f>IF(Tabela4[[#This Row],[4Income]]="&lt;=50K",Tabela4[[#This Row],[4Age]],NA())</f>
        <v>18</v>
      </c>
      <c r="K127">
        <f>IF(Tabela4[[#This Row],[4Income]]="&lt;=50K",Tabela4[[#This Row],[4hours-per-week]],NA())</f>
        <v>40</v>
      </c>
      <c r="L127" t="e">
        <f>IF(Tabela4[[#This Row],[4Income]]="&gt;50K",Tabela4[[#This Row],[4Age]],NA())</f>
        <v>#N/A</v>
      </c>
      <c r="M127" t="e">
        <f>IF(Tabela4[[#This Row],[4Income]]="&gt;50K",Tabela4[[#This Row],[4hours-per-week]],NA())</f>
        <v>#N/A</v>
      </c>
    </row>
    <row r="128" spans="1:13">
      <c r="A128">
        <v>31</v>
      </c>
      <c r="B128">
        <v>40</v>
      </c>
      <c r="C128">
        <v>11</v>
      </c>
      <c r="D128">
        <v>40</v>
      </c>
      <c r="E128">
        <v>31</v>
      </c>
      <c r="F128">
        <v>11</v>
      </c>
      <c r="G128">
        <v>31</v>
      </c>
      <c r="H128">
        <v>40</v>
      </c>
      <c r="I128" t="s">
        <v>8</v>
      </c>
      <c r="J128">
        <f>IF(Tabela4[[#This Row],[4Income]]="&lt;=50K",Tabela4[[#This Row],[4Age]],NA())</f>
        <v>31</v>
      </c>
      <c r="K128">
        <f>IF(Tabela4[[#This Row],[4Income]]="&lt;=50K",Tabela4[[#This Row],[4hours-per-week]],NA())</f>
        <v>40</v>
      </c>
      <c r="L128" t="e">
        <f>IF(Tabela4[[#This Row],[4Income]]="&gt;50K",Tabela4[[#This Row],[4Age]],NA())</f>
        <v>#N/A</v>
      </c>
      <c r="M128" t="e">
        <f>IF(Tabela4[[#This Row],[4Income]]="&gt;50K",Tabela4[[#This Row],[4hours-per-week]],NA())</f>
        <v>#N/A</v>
      </c>
    </row>
    <row r="129" spans="1:13">
      <c r="A129">
        <v>51</v>
      </c>
      <c r="B129">
        <v>60</v>
      </c>
      <c r="C129">
        <v>9</v>
      </c>
      <c r="D129">
        <v>60</v>
      </c>
      <c r="E129">
        <v>51</v>
      </c>
      <c r="F129">
        <v>9</v>
      </c>
      <c r="G129">
        <v>51</v>
      </c>
      <c r="H129">
        <v>60</v>
      </c>
      <c r="I129" t="s">
        <v>8</v>
      </c>
      <c r="J129">
        <f>IF(Tabela4[[#This Row],[4Income]]="&lt;=50K",Tabela4[[#This Row],[4Age]],NA())</f>
        <v>51</v>
      </c>
      <c r="K129">
        <f>IF(Tabela4[[#This Row],[4Income]]="&lt;=50K",Tabela4[[#This Row],[4hours-per-week]],NA())</f>
        <v>60</v>
      </c>
      <c r="L129" t="e">
        <f>IF(Tabela4[[#This Row],[4Income]]="&gt;50K",Tabela4[[#This Row],[4Age]],NA())</f>
        <v>#N/A</v>
      </c>
      <c r="M129" t="e">
        <f>IF(Tabela4[[#This Row],[4Income]]="&gt;50K",Tabela4[[#This Row],[4hours-per-week]],NA())</f>
        <v>#N/A</v>
      </c>
    </row>
    <row r="130" spans="1:13">
      <c r="A130">
        <v>90</v>
      </c>
      <c r="B130">
        <v>50</v>
      </c>
      <c r="C130">
        <v>13</v>
      </c>
      <c r="D130">
        <v>50</v>
      </c>
      <c r="E130">
        <v>90</v>
      </c>
      <c r="F130">
        <v>13</v>
      </c>
      <c r="G130">
        <v>90</v>
      </c>
      <c r="H130">
        <v>50</v>
      </c>
      <c r="I130" t="s">
        <v>8</v>
      </c>
      <c r="J130">
        <f>IF(Tabela4[[#This Row],[4Income]]="&lt;=50K",Tabela4[[#This Row],[4Age]],NA())</f>
        <v>90</v>
      </c>
      <c r="K130">
        <f>IF(Tabela4[[#This Row],[4Income]]="&lt;=50K",Tabela4[[#This Row],[4hours-per-week]],NA())</f>
        <v>50</v>
      </c>
      <c r="L130" t="e">
        <f>IF(Tabela4[[#This Row],[4Income]]="&gt;50K",Tabela4[[#This Row],[4Age]],NA())</f>
        <v>#N/A</v>
      </c>
      <c r="M130" t="e">
        <f>IF(Tabela4[[#This Row],[4Income]]="&gt;50K",Tabela4[[#This Row],[4hours-per-week]],NA())</f>
        <v>#N/A</v>
      </c>
    </row>
    <row r="131" spans="1:13">
      <c r="A131">
        <v>26</v>
      </c>
      <c r="B131">
        <v>42</v>
      </c>
      <c r="C131">
        <v>10</v>
      </c>
      <c r="D131">
        <v>42</v>
      </c>
      <c r="E131">
        <v>26</v>
      </c>
      <c r="F131">
        <v>10</v>
      </c>
      <c r="G131">
        <v>26</v>
      </c>
      <c r="H131">
        <v>42</v>
      </c>
      <c r="I131" t="s">
        <v>8</v>
      </c>
      <c r="J131">
        <f>IF(Tabela4[[#This Row],[4Income]]="&lt;=50K",Tabela4[[#This Row],[4Age]],NA())</f>
        <v>26</v>
      </c>
      <c r="K131">
        <f>IF(Tabela4[[#This Row],[4Income]]="&lt;=50K",Tabela4[[#This Row],[4hours-per-week]],NA())</f>
        <v>42</v>
      </c>
      <c r="L131" t="e">
        <f>IF(Tabela4[[#This Row],[4Income]]="&gt;50K",Tabela4[[#This Row],[4Age]],NA())</f>
        <v>#N/A</v>
      </c>
      <c r="M131" t="e">
        <f>IF(Tabela4[[#This Row],[4Income]]="&gt;50K",Tabela4[[#This Row],[4hours-per-week]],NA())</f>
        <v>#N/A</v>
      </c>
    </row>
    <row r="132" spans="1:13">
      <c r="A132">
        <v>51</v>
      </c>
      <c r="B132">
        <v>60</v>
      </c>
      <c r="C132">
        <v>10</v>
      </c>
      <c r="D132">
        <v>60</v>
      </c>
      <c r="E132">
        <v>51</v>
      </c>
      <c r="F132">
        <v>10</v>
      </c>
      <c r="G132">
        <v>51</v>
      </c>
      <c r="H132">
        <v>60</v>
      </c>
      <c r="I132" t="s">
        <v>8</v>
      </c>
      <c r="J132">
        <f>IF(Tabela4[[#This Row],[4Income]]="&lt;=50K",Tabela4[[#This Row],[4Age]],NA())</f>
        <v>51</v>
      </c>
      <c r="K132">
        <f>IF(Tabela4[[#This Row],[4Income]]="&lt;=50K",Tabela4[[#This Row],[4hours-per-week]],NA())</f>
        <v>60</v>
      </c>
      <c r="L132" t="e">
        <f>IF(Tabela4[[#This Row],[4Income]]="&gt;50K",Tabela4[[#This Row],[4Age]],NA())</f>
        <v>#N/A</v>
      </c>
      <c r="M132" t="e">
        <f>IF(Tabela4[[#This Row],[4Income]]="&gt;50K",Tabela4[[#This Row],[4hours-per-week]],NA())</f>
        <v>#N/A</v>
      </c>
    </row>
    <row r="133" spans="1:13">
      <c r="A133">
        <v>34</v>
      </c>
      <c r="B133">
        <v>40</v>
      </c>
      <c r="C133">
        <v>9</v>
      </c>
      <c r="D133">
        <v>40</v>
      </c>
      <c r="E133">
        <v>34</v>
      </c>
      <c r="F133">
        <v>9</v>
      </c>
      <c r="G133">
        <v>34</v>
      </c>
      <c r="H133">
        <v>40</v>
      </c>
      <c r="I133" t="s">
        <v>8</v>
      </c>
      <c r="J133">
        <f>IF(Tabela4[[#This Row],[4Income]]="&lt;=50K",Tabela4[[#This Row],[4Age]],NA())</f>
        <v>34</v>
      </c>
      <c r="K133">
        <f>IF(Tabela4[[#This Row],[4Income]]="&lt;=50K",Tabela4[[#This Row],[4hours-per-week]],NA())</f>
        <v>40</v>
      </c>
      <c r="L133" t="e">
        <f>IF(Tabela4[[#This Row],[4Income]]="&gt;50K",Tabela4[[#This Row],[4Age]],NA())</f>
        <v>#N/A</v>
      </c>
      <c r="M133" t="e">
        <f>IF(Tabela4[[#This Row],[4Income]]="&gt;50K",Tabela4[[#This Row],[4hours-per-week]],NA())</f>
        <v>#N/A</v>
      </c>
    </row>
    <row r="134" spans="1:13">
      <c r="A134">
        <v>48</v>
      </c>
      <c r="B134">
        <v>60</v>
      </c>
      <c r="C134">
        <v>15</v>
      </c>
      <c r="D134">
        <v>60</v>
      </c>
      <c r="E134">
        <v>48</v>
      </c>
      <c r="F134">
        <v>15</v>
      </c>
      <c r="G134">
        <v>48</v>
      </c>
      <c r="H134">
        <v>60</v>
      </c>
      <c r="I134" t="s">
        <v>19</v>
      </c>
      <c r="J134" t="e">
        <f>IF(Tabela4[[#This Row],[4Income]]="&lt;=50K",Tabela4[[#This Row],[4Age]],NA())</f>
        <v>#N/A</v>
      </c>
      <c r="K134" t="e">
        <f>IF(Tabela4[[#This Row],[4Income]]="&lt;=50K",Tabela4[[#This Row],[4hours-per-week]],NA())</f>
        <v>#N/A</v>
      </c>
      <c r="L134">
        <f>IF(Tabela4[[#This Row],[4Income]]="&gt;50K",Tabela4[[#This Row],[4Age]],NA())</f>
        <v>48</v>
      </c>
      <c r="M134">
        <f>IF(Tabela4[[#This Row],[4Income]]="&gt;50K",Tabela4[[#This Row],[4hours-per-week]],NA())</f>
        <v>60</v>
      </c>
    </row>
    <row r="135" spans="1:13">
      <c r="A135">
        <v>64</v>
      </c>
      <c r="B135">
        <v>60</v>
      </c>
      <c r="C135">
        <v>14</v>
      </c>
      <c r="D135">
        <v>60</v>
      </c>
      <c r="E135">
        <v>64</v>
      </c>
      <c r="F135">
        <v>14</v>
      </c>
      <c r="G135">
        <v>64</v>
      </c>
      <c r="H135">
        <v>60</v>
      </c>
      <c r="I135" t="s">
        <v>8</v>
      </c>
      <c r="J135">
        <f>IF(Tabela4[[#This Row],[4Income]]="&lt;=50K",Tabela4[[#This Row],[4Age]],NA())</f>
        <v>64</v>
      </c>
      <c r="K135">
        <f>IF(Tabela4[[#This Row],[4Income]]="&lt;=50K",Tabela4[[#This Row],[4hours-per-week]],NA())</f>
        <v>60</v>
      </c>
      <c r="L135" t="e">
        <f>IF(Tabela4[[#This Row],[4Income]]="&gt;50K",Tabela4[[#This Row],[4Age]],NA())</f>
        <v>#N/A</v>
      </c>
      <c r="M135" t="e">
        <f>IF(Tabela4[[#This Row],[4Income]]="&gt;50K",Tabela4[[#This Row],[4hours-per-week]],NA())</f>
        <v>#N/A</v>
      </c>
    </row>
    <row r="136" spans="1:13">
      <c r="A136">
        <v>33</v>
      </c>
      <c r="B136">
        <v>50</v>
      </c>
      <c r="C136">
        <v>9</v>
      </c>
      <c r="D136">
        <v>50</v>
      </c>
      <c r="E136">
        <v>33</v>
      </c>
      <c r="F136">
        <v>9</v>
      </c>
      <c r="G136">
        <v>33</v>
      </c>
      <c r="H136">
        <v>50</v>
      </c>
      <c r="I136" t="s">
        <v>19</v>
      </c>
      <c r="J136" t="e">
        <f>IF(Tabela4[[#This Row],[4Income]]="&lt;=50K",Tabela4[[#This Row],[4Age]],NA())</f>
        <v>#N/A</v>
      </c>
      <c r="K136" t="e">
        <f>IF(Tabela4[[#This Row],[4Income]]="&lt;=50K",Tabela4[[#This Row],[4hours-per-week]],NA())</f>
        <v>#N/A</v>
      </c>
      <c r="L136">
        <f>IF(Tabela4[[#This Row],[4Income]]="&gt;50K",Tabela4[[#This Row],[4Age]],NA())</f>
        <v>33</v>
      </c>
      <c r="M136">
        <f>IF(Tabela4[[#This Row],[4Income]]="&gt;50K",Tabela4[[#This Row],[4hours-per-week]],NA())</f>
        <v>50</v>
      </c>
    </row>
    <row r="137" spans="1:13">
      <c r="A137">
        <v>20</v>
      </c>
      <c r="B137">
        <v>40</v>
      </c>
      <c r="C137">
        <v>7</v>
      </c>
      <c r="D137">
        <v>40</v>
      </c>
      <c r="E137">
        <v>20</v>
      </c>
      <c r="F137">
        <v>7</v>
      </c>
      <c r="G137">
        <v>20</v>
      </c>
      <c r="H137">
        <v>40</v>
      </c>
      <c r="I137" t="s">
        <v>8</v>
      </c>
      <c r="J137">
        <f>IF(Tabela4[[#This Row],[4Income]]="&lt;=50K",Tabela4[[#This Row],[4Age]],NA())</f>
        <v>20</v>
      </c>
      <c r="K137">
        <f>IF(Tabela4[[#This Row],[4Income]]="&lt;=50K",Tabela4[[#This Row],[4hours-per-week]],NA())</f>
        <v>40</v>
      </c>
      <c r="L137" t="e">
        <f>IF(Tabela4[[#This Row],[4Income]]="&gt;50K",Tabela4[[#This Row],[4Age]],NA())</f>
        <v>#N/A</v>
      </c>
      <c r="M137" t="e">
        <f>IF(Tabela4[[#This Row],[4Income]]="&gt;50K",Tabela4[[#This Row],[4hours-per-week]],NA())</f>
        <v>#N/A</v>
      </c>
    </row>
    <row r="138" spans="1:13">
      <c r="A138">
        <v>37</v>
      </c>
      <c r="B138">
        <v>40</v>
      </c>
      <c r="C138">
        <v>10</v>
      </c>
      <c r="D138">
        <v>40</v>
      </c>
      <c r="E138">
        <v>37</v>
      </c>
      <c r="F138">
        <v>10</v>
      </c>
      <c r="G138">
        <v>37</v>
      </c>
      <c r="H138">
        <v>40</v>
      </c>
      <c r="I138" t="s">
        <v>8</v>
      </c>
      <c r="J138">
        <f>IF(Tabela4[[#This Row],[4Income]]="&lt;=50K",Tabela4[[#This Row],[4Age]],NA())</f>
        <v>37</v>
      </c>
      <c r="K138">
        <f>IF(Tabela4[[#This Row],[4Income]]="&lt;=50K",Tabela4[[#This Row],[4hours-per-week]],NA())</f>
        <v>40</v>
      </c>
      <c r="L138" t="e">
        <f>IF(Tabela4[[#This Row],[4Income]]="&gt;50K",Tabela4[[#This Row],[4Age]],NA())</f>
        <v>#N/A</v>
      </c>
      <c r="M138" t="e">
        <f>IF(Tabela4[[#This Row],[4Income]]="&gt;50K",Tabela4[[#This Row],[4hours-per-week]],NA())</f>
        <v>#N/A</v>
      </c>
    </row>
    <row r="139" spans="1:13">
      <c r="A139">
        <v>23</v>
      </c>
      <c r="B139">
        <v>40</v>
      </c>
      <c r="C139">
        <v>10</v>
      </c>
      <c r="D139">
        <v>40</v>
      </c>
      <c r="E139">
        <v>23</v>
      </c>
      <c r="F139">
        <v>10</v>
      </c>
      <c r="G139">
        <v>23</v>
      </c>
      <c r="H139">
        <v>40</v>
      </c>
      <c r="I139" t="s">
        <v>8</v>
      </c>
      <c r="J139">
        <f>IF(Tabela4[[#This Row],[4Income]]="&lt;=50K",Tabela4[[#This Row],[4Age]],NA())</f>
        <v>23</v>
      </c>
      <c r="K139">
        <f>IF(Tabela4[[#This Row],[4Income]]="&lt;=50K",Tabela4[[#This Row],[4hours-per-week]],NA())</f>
        <v>40</v>
      </c>
      <c r="L139" t="e">
        <f>IF(Tabela4[[#This Row],[4Income]]="&gt;50K",Tabela4[[#This Row],[4Age]],NA())</f>
        <v>#N/A</v>
      </c>
      <c r="M139" t="e">
        <f>IF(Tabela4[[#This Row],[4Income]]="&gt;50K",Tabela4[[#This Row],[4hours-per-week]],NA())</f>
        <v>#N/A</v>
      </c>
    </row>
    <row r="140" spans="1:13">
      <c r="A140">
        <v>30</v>
      </c>
      <c r="B140">
        <v>50</v>
      </c>
      <c r="C140">
        <v>13</v>
      </c>
      <c r="D140">
        <v>50</v>
      </c>
      <c r="E140">
        <v>30</v>
      </c>
      <c r="F140">
        <v>13</v>
      </c>
      <c r="G140">
        <v>30</v>
      </c>
      <c r="H140">
        <v>50</v>
      </c>
      <c r="I140" t="s">
        <v>8</v>
      </c>
      <c r="J140">
        <f>IF(Tabela4[[#This Row],[4Income]]="&lt;=50K",Tabela4[[#This Row],[4Age]],NA())</f>
        <v>30</v>
      </c>
      <c r="K140">
        <f>IF(Tabela4[[#This Row],[4Income]]="&lt;=50K",Tabela4[[#This Row],[4hours-per-week]],NA())</f>
        <v>50</v>
      </c>
      <c r="L140" t="e">
        <f>IF(Tabela4[[#This Row],[4Income]]="&gt;50K",Tabela4[[#This Row],[4Age]],NA())</f>
        <v>#N/A</v>
      </c>
      <c r="M140" t="e">
        <f>IF(Tabela4[[#This Row],[4Income]]="&gt;50K",Tabela4[[#This Row],[4hours-per-week]],NA())</f>
        <v>#N/A</v>
      </c>
    </row>
    <row r="141" spans="1:13">
      <c r="A141">
        <v>45</v>
      </c>
      <c r="B141">
        <v>40</v>
      </c>
      <c r="C141">
        <v>9</v>
      </c>
      <c r="D141">
        <v>40</v>
      </c>
      <c r="E141">
        <v>45</v>
      </c>
      <c r="F141">
        <v>9</v>
      </c>
      <c r="G141">
        <v>45</v>
      </c>
      <c r="H141">
        <v>40</v>
      </c>
      <c r="I141" t="s">
        <v>8</v>
      </c>
      <c r="J141">
        <f>IF(Tabela4[[#This Row],[4Income]]="&lt;=50K",Tabela4[[#This Row],[4Age]],NA())</f>
        <v>45</v>
      </c>
      <c r="K141">
        <f>IF(Tabela4[[#This Row],[4Income]]="&lt;=50K",Tabela4[[#This Row],[4hours-per-week]],NA())</f>
        <v>40</v>
      </c>
      <c r="L141" t="e">
        <f>IF(Tabela4[[#This Row],[4Income]]="&gt;50K",Tabela4[[#This Row],[4Age]],NA())</f>
        <v>#N/A</v>
      </c>
      <c r="M141" t="e">
        <f>IF(Tabela4[[#This Row],[4Income]]="&gt;50K",Tabela4[[#This Row],[4hours-per-week]],NA())</f>
        <v>#N/A</v>
      </c>
    </row>
    <row r="142" spans="1:13">
      <c r="A142">
        <v>41</v>
      </c>
      <c r="B142">
        <v>55</v>
      </c>
      <c r="C142">
        <v>10</v>
      </c>
      <c r="D142">
        <v>55</v>
      </c>
      <c r="E142">
        <v>41</v>
      </c>
      <c r="F142">
        <v>10</v>
      </c>
      <c r="G142">
        <v>41</v>
      </c>
      <c r="H142">
        <v>55</v>
      </c>
      <c r="I142" t="s">
        <v>8</v>
      </c>
      <c r="J142">
        <f>IF(Tabela4[[#This Row],[4Income]]="&lt;=50K",Tabela4[[#This Row],[4Age]],NA())</f>
        <v>41</v>
      </c>
      <c r="K142">
        <f>IF(Tabela4[[#This Row],[4Income]]="&lt;=50K",Tabela4[[#This Row],[4hours-per-week]],NA())</f>
        <v>55</v>
      </c>
      <c r="L142" t="e">
        <f>IF(Tabela4[[#This Row],[4Income]]="&gt;50K",Tabela4[[#This Row],[4Age]],NA())</f>
        <v>#N/A</v>
      </c>
      <c r="M142" t="e">
        <f>IF(Tabela4[[#This Row],[4Income]]="&gt;50K",Tabela4[[#This Row],[4hours-per-week]],NA())</f>
        <v>#N/A</v>
      </c>
    </row>
    <row r="143" spans="1:13">
      <c r="A143">
        <v>32</v>
      </c>
      <c r="B143">
        <v>50</v>
      </c>
      <c r="C143">
        <v>9</v>
      </c>
      <c r="D143">
        <v>50</v>
      </c>
      <c r="E143">
        <v>32</v>
      </c>
      <c r="F143">
        <v>9</v>
      </c>
      <c r="G143">
        <v>32</v>
      </c>
      <c r="H143">
        <v>50</v>
      </c>
      <c r="I143" t="s">
        <v>8</v>
      </c>
      <c r="J143">
        <f>IF(Tabela4[[#This Row],[4Income]]="&lt;=50K",Tabela4[[#This Row],[4Age]],NA())</f>
        <v>32</v>
      </c>
      <c r="K143">
        <f>IF(Tabela4[[#This Row],[4Income]]="&lt;=50K",Tabela4[[#This Row],[4hours-per-week]],NA())</f>
        <v>50</v>
      </c>
      <c r="L143" t="e">
        <f>IF(Tabela4[[#This Row],[4Income]]="&gt;50K",Tabela4[[#This Row],[4Age]],NA())</f>
        <v>#N/A</v>
      </c>
      <c r="M143" t="e">
        <f>IF(Tabela4[[#This Row],[4Income]]="&gt;50K",Tabela4[[#This Row],[4hours-per-week]],NA())</f>
        <v>#N/A</v>
      </c>
    </row>
    <row r="144" spans="1:13">
      <c r="A144">
        <v>39</v>
      </c>
      <c r="B144">
        <v>70</v>
      </c>
      <c r="C144">
        <v>13</v>
      </c>
      <c r="D144">
        <v>70</v>
      </c>
      <c r="E144">
        <v>39</v>
      </c>
      <c r="F144">
        <v>13</v>
      </c>
      <c r="G144">
        <v>39</v>
      </c>
      <c r="H144">
        <v>70</v>
      </c>
      <c r="I144" t="s">
        <v>8</v>
      </c>
      <c r="J144">
        <f>IF(Tabela4[[#This Row],[4Income]]="&lt;=50K",Tabela4[[#This Row],[4Age]],NA())</f>
        <v>39</v>
      </c>
      <c r="K144">
        <f>IF(Tabela4[[#This Row],[4Income]]="&lt;=50K",Tabela4[[#This Row],[4hours-per-week]],NA())</f>
        <v>70</v>
      </c>
      <c r="L144" t="e">
        <f>IF(Tabela4[[#This Row],[4Income]]="&gt;50K",Tabela4[[#This Row],[4Age]],NA())</f>
        <v>#N/A</v>
      </c>
      <c r="M144" t="e">
        <f>IF(Tabela4[[#This Row],[4Income]]="&gt;50K",Tabela4[[#This Row],[4hours-per-week]],NA())</f>
        <v>#N/A</v>
      </c>
    </row>
    <row r="145" spans="1:13">
      <c r="A145">
        <v>45</v>
      </c>
      <c r="B145">
        <v>40</v>
      </c>
      <c r="C145">
        <v>15</v>
      </c>
      <c r="D145">
        <v>40</v>
      </c>
      <c r="E145">
        <v>45</v>
      </c>
      <c r="F145">
        <v>15</v>
      </c>
      <c r="G145">
        <v>45</v>
      </c>
      <c r="H145">
        <v>40</v>
      </c>
      <c r="I145" t="s">
        <v>19</v>
      </c>
      <c r="J145" t="e">
        <f>IF(Tabela4[[#This Row],[4Income]]="&lt;=50K",Tabela4[[#This Row],[4Age]],NA())</f>
        <v>#N/A</v>
      </c>
      <c r="K145" t="e">
        <f>IF(Tabela4[[#This Row],[4Income]]="&lt;=50K",Tabela4[[#This Row],[4hours-per-week]],NA())</f>
        <v>#N/A</v>
      </c>
      <c r="L145">
        <f>IF(Tabela4[[#This Row],[4Income]]="&gt;50K",Tabela4[[#This Row],[4Age]],NA())</f>
        <v>45</v>
      </c>
      <c r="M145">
        <f>IF(Tabela4[[#This Row],[4Income]]="&gt;50K",Tabela4[[#This Row],[4hours-per-week]],NA())</f>
        <v>40</v>
      </c>
    </row>
    <row r="146" spans="1:13">
      <c r="A146">
        <v>46</v>
      </c>
      <c r="B146">
        <v>50</v>
      </c>
      <c r="C146">
        <v>11</v>
      </c>
      <c r="D146">
        <v>50</v>
      </c>
      <c r="E146">
        <v>46</v>
      </c>
      <c r="F146">
        <v>11</v>
      </c>
      <c r="G146">
        <v>46</v>
      </c>
      <c r="H146">
        <v>50</v>
      </c>
      <c r="I146" t="s">
        <v>8</v>
      </c>
      <c r="J146">
        <f>IF(Tabela4[[#This Row],[4Income]]="&lt;=50K",Tabela4[[#This Row],[4Age]],NA())</f>
        <v>46</v>
      </c>
      <c r="K146">
        <f>IF(Tabela4[[#This Row],[4Income]]="&lt;=50K",Tabela4[[#This Row],[4hours-per-week]],NA())</f>
        <v>50</v>
      </c>
      <c r="L146" t="e">
        <f>IF(Tabela4[[#This Row],[4Income]]="&gt;50K",Tabela4[[#This Row],[4Age]],NA())</f>
        <v>#N/A</v>
      </c>
      <c r="M146" t="e">
        <f>IF(Tabela4[[#This Row],[4Income]]="&gt;50K",Tabela4[[#This Row],[4hours-per-week]],NA())</f>
        <v>#N/A</v>
      </c>
    </row>
    <row r="147" spans="1:13">
      <c r="A147">
        <v>34</v>
      </c>
      <c r="B147">
        <v>40</v>
      </c>
      <c r="C147">
        <v>9</v>
      </c>
      <c r="D147">
        <v>40</v>
      </c>
      <c r="E147">
        <v>34</v>
      </c>
      <c r="F147">
        <v>9</v>
      </c>
      <c r="G147">
        <v>34</v>
      </c>
      <c r="H147">
        <v>40</v>
      </c>
      <c r="I147" t="s">
        <v>8</v>
      </c>
      <c r="J147">
        <f>IF(Tabela4[[#This Row],[4Income]]="&lt;=50K",Tabela4[[#This Row],[4Age]],NA())</f>
        <v>34</v>
      </c>
      <c r="K147">
        <f>IF(Tabela4[[#This Row],[4Income]]="&lt;=50K",Tabela4[[#This Row],[4hours-per-week]],NA())</f>
        <v>40</v>
      </c>
      <c r="L147" t="e">
        <f>IF(Tabela4[[#This Row],[4Income]]="&gt;50K",Tabela4[[#This Row],[4Age]],NA())</f>
        <v>#N/A</v>
      </c>
      <c r="M147" t="e">
        <f>IF(Tabela4[[#This Row],[4Income]]="&gt;50K",Tabela4[[#This Row],[4hours-per-week]],NA())</f>
        <v>#N/A</v>
      </c>
    </row>
    <row r="148" spans="1:13">
      <c r="A148">
        <v>54</v>
      </c>
      <c r="B148">
        <v>40</v>
      </c>
      <c r="C148">
        <v>13</v>
      </c>
      <c r="D148">
        <v>40</v>
      </c>
      <c r="E148">
        <v>54</v>
      </c>
      <c r="F148">
        <v>13</v>
      </c>
      <c r="G148">
        <v>54</v>
      </c>
      <c r="H148">
        <v>40</v>
      </c>
      <c r="I148" t="s">
        <v>8</v>
      </c>
      <c r="J148">
        <f>IF(Tabela4[[#This Row],[4Income]]="&lt;=50K",Tabela4[[#This Row],[4Age]],NA())</f>
        <v>54</v>
      </c>
      <c r="K148">
        <f>IF(Tabela4[[#This Row],[4Income]]="&lt;=50K",Tabela4[[#This Row],[4hours-per-week]],NA())</f>
        <v>40</v>
      </c>
      <c r="L148" t="e">
        <f>IF(Tabela4[[#This Row],[4Income]]="&gt;50K",Tabela4[[#This Row],[4Age]],NA())</f>
        <v>#N/A</v>
      </c>
      <c r="M148" t="e">
        <f>IF(Tabela4[[#This Row],[4Income]]="&gt;50K",Tabela4[[#This Row],[4hours-per-week]],NA())</f>
        <v>#N/A</v>
      </c>
    </row>
    <row r="149" spans="1:13">
      <c r="A149">
        <v>64</v>
      </c>
      <c r="B149">
        <v>40</v>
      </c>
      <c r="C149">
        <v>9</v>
      </c>
      <c r="D149">
        <v>40</v>
      </c>
      <c r="E149">
        <v>64</v>
      </c>
      <c r="F149">
        <v>9</v>
      </c>
      <c r="G149">
        <v>64</v>
      </c>
      <c r="H149">
        <v>40</v>
      </c>
      <c r="I149" t="s">
        <v>8</v>
      </c>
      <c r="J149">
        <f>IF(Tabela4[[#This Row],[4Income]]="&lt;=50K",Tabela4[[#This Row],[4Age]],NA())</f>
        <v>64</v>
      </c>
      <c r="K149">
        <f>IF(Tabela4[[#This Row],[4Income]]="&lt;=50K",Tabela4[[#This Row],[4hours-per-week]],NA())</f>
        <v>40</v>
      </c>
      <c r="L149" t="e">
        <f>IF(Tabela4[[#This Row],[4Income]]="&gt;50K",Tabela4[[#This Row],[4Age]],NA())</f>
        <v>#N/A</v>
      </c>
      <c r="M149" t="e">
        <f>IF(Tabela4[[#This Row],[4Income]]="&gt;50K",Tabela4[[#This Row],[4hours-per-week]],NA())</f>
        <v>#N/A</v>
      </c>
    </row>
    <row r="150" spans="1:13">
      <c r="A150">
        <v>36</v>
      </c>
      <c r="B150">
        <v>45</v>
      </c>
      <c r="C150">
        <v>10</v>
      </c>
      <c r="D150">
        <v>45</v>
      </c>
      <c r="E150">
        <v>36</v>
      </c>
      <c r="F150">
        <v>10</v>
      </c>
      <c r="G150">
        <v>36</v>
      </c>
      <c r="H150">
        <v>45</v>
      </c>
      <c r="I150" t="s">
        <v>8</v>
      </c>
      <c r="J150">
        <f>IF(Tabela4[[#This Row],[4Income]]="&lt;=50K",Tabela4[[#This Row],[4Age]],NA())</f>
        <v>36</v>
      </c>
      <c r="K150">
        <f>IF(Tabela4[[#This Row],[4Income]]="&lt;=50K",Tabela4[[#This Row],[4hours-per-week]],NA())</f>
        <v>45</v>
      </c>
      <c r="L150" t="e">
        <f>IF(Tabela4[[#This Row],[4Income]]="&gt;50K",Tabela4[[#This Row],[4Age]],NA())</f>
        <v>#N/A</v>
      </c>
      <c r="M150" t="e">
        <f>IF(Tabela4[[#This Row],[4Income]]="&gt;50K",Tabela4[[#This Row],[4hours-per-week]],NA())</f>
        <v>#N/A</v>
      </c>
    </row>
    <row r="151" spans="1:13">
      <c r="A151">
        <v>38</v>
      </c>
      <c r="B151">
        <v>40</v>
      </c>
      <c r="C151">
        <v>9</v>
      </c>
      <c r="D151">
        <v>40</v>
      </c>
      <c r="E151">
        <v>38</v>
      </c>
      <c r="F151">
        <v>9</v>
      </c>
      <c r="G151">
        <v>38</v>
      </c>
      <c r="H151">
        <v>40</v>
      </c>
      <c r="I151" t="s">
        <v>8</v>
      </c>
      <c r="J151">
        <f>IF(Tabela4[[#This Row],[4Income]]="&lt;=50K",Tabela4[[#This Row],[4Age]],NA())</f>
        <v>38</v>
      </c>
      <c r="K151">
        <f>IF(Tabela4[[#This Row],[4Income]]="&lt;=50K",Tabela4[[#This Row],[4hours-per-week]],NA())</f>
        <v>40</v>
      </c>
      <c r="L151" t="e">
        <f>IF(Tabela4[[#This Row],[4Income]]="&gt;50K",Tabela4[[#This Row],[4Age]],NA())</f>
        <v>#N/A</v>
      </c>
      <c r="M151" t="e">
        <f>IF(Tabela4[[#This Row],[4Income]]="&gt;50K",Tabela4[[#This Row],[4hours-per-week]],NA())</f>
        <v>#N/A</v>
      </c>
    </row>
    <row r="152" spans="1:13">
      <c r="A152">
        <v>62</v>
      </c>
      <c r="B152">
        <v>24</v>
      </c>
      <c r="C152">
        <v>9</v>
      </c>
      <c r="D152">
        <v>24</v>
      </c>
      <c r="E152">
        <v>62</v>
      </c>
      <c r="F152">
        <v>9</v>
      </c>
      <c r="G152">
        <v>62</v>
      </c>
      <c r="H152">
        <v>24</v>
      </c>
      <c r="I152" t="s">
        <v>8</v>
      </c>
      <c r="J152">
        <f>IF(Tabela4[[#This Row],[4Income]]="&lt;=50K",Tabela4[[#This Row],[4Age]],NA())</f>
        <v>62</v>
      </c>
      <c r="K152">
        <f>IF(Tabela4[[#This Row],[4Income]]="&lt;=50K",Tabela4[[#This Row],[4hours-per-week]],NA())</f>
        <v>24</v>
      </c>
      <c r="L152" t="e">
        <f>IF(Tabela4[[#This Row],[4Income]]="&gt;50K",Tabela4[[#This Row],[4Age]],NA())</f>
        <v>#N/A</v>
      </c>
      <c r="M152" t="e">
        <f>IF(Tabela4[[#This Row],[4Income]]="&gt;50K",Tabela4[[#This Row],[4hours-per-week]],NA())</f>
        <v>#N/A</v>
      </c>
    </row>
    <row r="153" spans="1:13">
      <c r="A153">
        <v>56</v>
      </c>
      <c r="B153">
        <v>40</v>
      </c>
      <c r="C153">
        <v>9</v>
      </c>
      <c r="D153">
        <v>40</v>
      </c>
      <c r="E153">
        <v>56</v>
      </c>
      <c r="F153">
        <v>9</v>
      </c>
      <c r="G153">
        <v>56</v>
      </c>
      <c r="H153">
        <v>40</v>
      </c>
      <c r="I153" t="s">
        <v>8</v>
      </c>
      <c r="J153">
        <f>IF(Tabela4[[#This Row],[4Income]]="&lt;=50K",Tabela4[[#This Row],[4Age]],NA())</f>
        <v>56</v>
      </c>
      <c r="K153">
        <f>IF(Tabela4[[#This Row],[4Income]]="&lt;=50K",Tabela4[[#This Row],[4hours-per-week]],NA())</f>
        <v>40</v>
      </c>
      <c r="L153" t="e">
        <f>IF(Tabela4[[#This Row],[4Income]]="&gt;50K",Tabela4[[#This Row],[4Age]],NA())</f>
        <v>#N/A</v>
      </c>
      <c r="M153" t="e">
        <f>IF(Tabela4[[#This Row],[4Income]]="&gt;50K",Tabela4[[#This Row],[4hours-per-week]],NA())</f>
        <v>#N/A</v>
      </c>
    </row>
    <row r="154" spans="1:13">
      <c r="A154">
        <v>26</v>
      </c>
      <c r="B154">
        <v>40</v>
      </c>
      <c r="C154">
        <v>9</v>
      </c>
      <c r="D154">
        <v>40</v>
      </c>
      <c r="E154">
        <v>26</v>
      </c>
      <c r="F154">
        <v>9</v>
      </c>
      <c r="G154">
        <v>26</v>
      </c>
      <c r="H154">
        <v>40</v>
      </c>
      <c r="I154" t="s">
        <v>8</v>
      </c>
      <c r="J154">
        <f>IF(Tabela4[[#This Row],[4Income]]="&lt;=50K",Tabela4[[#This Row],[4Age]],NA())</f>
        <v>26</v>
      </c>
      <c r="K154">
        <f>IF(Tabela4[[#This Row],[4Income]]="&lt;=50K",Tabela4[[#This Row],[4hours-per-week]],NA())</f>
        <v>40</v>
      </c>
      <c r="L154" t="e">
        <f>IF(Tabela4[[#This Row],[4Income]]="&gt;50K",Tabela4[[#This Row],[4Age]],NA())</f>
        <v>#N/A</v>
      </c>
      <c r="M154" t="e">
        <f>IF(Tabela4[[#This Row],[4Income]]="&gt;50K",Tabela4[[#This Row],[4hours-per-week]],NA())</f>
        <v>#N/A</v>
      </c>
    </row>
    <row r="155" spans="1:13">
      <c r="A155">
        <v>63</v>
      </c>
      <c r="B155">
        <v>40</v>
      </c>
      <c r="C155">
        <v>9</v>
      </c>
      <c r="D155">
        <v>40</v>
      </c>
      <c r="E155">
        <v>63</v>
      </c>
      <c r="F155">
        <v>9</v>
      </c>
      <c r="G155">
        <v>63</v>
      </c>
      <c r="H155">
        <v>40</v>
      </c>
      <c r="I155" t="s">
        <v>19</v>
      </c>
      <c r="J155" t="e">
        <f>IF(Tabela4[[#This Row],[4Income]]="&lt;=50K",Tabela4[[#This Row],[4Age]],NA())</f>
        <v>#N/A</v>
      </c>
      <c r="K155" t="e">
        <f>IF(Tabela4[[#This Row],[4Income]]="&lt;=50K",Tabela4[[#This Row],[4hours-per-week]],NA())</f>
        <v>#N/A</v>
      </c>
      <c r="L155">
        <f>IF(Tabela4[[#This Row],[4Income]]="&gt;50K",Tabela4[[#This Row],[4Age]],NA())</f>
        <v>63</v>
      </c>
      <c r="M155">
        <f>IF(Tabela4[[#This Row],[4Income]]="&gt;50K",Tabela4[[#This Row],[4hours-per-week]],NA())</f>
        <v>40</v>
      </c>
    </row>
    <row r="156" spans="1:13">
      <c r="A156">
        <v>38</v>
      </c>
      <c r="B156">
        <v>40</v>
      </c>
      <c r="C156">
        <v>13</v>
      </c>
      <c r="D156">
        <v>40</v>
      </c>
      <c r="E156">
        <v>38</v>
      </c>
      <c r="F156">
        <v>13</v>
      </c>
      <c r="G156">
        <v>38</v>
      </c>
      <c r="H156">
        <v>40</v>
      </c>
      <c r="I156" t="s">
        <v>8</v>
      </c>
      <c r="J156">
        <f>IF(Tabela4[[#This Row],[4Income]]="&lt;=50K",Tabela4[[#This Row],[4Age]],NA())</f>
        <v>38</v>
      </c>
      <c r="K156">
        <f>IF(Tabela4[[#This Row],[4Income]]="&lt;=50K",Tabela4[[#This Row],[4hours-per-week]],NA())</f>
        <v>40</v>
      </c>
      <c r="L156" t="e">
        <f>IF(Tabela4[[#This Row],[4Income]]="&gt;50K",Tabela4[[#This Row],[4Age]],NA())</f>
        <v>#N/A</v>
      </c>
      <c r="M156" t="e">
        <f>IF(Tabela4[[#This Row],[4Income]]="&gt;50K",Tabela4[[#This Row],[4hours-per-week]],NA())</f>
        <v>#N/A</v>
      </c>
    </row>
    <row r="157" spans="1:13">
      <c r="A157">
        <v>43</v>
      </c>
      <c r="B157">
        <v>40</v>
      </c>
      <c r="C157">
        <v>9</v>
      </c>
      <c r="D157">
        <v>40</v>
      </c>
      <c r="E157">
        <v>43</v>
      </c>
      <c r="F157">
        <v>9</v>
      </c>
      <c r="G157">
        <v>43</v>
      </c>
      <c r="H157">
        <v>40</v>
      </c>
      <c r="I157" t="s">
        <v>8</v>
      </c>
      <c r="J157">
        <f>IF(Tabela4[[#This Row],[4Income]]="&lt;=50K",Tabela4[[#This Row],[4Age]],NA())</f>
        <v>43</v>
      </c>
      <c r="K157">
        <f>IF(Tabela4[[#This Row],[4Income]]="&lt;=50K",Tabela4[[#This Row],[4hours-per-week]],NA())</f>
        <v>40</v>
      </c>
      <c r="L157" t="e">
        <f>IF(Tabela4[[#This Row],[4Income]]="&gt;50K",Tabela4[[#This Row],[4Age]],NA())</f>
        <v>#N/A</v>
      </c>
      <c r="M157" t="e">
        <f>IF(Tabela4[[#This Row],[4Income]]="&gt;50K",Tabela4[[#This Row],[4hours-per-week]],NA())</f>
        <v>#N/A</v>
      </c>
    </row>
    <row r="158" spans="1:13">
      <c r="A158">
        <v>30</v>
      </c>
      <c r="B158">
        <v>40</v>
      </c>
      <c r="C158">
        <v>13</v>
      </c>
      <c r="D158">
        <v>40</v>
      </c>
      <c r="E158">
        <v>30</v>
      </c>
      <c r="F158">
        <v>13</v>
      </c>
      <c r="G158">
        <v>30</v>
      </c>
      <c r="H158">
        <v>40</v>
      </c>
      <c r="I158" t="s">
        <v>8</v>
      </c>
      <c r="J158">
        <f>IF(Tabela4[[#This Row],[4Income]]="&lt;=50K",Tabela4[[#This Row],[4Age]],NA())</f>
        <v>30</v>
      </c>
      <c r="K158">
        <f>IF(Tabela4[[#This Row],[4Income]]="&lt;=50K",Tabela4[[#This Row],[4hours-per-week]],NA())</f>
        <v>40</v>
      </c>
      <c r="L158" t="e">
        <f>IF(Tabela4[[#This Row],[4Income]]="&gt;50K",Tabela4[[#This Row],[4Age]],NA())</f>
        <v>#N/A</v>
      </c>
      <c r="M158" t="e">
        <f>IF(Tabela4[[#This Row],[4Income]]="&gt;50K",Tabela4[[#This Row],[4hours-per-week]],NA())</f>
        <v>#N/A</v>
      </c>
    </row>
    <row r="159" spans="1:13">
      <c r="A159">
        <v>26</v>
      </c>
      <c r="B159">
        <v>50</v>
      </c>
      <c r="C159">
        <v>13</v>
      </c>
      <c r="D159">
        <v>50</v>
      </c>
      <c r="E159">
        <v>26</v>
      </c>
      <c r="F159">
        <v>13</v>
      </c>
      <c r="G159">
        <v>26</v>
      </c>
      <c r="H159">
        <v>50</v>
      </c>
      <c r="I159" t="s">
        <v>8</v>
      </c>
      <c r="J159">
        <f>IF(Tabela4[[#This Row],[4Income]]="&lt;=50K",Tabela4[[#This Row],[4Age]],NA())</f>
        <v>26</v>
      </c>
      <c r="K159">
        <f>IF(Tabela4[[#This Row],[4Income]]="&lt;=50K",Tabela4[[#This Row],[4hours-per-week]],NA())</f>
        <v>50</v>
      </c>
      <c r="L159" t="e">
        <f>IF(Tabela4[[#This Row],[4Income]]="&gt;50K",Tabela4[[#This Row],[4Age]],NA())</f>
        <v>#N/A</v>
      </c>
      <c r="M159" t="e">
        <f>IF(Tabela4[[#This Row],[4Income]]="&gt;50K",Tabela4[[#This Row],[4hours-per-week]],NA())</f>
        <v>#N/A</v>
      </c>
    </row>
    <row r="160" spans="1:13">
      <c r="A160">
        <v>42</v>
      </c>
      <c r="B160">
        <v>45</v>
      </c>
      <c r="C160">
        <v>9</v>
      </c>
      <c r="D160">
        <v>45</v>
      </c>
      <c r="E160">
        <v>42</v>
      </c>
      <c r="F160">
        <v>9</v>
      </c>
      <c r="G160">
        <v>42</v>
      </c>
      <c r="H160">
        <v>45</v>
      </c>
      <c r="I160" t="s">
        <v>8</v>
      </c>
      <c r="J160">
        <f>IF(Tabela4[[#This Row],[4Income]]="&lt;=50K",Tabela4[[#This Row],[4Age]],NA())</f>
        <v>42</v>
      </c>
      <c r="K160">
        <f>IF(Tabela4[[#This Row],[4Income]]="&lt;=50K",Tabela4[[#This Row],[4hours-per-week]],NA())</f>
        <v>45</v>
      </c>
      <c r="L160" t="e">
        <f>IF(Tabela4[[#This Row],[4Income]]="&gt;50K",Tabela4[[#This Row],[4Age]],NA())</f>
        <v>#N/A</v>
      </c>
      <c r="M160" t="e">
        <f>IF(Tabela4[[#This Row],[4Income]]="&gt;50K",Tabela4[[#This Row],[4hours-per-week]],NA())</f>
        <v>#N/A</v>
      </c>
    </row>
    <row r="161" spans="1:13">
      <c r="A161">
        <v>43</v>
      </c>
      <c r="B161">
        <v>43</v>
      </c>
      <c r="C161">
        <v>10</v>
      </c>
      <c r="D161">
        <v>43</v>
      </c>
      <c r="E161">
        <v>43</v>
      </c>
      <c r="F161">
        <v>10</v>
      </c>
      <c r="G161">
        <v>43</v>
      </c>
      <c r="H161">
        <v>43</v>
      </c>
      <c r="I161" t="s">
        <v>19</v>
      </c>
      <c r="J161" t="e">
        <f>IF(Tabela4[[#This Row],[4Income]]="&lt;=50K",Tabela4[[#This Row],[4Age]],NA())</f>
        <v>#N/A</v>
      </c>
      <c r="K161" t="e">
        <f>IF(Tabela4[[#This Row],[4Income]]="&lt;=50K",Tabela4[[#This Row],[4hours-per-week]],NA())</f>
        <v>#N/A</v>
      </c>
      <c r="L161">
        <f>IF(Tabela4[[#This Row],[4Income]]="&gt;50K",Tabela4[[#This Row],[4Age]],NA())</f>
        <v>43</v>
      </c>
      <c r="M161">
        <f>IF(Tabela4[[#This Row],[4Income]]="&gt;50K",Tabela4[[#This Row],[4hours-per-week]],NA())</f>
        <v>43</v>
      </c>
    </row>
    <row r="162" spans="1:13">
      <c r="A162">
        <v>29</v>
      </c>
      <c r="B162">
        <v>40</v>
      </c>
      <c r="C162">
        <v>9</v>
      </c>
      <c r="D162">
        <v>40</v>
      </c>
      <c r="E162">
        <v>29</v>
      </c>
      <c r="F162">
        <v>9</v>
      </c>
      <c r="G162">
        <v>29</v>
      </c>
      <c r="H162">
        <v>40</v>
      </c>
      <c r="I162" t="s">
        <v>8</v>
      </c>
      <c r="J162">
        <f>IF(Tabela4[[#This Row],[4Income]]="&lt;=50K",Tabela4[[#This Row],[4Age]],NA())</f>
        <v>29</v>
      </c>
      <c r="K162">
        <f>IF(Tabela4[[#This Row],[4Income]]="&lt;=50K",Tabela4[[#This Row],[4hours-per-week]],NA())</f>
        <v>40</v>
      </c>
      <c r="L162" t="e">
        <f>IF(Tabela4[[#This Row],[4Income]]="&gt;50K",Tabela4[[#This Row],[4Age]],NA())</f>
        <v>#N/A</v>
      </c>
      <c r="M162" t="e">
        <f>IF(Tabela4[[#This Row],[4Income]]="&gt;50K",Tabela4[[#This Row],[4hours-per-week]],NA())</f>
        <v>#N/A</v>
      </c>
    </row>
    <row r="163" spans="1:13">
      <c r="A163">
        <v>23</v>
      </c>
      <c r="B163">
        <v>36</v>
      </c>
      <c r="C163">
        <v>11</v>
      </c>
      <c r="D163">
        <v>36</v>
      </c>
      <c r="E163">
        <v>23</v>
      </c>
      <c r="F163">
        <v>11</v>
      </c>
      <c r="G163">
        <v>23</v>
      </c>
      <c r="H163">
        <v>36</v>
      </c>
      <c r="I163" t="s">
        <v>8</v>
      </c>
      <c r="J163">
        <f>IF(Tabela4[[#This Row],[4Income]]="&lt;=50K",Tabela4[[#This Row],[4Age]],NA())</f>
        <v>23</v>
      </c>
      <c r="K163">
        <f>IF(Tabela4[[#This Row],[4Income]]="&lt;=50K",Tabela4[[#This Row],[4hours-per-week]],NA())</f>
        <v>36</v>
      </c>
      <c r="L163" t="e">
        <f>IF(Tabela4[[#This Row],[4Income]]="&gt;50K",Tabela4[[#This Row],[4Age]],NA())</f>
        <v>#N/A</v>
      </c>
      <c r="M163" t="e">
        <f>IF(Tabela4[[#This Row],[4Income]]="&gt;50K",Tabela4[[#This Row],[4hours-per-week]],NA())</f>
        <v>#N/A</v>
      </c>
    </row>
    <row r="164" spans="1:13">
      <c r="A164">
        <v>31</v>
      </c>
      <c r="B164">
        <v>40</v>
      </c>
      <c r="C164">
        <v>13</v>
      </c>
      <c r="D164">
        <v>40</v>
      </c>
      <c r="E164">
        <v>31</v>
      </c>
      <c r="F164">
        <v>13</v>
      </c>
      <c r="G164">
        <v>31</v>
      </c>
      <c r="H164">
        <v>40</v>
      </c>
      <c r="I164" t="s">
        <v>8</v>
      </c>
      <c r="J164">
        <f>IF(Tabela4[[#This Row],[4Income]]="&lt;=50K",Tabela4[[#This Row],[4Age]],NA())</f>
        <v>31</v>
      </c>
      <c r="K164">
        <f>IF(Tabela4[[#This Row],[4Income]]="&lt;=50K",Tabela4[[#This Row],[4hours-per-week]],NA())</f>
        <v>40</v>
      </c>
      <c r="L164" t="e">
        <f>IF(Tabela4[[#This Row],[4Income]]="&gt;50K",Tabela4[[#This Row],[4Age]],NA())</f>
        <v>#N/A</v>
      </c>
      <c r="M164" t="e">
        <f>IF(Tabela4[[#This Row],[4Income]]="&gt;50K",Tabela4[[#This Row],[4hours-per-week]],NA())</f>
        <v>#N/A</v>
      </c>
    </row>
    <row r="165" spans="1:13">
      <c r="A165">
        <v>40</v>
      </c>
      <c r="B165">
        <v>42</v>
      </c>
      <c r="C165">
        <v>4</v>
      </c>
      <c r="D165">
        <v>42</v>
      </c>
      <c r="E165">
        <v>40</v>
      </c>
      <c r="F165">
        <v>4</v>
      </c>
      <c r="G165">
        <v>40</v>
      </c>
      <c r="H165">
        <v>42</v>
      </c>
      <c r="I165" t="s">
        <v>8</v>
      </c>
      <c r="J165">
        <f>IF(Tabela4[[#This Row],[4Income]]="&lt;=50K",Tabela4[[#This Row],[4Age]],NA())</f>
        <v>40</v>
      </c>
      <c r="K165">
        <f>IF(Tabela4[[#This Row],[4Income]]="&lt;=50K",Tabela4[[#This Row],[4hours-per-week]],NA())</f>
        <v>42</v>
      </c>
      <c r="L165" t="e">
        <f>IF(Tabela4[[#This Row],[4Income]]="&gt;50K",Tabela4[[#This Row],[4Age]],NA())</f>
        <v>#N/A</v>
      </c>
      <c r="M165" t="e">
        <f>IF(Tabela4[[#This Row],[4Income]]="&gt;50K",Tabela4[[#This Row],[4hours-per-week]],NA())</f>
        <v>#N/A</v>
      </c>
    </row>
    <row r="166" spans="1:13">
      <c r="A166">
        <v>50</v>
      </c>
      <c r="B166">
        <v>40</v>
      </c>
      <c r="C166">
        <v>13</v>
      </c>
      <c r="D166">
        <v>40</v>
      </c>
      <c r="E166">
        <v>50</v>
      </c>
      <c r="F166">
        <v>13</v>
      </c>
      <c r="G166">
        <v>50</v>
      </c>
      <c r="H166">
        <v>40</v>
      </c>
      <c r="I166" t="s">
        <v>8</v>
      </c>
      <c r="J166">
        <f>IF(Tabela4[[#This Row],[4Income]]="&lt;=50K",Tabela4[[#This Row],[4Age]],NA())</f>
        <v>50</v>
      </c>
      <c r="K166">
        <f>IF(Tabela4[[#This Row],[4Income]]="&lt;=50K",Tabela4[[#This Row],[4hours-per-week]],NA())</f>
        <v>40</v>
      </c>
      <c r="L166" t="e">
        <f>IF(Tabela4[[#This Row],[4Income]]="&gt;50K",Tabela4[[#This Row],[4Age]],NA())</f>
        <v>#N/A</v>
      </c>
      <c r="M166" t="e">
        <f>IF(Tabela4[[#This Row],[4Income]]="&gt;50K",Tabela4[[#This Row],[4hours-per-week]],NA())</f>
        <v>#N/A</v>
      </c>
    </row>
    <row r="167" spans="1:13">
      <c r="A167">
        <v>32</v>
      </c>
      <c r="B167">
        <v>40</v>
      </c>
      <c r="C167">
        <v>15</v>
      </c>
      <c r="D167">
        <v>40</v>
      </c>
      <c r="E167">
        <v>32</v>
      </c>
      <c r="F167">
        <v>15</v>
      </c>
      <c r="G167">
        <v>32</v>
      </c>
      <c r="H167">
        <v>40</v>
      </c>
      <c r="I167" t="s">
        <v>19</v>
      </c>
      <c r="J167" t="e">
        <f>IF(Tabela4[[#This Row],[4Income]]="&lt;=50K",Tabela4[[#This Row],[4Age]],NA())</f>
        <v>#N/A</v>
      </c>
      <c r="K167" t="e">
        <f>IF(Tabela4[[#This Row],[4Income]]="&lt;=50K",Tabela4[[#This Row],[4hours-per-week]],NA())</f>
        <v>#N/A</v>
      </c>
      <c r="L167">
        <f>IF(Tabela4[[#This Row],[4Income]]="&gt;50K",Tabela4[[#This Row],[4Age]],NA())</f>
        <v>32</v>
      </c>
      <c r="M167">
        <f>IF(Tabela4[[#This Row],[4Income]]="&gt;50K",Tabela4[[#This Row],[4hours-per-week]],NA())</f>
        <v>40</v>
      </c>
    </row>
    <row r="168" spans="1:13">
      <c r="A168">
        <v>17</v>
      </c>
      <c r="B168">
        <v>20</v>
      </c>
      <c r="C168">
        <v>7</v>
      </c>
      <c r="D168">
        <v>20</v>
      </c>
      <c r="E168">
        <v>17</v>
      </c>
      <c r="F168">
        <v>7</v>
      </c>
      <c r="G168">
        <v>17</v>
      </c>
      <c r="H168">
        <v>20</v>
      </c>
      <c r="I168" t="s">
        <v>8</v>
      </c>
      <c r="J168">
        <f>IF(Tabela4[[#This Row],[4Income]]="&lt;=50K",Tabela4[[#This Row],[4Age]],NA())</f>
        <v>17</v>
      </c>
      <c r="K168">
        <f>IF(Tabela4[[#This Row],[4Income]]="&lt;=50K",Tabela4[[#This Row],[4hours-per-week]],NA())</f>
        <v>20</v>
      </c>
      <c r="L168" t="e">
        <f>IF(Tabela4[[#This Row],[4Income]]="&gt;50K",Tabela4[[#This Row],[4Age]],NA())</f>
        <v>#N/A</v>
      </c>
      <c r="M168" t="e">
        <f>IF(Tabela4[[#This Row],[4Income]]="&gt;50K",Tabela4[[#This Row],[4hours-per-week]],NA())</f>
        <v>#N/A</v>
      </c>
    </row>
    <row r="169" spans="1:13">
      <c r="A169">
        <v>23</v>
      </c>
      <c r="B169">
        <v>40</v>
      </c>
      <c r="C169">
        <v>9</v>
      </c>
      <c r="D169">
        <v>40</v>
      </c>
      <c r="E169">
        <v>23</v>
      </c>
      <c r="F169">
        <v>9</v>
      </c>
      <c r="G169">
        <v>23</v>
      </c>
      <c r="H169">
        <v>40</v>
      </c>
      <c r="I169" t="s">
        <v>8</v>
      </c>
      <c r="J169">
        <f>IF(Tabela4[[#This Row],[4Income]]="&lt;=50K",Tabela4[[#This Row],[4Age]],NA())</f>
        <v>23</v>
      </c>
      <c r="K169">
        <f>IF(Tabela4[[#This Row],[4Income]]="&lt;=50K",Tabela4[[#This Row],[4hours-per-week]],NA())</f>
        <v>40</v>
      </c>
      <c r="L169" t="e">
        <f>IF(Tabela4[[#This Row],[4Income]]="&gt;50K",Tabela4[[#This Row],[4Age]],NA())</f>
        <v>#N/A</v>
      </c>
      <c r="M169" t="e">
        <f>IF(Tabela4[[#This Row],[4Income]]="&gt;50K",Tabela4[[#This Row],[4hours-per-week]],NA())</f>
        <v>#N/A</v>
      </c>
    </row>
    <row r="170" spans="1:13">
      <c r="A170">
        <v>34</v>
      </c>
      <c r="B170">
        <v>60</v>
      </c>
      <c r="C170">
        <v>11</v>
      </c>
      <c r="D170">
        <v>60</v>
      </c>
      <c r="E170">
        <v>34</v>
      </c>
      <c r="F170">
        <v>11</v>
      </c>
      <c r="G170">
        <v>34</v>
      </c>
      <c r="H170">
        <v>60</v>
      </c>
      <c r="I170" t="s">
        <v>19</v>
      </c>
      <c r="J170" t="e">
        <f>IF(Tabela4[[#This Row],[4Income]]="&lt;=50K",Tabela4[[#This Row],[4Age]],NA())</f>
        <v>#N/A</v>
      </c>
      <c r="K170" t="e">
        <f>IF(Tabela4[[#This Row],[4Income]]="&lt;=50K",Tabela4[[#This Row],[4hours-per-week]],NA())</f>
        <v>#N/A</v>
      </c>
      <c r="L170">
        <f>IF(Tabela4[[#This Row],[4Income]]="&gt;50K",Tabela4[[#This Row],[4Age]],NA())</f>
        <v>34</v>
      </c>
      <c r="M170">
        <f>IF(Tabela4[[#This Row],[4Income]]="&gt;50K",Tabela4[[#This Row],[4hours-per-week]],NA())</f>
        <v>60</v>
      </c>
    </row>
    <row r="171" spans="1:13">
      <c r="A171">
        <v>48</v>
      </c>
      <c r="B171">
        <v>50</v>
      </c>
      <c r="C171">
        <v>13</v>
      </c>
      <c r="D171">
        <v>50</v>
      </c>
      <c r="E171">
        <v>48</v>
      </c>
      <c r="F171">
        <v>13</v>
      </c>
      <c r="G171">
        <v>48</v>
      </c>
      <c r="H171">
        <v>50</v>
      </c>
      <c r="I171" t="s">
        <v>19</v>
      </c>
      <c r="J171" t="e">
        <f>IF(Tabela4[[#This Row],[4Income]]="&lt;=50K",Tabela4[[#This Row],[4Age]],NA())</f>
        <v>#N/A</v>
      </c>
      <c r="K171" t="e">
        <f>IF(Tabela4[[#This Row],[4Income]]="&lt;=50K",Tabela4[[#This Row],[4hours-per-week]],NA())</f>
        <v>#N/A</v>
      </c>
      <c r="L171">
        <f>IF(Tabela4[[#This Row],[4Income]]="&gt;50K",Tabela4[[#This Row],[4Age]],NA())</f>
        <v>48</v>
      </c>
      <c r="M171">
        <f>IF(Tabela4[[#This Row],[4Income]]="&gt;50K",Tabela4[[#This Row],[4hours-per-week]],NA())</f>
        <v>50</v>
      </c>
    </row>
    <row r="172" spans="1:13">
      <c r="A172">
        <v>40</v>
      </c>
      <c r="B172">
        <v>50</v>
      </c>
      <c r="C172">
        <v>9</v>
      </c>
      <c r="D172">
        <v>50</v>
      </c>
      <c r="E172">
        <v>40</v>
      </c>
      <c r="F172">
        <v>9</v>
      </c>
      <c r="G172">
        <v>40</v>
      </c>
      <c r="H172">
        <v>50</v>
      </c>
      <c r="I172" t="s">
        <v>8</v>
      </c>
      <c r="J172">
        <f>IF(Tabela4[[#This Row],[4Income]]="&lt;=50K",Tabela4[[#This Row],[4Age]],NA())</f>
        <v>40</v>
      </c>
      <c r="K172">
        <f>IF(Tabela4[[#This Row],[4Income]]="&lt;=50K",Tabela4[[#This Row],[4hours-per-week]],NA())</f>
        <v>50</v>
      </c>
      <c r="L172" t="e">
        <f>IF(Tabela4[[#This Row],[4Income]]="&gt;50K",Tabela4[[#This Row],[4Age]],NA())</f>
        <v>#N/A</v>
      </c>
      <c r="M172" t="e">
        <f>IF(Tabela4[[#This Row],[4Income]]="&gt;50K",Tabela4[[#This Row],[4hours-per-week]],NA())</f>
        <v>#N/A</v>
      </c>
    </row>
    <row r="173" spans="1:13">
      <c r="A173">
        <v>21</v>
      </c>
      <c r="B173">
        <v>40</v>
      </c>
      <c r="C173">
        <v>10</v>
      </c>
      <c r="D173">
        <v>40</v>
      </c>
      <c r="E173">
        <v>21</v>
      </c>
      <c r="F173">
        <v>10</v>
      </c>
      <c r="G173">
        <v>21</v>
      </c>
      <c r="H173">
        <v>40</v>
      </c>
      <c r="I173" t="s">
        <v>8</v>
      </c>
      <c r="J173">
        <f>IF(Tabela4[[#This Row],[4Income]]="&lt;=50K",Tabela4[[#This Row],[4Age]],NA())</f>
        <v>21</v>
      </c>
      <c r="K173">
        <f>IF(Tabela4[[#This Row],[4Income]]="&lt;=50K",Tabela4[[#This Row],[4hours-per-week]],NA())</f>
        <v>40</v>
      </c>
      <c r="L173" t="e">
        <f>IF(Tabela4[[#This Row],[4Income]]="&gt;50K",Tabela4[[#This Row],[4Age]],NA())</f>
        <v>#N/A</v>
      </c>
      <c r="M173" t="e">
        <f>IF(Tabela4[[#This Row],[4Income]]="&gt;50K",Tabela4[[#This Row],[4hours-per-week]],NA())</f>
        <v>#N/A</v>
      </c>
    </row>
    <row r="174" spans="1:13">
      <c r="A174">
        <v>43</v>
      </c>
      <c r="B174">
        <v>40</v>
      </c>
      <c r="C174">
        <v>13</v>
      </c>
      <c r="D174">
        <v>40</v>
      </c>
      <c r="E174">
        <v>43</v>
      </c>
      <c r="F174">
        <v>13</v>
      </c>
      <c r="G174">
        <v>43</v>
      </c>
      <c r="H174">
        <v>40</v>
      </c>
      <c r="I174" t="s">
        <v>19</v>
      </c>
      <c r="J174" t="e">
        <f>IF(Tabela4[[#This Row],[4Income]]="&lt;=50K",Tabela4[[#This Row],[4Age]],NA())</f>
        <v>#N/A</v>
      </c>
      <c r="K174" t="e">
        <f>IF(Tabela4[[#This Row],[4Income]]="&lt;=50K",Tabela4[[#This Row],[4hours-per-week]],NA())</f>
        <v>#N/A</v>
      </c>
      <c r="L174">
        <f>IF(Tabela4[[#This Row],[4Income]]="&gt;50K",Tabela4[[#This Row],[4Age]],NA())</f>
        <v>43</v>
      </c>
      <c r="M174">
        <f>IF(Tabela4[[#This Row],[4Income]]="&gt;50K",Tabela4[[#This Row],[4hours-per-week]],NA())</f>
        <v>40</v>
      </c>
    </row>
    <row r="175" spans="1:13">
      <c r="A175">
        <v>39</v>
      </c>
      <c r="B175">
        <v>40</v>
      </c>
      <c r="C175">
        <v>13</v>
      </c>
      <c r="D175">
        <v>40</v>
      </c>
      <c r="E175">
        <v>39</v>
      </c>
      <c r="F175">
        <v>13</v>
      </c>
      <c r="G175">
        <v>39</v>
      </c>
      <c r="H175">
        <v>40</v>
      </c>
      <c r="I175" t="s">
        <v>8</v>
      </c>
      <c r="J175">
        <f>IF(Tabela4[[#This Row],[4Income]]="&lt;=50K",Tabela4[[#This Row],[4Age]],NA())</f>
        <v>39</v>
      </c>
      <c r="K175">
        <f>IF(Tabela4[[#This Row],[4Income]]="&lt;=50K",Tabela4[[#This Row],[4hours-per-week]],NA())</f>
        <v>40</v>
      </c>
      <c r="L175" t="e">
        <f>IF(Tabela4[[#This Row],[4Income]]="&gt;50K",Tabela4[[#This Row],[4Age]],NA())</f>
        <v>#N/A</v>
      </c>
      <c r="M175" t="e">
        <f>IF(Tabela4[[#This Row],[4Income]]="&gt;50K",Tabela4[[#This Row],[4hours-per-week]],NA())</f>
        <v>#N/A</v>
      </c>
    </row>
    <row r="176" spans="1:13">
      <c r="A176">
        <v>27</v>
      </c>
      <c r="B176">
        <v>40</v>
      </c>
      <c r="C176">
        <v>10</v>
      </c>
      <c r="D176">
        <v>40</v>
      </c>
      <c r="E176">
        <v>27</v>
      </c>
      <c r="F176">
        <v>10</v>
      </c>
      <c r="G176">
        <v>27</v>
      </c>
      <c r="H176">
        <v>40</v>
      </c>
      <c r="I176" t="s">
        <v>19</v>
      </c>
      <c r="J176" t="e">
        <f>IF(Tabela4[[#This Row],[4Income]]="&lt;=50K",Tabela4[[#This Row],[4Age]],NA())</f>
        <v>#N/A</v>
      </c>
      <c r="K176" t="e">
        <f>IF(Tabela4[[#This Row],[4Income]]="&lt;=50K",Tabela4[[#This Row],[4hours-per-week]],NA())</f>
        <v>#N/A</v>
      </c>
      <c r="L176">
        <f>IF(Tabela4[[#This Row],[4Income]]="&gt;50K",Tabela4[[#This Row],[4Age]],NA())</f>
        <v>27</v>
      </c>
      <c r="M176">
        <f>IF(Tabela4[[#This Row],[4Income]]="&gt;50K",Tabela4[[#This Row],[4hours-per-week]],NA())</f>
        <v>40</v>
      </c>
    </row>
    <row r="177" spans="1:13">
      <c r="A177">
        <v>17</v>
      </c>
      <c r="B177">
        <v>30</v>
      </c>
      <c r="C177">
        <v>6</v>
      </c>
      <c r="D177">
        <v>30</v>
      </c>
      <c r="E177">
        <v>17</v>
      </c>
      <c r="F177">
        <v>6</v>
      </c>
      <c r="G177">
        <v>17</v>
      </c>
      <c r="H177">
        <v>30</v>
      </c>
      <c r="I177" t="s">
        <v>8</v>
      </c>
      <c r="J177">
        <f>IF(Tabela4[[#This Row],[4Income]]="&lt;=50K",Tabela4[[#This Row],[4Age]],NA())</f>
        <v>17</v>
      </c>
      <c r="K177">
        <f>IF(Tabela4[[#This Row],[4Income]]="&lt;=50K",Tabela4[[#This Row],[4hours-per-week]],NA())</f>
        <v>30</v>
      </c>
      <c r="L177" t="e">
        <f>IF(Tabela4[[#This Row],[4Income]]="&gt;50K",Tabela4[[#This Row],[4Age]],NA())</f>
        <v>#N/A</v>
      </c>
      <c r="M177" t="e">
        <f>IF(Tabela4[[#This Row],[4Income]]="&gt;50K",Tabela4[[#This Row],[4hours-per-week]],NA())</f>
        <v>#N/A</v>
      </c>
    </row>
    <row r="178" spans="1:13">
      <c r="A178">
        <v>25</v>
      </c>
      <c r="B178">
        <v>35</v>
      </c>
      <c r="C178">
        <v>13</v>
      </c>
      <c r="D178">
        <v>35</v>
      </c>
      <c r="E178">
        <v>25</v>
      </c>
      <c r="F178">
        <v>13</v>
      </c>
      <c r="G178">
        <v>25</v>
      </c>
      <c r="H178">
        <v>35</v>
      </c>
      <c r="I178" t="s">
        <v>8</v>
      </c>
      <c r="J178">
        <f>IF(Tabela4[[#This Row],[4Income]]="&lt;=50K",Tabela4[[#This Row],[4Age]],NA())</f>
        <v>25</v>
      </c>
      <c r="K178">
        <f>IF(Tabela4[[#This Row],[4Income]]="&lt;=50K",Tabela4[[#This Row],[4hours-per-week]],NA())</f>
        <v>35</v>
      </c>
      <c r="L178" t="e">
        <f>IF(Tabela4[[#This Row],[4Income]]="&gt;50K",Tabela4[[#This Row],[4Age]],NA())</f>
        <v>#N/A</v>
      </c>
      <c r="M178" t="e">
        <f>IF(Tabela4[[#This Row],[4Income]]="&gt;50K",Tabela4[[#This Row],[4hours-per-week]],NA())</f>
        <v>#N/A</v>
      </c>
    </row>
    <row r="179" spans="1:13">
      <c r="A179">
        <v>33</v>
      </c>
      <c r="B179">
        <v>40</v>
      </c>
      <c r="C179">
        <v>11</v>
      </c>
      <c r="D179">
        <v>40</v>
      </c>
      <c r="E179">
        <v>33</v>
      </c>
      <c r="F179">
        <v>11</v>
      </c>
      <c r="G179">
        <v>33</v>
      </c>
      <c r="H179">
        <v>40</v>
      </c>
      <c r="I179" t="s">
        <v>8</v>
      </c>
      <c r="J179">
        <f>IF(Tabela4[[#This Row],[4Income]]="&lt;=50K",Tabela4[[#This Row],[4Age]],NA())</f>
        <v>33</v>
      </c>
      <c r="K179">
        <f>IF(Tabela4[[#This Row],[4Income]]="&lt;=50K",Tabela4[[#This Row],[4hours-per-week]],NA())</f>
        <v>40</v>
      </c>
      <c r="L179" t="e">
        <f>IF(Tabela4[[#This Row],[4Income]]="&gt;50K",Tabela4[[#This Row],[4Age]],NA())</f>
        <v>#N/A</v>
      </c>
      <c r="M179" t="e">
        <f>IF(Tabela4[[#This Row],[4Income]]="&gt;50K",Tabela4[[#This Row],[4hours-per-week]],NA())</f>
        <v>#N/A</v>
      </c>
    </row>
    <row r="180" spans="1:13">
      <c r="A180">
        <v>51</v>
      </c>
      <c r="B180">
        <v>80</v>
      </c>
      <c r="C180">
        <v>9</v>
      </c>
      <c r="D180">
        <v>80</v>
      </c>
      <c r="E180">
        <v>51</v>
      </c>
      <c r="F180">
        <v>9</v>
      </c>
      <c r="G180">
        <v>51</v>
      </c>
      <c r="H180">
        <v>80</v>
      </c>
      <c r="I180" t="s">
        <v>8</v>
      </c>
      <c r="J180">
        <f>IF(Tabela4[[#This Row],[4Income]]="&lt;=50K",Tabela4[[#This Row],[4Age]],NA())</f>
        <v>51</v>
      </c>
      <c r="K180">
        <f>IF(Tabela4[[#This Row],[4Income]]="&lt;=50K",Tabela4[[#This Row],[4hours-per-week]],NA())</f>
        <v>80</v>
      </c>
      <c r="L180" t="e">
        <f>IF(Tabela4[[#This Row],[4Income]]="&gt;50K",Tabela4[[#This Row],[4Age]],NA())</f>
        <v>#N/A</v>
      </c>
      <c r="M180" t="e">
        <f>IF(Tabela4[[#This Row],[4Income]]="&gt;50K",Tabela4[[#This Row],[4hours-per-week]],NA())</f>
        <v>#N/A</v>
      </c>
    </row>
    <row r="181" spans="1:13">
      <c r="A181">
        <v>27</v>
      </c>
      <c r="B181">
        <v>65</v>
      </c>
      <c r="C181">
        <v>9</v>
      </c>
      <c r="D181">
        <v>65</v>
      </c>
      <c r="E181">
        <v>27</v>
      </c>
      <c r="F181">
        <v>9</v>
      </c>
      <c r="G181">
        <v>27</v>
      </c>
      <c r="H181">
        <v>65</v>
      </c>
      <c r="I181" t="s">
        <v>19</v>
      </c>
      <c r="J181" t="e">
        <f>IF(Tabela4[[#This Row],[4Income]]="&lt;=50K",Tabela4[[#This Row],[4Age]],NA())</f>
        <v>#N/A</v>
      </c>
      <c r="K181" t="e">
        <f>IF(Tabela4[[#This Row],[4Income]]="&lt;=50K",Tabela4[[#This Row],[4hours-per-week]],NA())</f>
        <v>#N/A</v>
      </c>
      <c r="L181">
        <f>IF(Tabela4[[#This Row],[4Income]]="&gt;50K",Tabela4[[#This Row],[4Age]],NA())</f>
        <v>27</v>
      </c>
      <c r="M181">
        <f>IF(Tabela4[[#This Row],[4Income]]="&gt;50K",Tabela4[[#This Row],[4hours-per-week]],NA())</f>
        <v>65</v>
      </c>
    </row>
    <row r="182" spans="1:13">
      <c r="A182">
        <v>36</v>
      </c>
      <c r="B182">
        <v>40</v>
      </c>
      <c r="C182">
        <v>9</v>
      </c>
      <c r="D182">
        <v>40</v>
      </c>
      <c r="E182">
        <v>36</v>
      </c>
      <c r="F182">
        <v>9</v>
      </c>
      <c r="G182">
        <v>36</v>
      </c>
      <c r="H182">
        <v>40</v>
      </c>
      <c r="I182" t="s">
        <v>8</v>
      </c>
      <c r="J182">
        <f>IF(Tabela4[[#This Row],[4Income]]="&lt;=50K",Tabela4[[#This Row],[4Age]],NA())</f>
        <v>36</v>
      </c>
      <c r="K182">
        <f>IF(Tabela4[[#This Row],[4Income]]="&lt;=50K",Tabela4[[#This Row],[4hours-per-week]],NA())</f>
        <v>40</v>
      </c>
      <c r="L182" t="e">
        <f>IF(Tabela4[[#This Row],[4Income]]="&gt;50K",Tabela4[[#This Row],[4Age]],NA())</f>
        <v>#N/A</v>
      </c>
      <c r="M182" t="e">
        <f>IF(Tabela4[[#This Row],[4Income]]="&gt;50K",Tabela4[[#This Row],[4hours-per-week]],NA())</f>
        <v>#N/A</v>
      </c>
    </row>
    <row r="183" spans="1:13">
      <c r="A183">
        <v>52</v>
      </c>
      <c r="B183">
        <v>35</v>
      </c>
      <c r="C183">
        <v>6</v>
      </c>
      <c r="D183">
        <v>35</v>
      </c>
      <c r="E183">
        <v>52</v>
      </c>
      <c r="F183">
        <v>6</v>
      </c>
      <c r="G183">
        <v>52</v>
      </c>
      <c r="H183">
        <v>35</v>
      </c>
      <c r="I183" t="s">
        <v>8</v>
      </c>
      <c r="J183">
        <f>IF(Tabela4[[#This Row],[4Income]]="&lt;=50K",Tabela4[[#This Row],[4Age]],NA())</f>
        <v>52</v>
      </c>
      <c r="K183">
        <f>IF(Tabela4[[#This Row],[4Income]]="&lt;=50K",Tabela4[[#This Row],[4hours-per-week]],NA())</f>
        <v>35</v>
      </c>
      <c r="L183" t="e">
        <f>IF(Tabela4[[#This Row],[4Income]]="&gt;50K",Tabela4[[#This Row],[4Age]],NA())</f>
        <v>#N/A</v>
      </c>
      <c r="M183" t="e">
        <f>IF(Tabela4[[#This Row],[4Income]]="&gt;50K",Tabela4[[#This Row],[4hours-per-week]],NA())</f>
        <v>#N/A</v>
      </c>
    </row>
    <row r="184" spans="1:13">
      <c r="A184">
        <v>43</v>
      </c>
      <c r="B184">
        <v>40</v>
      </c>
      <c r="C184">
        <v>9</v>
      </c>
      <c r="D184">
        <v>40</v>
      </c>
      <c r="E184">
        <v>43</v>
      </c>
      <c r="F184">
        <v>9</v>
      </c>
      <c r="G184">
        <v>43</v>
      </c>
      <c r="H184">
        <v>40</v>
      </c>
      <c r="I184" t="s">
        <v>8</v>
      </c>
      <c r="J184">
        <f>IF(Tabela4[[#This Row],[4Income]]="&lt;=50K",Tabela4[[#This Row],[4Age]],NA())</f>
        <v>43</v>
      </c>
      <c r="K184">
        <f>IF(Tabela4[[#This Row],[4Income]]="&lt;=50K",Tabela4[[#This Row],[4hours-per-week]],NA())</f>
        <v>40</v>
      </c>
      <c r="L184" t="e">
        <f>IF(Tabela4[[#This Row],[4Income]]="&gt;50K",Tabela4[[#This Row],[4Age]],NA())</f>
        <v>#N/A</v>
      </c>
      <c r="M184" t="e">
        <f>IF(Tabela4[[#This Row],[4Income]]="&gt;50K",Tabela4[[#This Row],[4hours-per-week]],NA())</f>
        <v>#N/A</v>
      </c>
    </row>
    <row r="185" spans="1:13">
      <c r="A185">
        <v>56</v>
      </c>
      <c r="B185">
        <v>45</v>
      </c>
      <c r="C185">
        <v>13</v>
      </c>
      <c r="D185">
        <v>45</v>
      </c>
      <c r="E185">
        <v>56</v>
      </c>
      <c r="F185">
        <v>13</v>
      </c>
      <c r="G185">
        <v>56</v>
      </c>
      <c r="H185">
        <v>45</v>
      </c>
      <c r="I185" t="s">
        <v>19</v>
      </c>
      <c r="J185" t="e">
        <f>IF(Tabela4[[#This Row],[4Income]]="&lt;=50K",Tabela4[[#This Row],[4Age]],NA())</f>
        <v>#N/A</v>
      </c>
      <c r="K185" t="e">
        <f>IF(Tabela4[[#This Row],[4Income]]="&lt;=50K",Tabela4[[#This Row],[4hours-per-week]],NA())</f>
        <v>#N/A</v>
      </c>
      <c r="L185">
        <f>IF(Tabela4[[#This Row],[4Income]]="&gt;50K",Tabela4[[#This Row],[4Age]],NA())</f>
        <v>56</v>
      </c>
      <c r="M185">
        <f>IF(Tabela4[[#This Row],[4Income]]="&gt;50K",Tabela4[[#This Row],[4hours-per-week]],NA())</f>
        <v>45</v>
      </c>
    </row>
    <row r="186" spans="1:13">
      <c r="A186">
        <v>25</v>
      </c>
      <c r="B186">
        <v>44</v>
      </c>
      <c r="C186">
        <v>9</v>
      </c>
      <c r="D186">
        <v>44</v>
      </c>
      <c r="E186">
        <v>25</v>
      </c>
      <c r="F186">
        <v>9</v>
      </c>
      <c r="G186">
        <v>25</v>
      </c>
      <c r="H186">
        <v>44</v>
      </c>
      <c r="I186" t="s">
        <v>19</v>
      </c>
      <c r="J186" t="e">
        <f>IF(Tabela4[[#This Row],[4Income]]="&lt;=50K",Tabela4[[#This Row],[4Age]],NA())</f>
        <v>#N/A</v>
      </c>
      <c r="K186" t="e">
        <f>IF(Tabela4[[#This Row],[4Income]]="&lt;=50K",Tabela4[[#This Row],[4hours-per-week]],NA())</f>
        <v>#N/A</v>
      </c>
      <c r="L186">
        <f>IF(Tabela4[[#This Row],[4Income]]="&gt;50K",Tabela4[[#This Row],[4Age]],NA())</f>
        <v>25</v>
      </c>
      <c r="M186">
        <f>IF(Tabela4[[#This Row],[4Income]]="&gt;50K",Tabela4[[#This Row],[4hours-per-week]],NA())</f>
        <v>44</v>
      </c>
    </row>
    <row r="187" spans="1:13">
      <c r="A187">
        <v>55</v>
      </c>
      <c r="B187">
        <v>40</v>
      </c>
      <c r="C187">
        <v>9</v>
      </c>
      <c r="D187">
        <v>40</v>
      </c>
      <c r="E187">
        <v>55</v>
      </c>
      <c r="F187">
        <v>9</v>
      </c>
      <c r="G187">
        <v>55</v>
      </c>
      <c r="H187">
        <v>40</v>
      </c>
      <c r="I187" t="s">
        <v>8</v>
      </c>
      <c r="J187">
        <f>IF(Tabela4[[#This Row],[4Income]]="&lt;=50K",Tabela4[[#This Row],[4Age]],NA())</f>
        <v>55</v>
      </c>
      <c r="K187">
        <f>IF(Tabela4[[#This Row],[4Income]]="&lt;=50K",Tabela4[[#This Row],[4hours-per-week]],NA())</f>
        <v>40</v>
      </c>
      <c r="L187" t="e">
        <f>IF(Tabela4[[#This Row],[4Income]]="&gt;50K",Tabela4[[#This Row],[4Age]],NA())</f>
        <v>#N/A</v>
      </c>
      <c r="M187" t="e">
        <f>IF(Tabela4[[#This Row],[4Income]]="&gt;50K",Tabela4[[#This Row],[4hours-per-week]],NA())</f>
        <v>#N/A</v>
      </c>
    </row>
    <row r="188" spans="1:13">
      <c r="A188">
        <v>37</v>
      </c>
      <c r="B188">
        <v>40</v>
      </c>
      <c r="C188">
        <v>9</v>
      </c>
      <c r="D188">
        <v>40</v>
      </c>
      <c r="E188">
        <v>37</v>
      </c>
      <c r="F188">
        <v>9</v>
      </c>
      <c r="G188">
        <v>37</v>
      </c>
      <c r="H188">
        <v>40</v>
      </c>
      <c r="I188" t="s">
        <v>8</v>
      </c>
      <c r="J188">
        <f>IF(Tabela4[[#This Row],[4Income]]="&lt;=50K",Tabela4[[#This Row],[4Age]],NA())</f>
        <v>37</v>
      </c>
      <c r="K188">
        <f>IF(Tabela4[[#This Row],[4Income]]="&lt;=50K",Tabela4[[#This Row],[4hours-per-week]],NA())</f>
        <v>40</v>
      </c>
      <c r="L188" t="e">
        <f>IF(Tabela4[[#This Row],[4Income]]="&gt;50K",Tabela4[[#This Row],[4Age]],NA())</f>
        <v>#N/A</v>
      </c>
      <c r="M188" t="e">
        <f>IF(Tabela4[[#This Row],[4Income]]="&gt;50K",Tabela4[[#This Row],[4hours-per-week]],NA())</f>
        <v>#N/A</v>
      </c>
    </row>
    <row r="189" spans="1:13">
      <c r="A189">
        <v>34</v>
      </c>
      <c r="B189">
        <v>40</v>
      </c>
      <c r="C189">
        <v>10</v>
      </c>
      <c r="D189">
        <v>40</v>
      </c>
      <c r="E189">
        <v>34</v>
      </c>
      <c r="F189">
        <v>10</v>
      </c>
      <c r="G189">
        <v>34</v>
      </c>
      <c r="H189">
        <v>40</v>
      </c>
      <c r="I189" t="s">
        <v>19</v>
      </c>
      <c r="J189" t="e">
        <f>IF(Tabela4[[#This Row],[4Income]]="&lt;=50K",Tabela4[[#This Row],[4Age]],NA())</f>
        <v>#N/A</v>
      </c>
      <c r="K189" t="e">
        <f>IF(Tabela4[[#This Row],[4Income]]="&lt;=50K",Tabela4[[#This Row],[4hours-per-week]],NA())</f>
        <v>#N/A</v>
      </c>
      <c r="L189">
        <f>IF(Tabela4[[#This Row],[4Income]]="&gt;50K",Tabela4[[#This Row],[4Age]],NA())</f>
        <v>34</v>
      </c>
      <c r="M189">
        <f>IF(Tabela4[[#This Row],[4Income]]="&gt;50K",Tabela4[[#This Row],[4hours-per-week]],NA())</f>
        <v>40</v>
      </c>
    </row>
    <row r="190" spans="1:13">
      <c r="A190">
        <v>27</v>
      </c>
      <c r="B190">
        <v>45</v>
      </c>
      <c r="C190">
        <v>7</v>
      </c>
      <c r="D190">
        <v>45</v>
      </c>
      <c r="E190">
        <v>27</v>
      </c>
      <c r="F190">
        <v>7</v>
      </c>
      <c r="G190">
        <v>27</v>
      </c>
      <c r="H190">
        <v>45</v>
      </c>
      <c r="I190" t="s">
        <v>8</v>
      </c>
      <c r="J190">
        <f>IF(Tabela4[[#This Row],[4Income]]="&lt;=50K",Tabela4[[#This Row],[4Age]],NA())</f>
        <v>27</v>
      </c>
      <c r="K190">
        <f>IF(Tabela4[[#This Row],[4Income]]="&lt;=50K",Tabela4[[#This Row],[4hours-per-week]],NA())</f>
        <v>45</v>
      </c>
      <c r="L190" t="e">
        <f>IF(Tabela4[[#This Row],[4Income]]="&gt;50K",Tabela4[[#This Row],[4Age]],NA())</f>
        <v>#N/A</v>
      </c>
      <c r="M190" t="e">
        <f>IF(Tabela4[[#This Row],[4Income]]="&gt;50K",Tabela4[[#This Row],[4hours-per-week]],NA())</f>
        <v>#N/A</v>
      </c>
    </row>
    <row r="191" spans="1:13">
      <c r="A191">
        <v>50</v>
      </c>
      <c r="B191">
        <v>40</v>
      </c>
      <c r="C191">
        <v>9</v>
      </c>
      <c r="D191">
        <v>40</v>
      </c>
      <c r="E191">
        <v>50</v>
      </c>
      <c r="F191">
        <v>9</v>
      </c>
      <c r="G191">
        <v>50</v>
      </c>
      <c r="H191">
        <v>40</v>
      </c>
      <c r="I191" t="s">
        <v>19</v>
      </c>
      <c r="J191" t="e">
        <f>IF(Tabela4[[#This Row],[4Income]]="&lt;=50K",Tabela4[[#This Row],[4Age]],NA())</f>
        <v>#N/A</v>
      </c>
      <c r="K191" t="e">
        <f>IF(Tabela4[[#This Row],[4Income]]="&lt;=50K",Tabela4[[#This Row],[4hours-per-week]],NA())</f>
        <v>#N/A</v>
      </c>
      <c r="L191">
        <f>IF(Tabela4[[#This Row],[4Income]]="&gt;50K",Tabela4[[#This Row],[4Age]],NA())</f>
        <v>50</v>
      </c>
      <c r="M191">
        <f>IF(Tabela4[[#This Row],[4Income]]="&gt;50K",Tabela4[[#This Row],[4hours-per-week]],NA())</f>
        <v>40</v>
      </c>
    </row>
    <row r="192" spans="1:13">
      <c r="A192">
        <v>34</v>
      </c>
      <c r="B192">
        <v>60</v>
      </c>
      <c r="C192">
        <v>9</v>
      </c>
      <c r="D192">
        <v>60</v>
      </c>
      <c r="E192">
        <v>34</v>
      </c>
      <c r="F192">
        <v>9</v>
      </c>
      <c r="G192">
        <v>34</v>
      </c>
      <c r="H192">
        <v>60</v>
      </c>
      <c r="I192" t="s">
        <v>8</v>
      </c>
      <c r="J192">
        <f>IF(Tabela4[[#This Row],[4Income]]="&lt;=50K",Tabela4[[#This Row],[4Age]],NA())</f>
        <v>34</v>
      </c>
      <c r="K192">
        <f>IF(Tabela4[[#This Row],[4Income]]="&lt;=50K",Tabela4[[#This Row],[4hours-per-week]],NA())</f>
        <v>60</v>
      </c>
      <c r="L192" t="e">
        <f>IF(Tabela4[[#This Row],[4Income]]="&gt;50K",Tabela4[[#This Row],[4Age]],NA())</f>
        <v>#N/A</v>
      </c>
      <c r="M192" t="e">
        <f>IF(Tabela4[[#This Row],[4Income]]="&gt;50K",Tabela4[[#This Row],[4hours-per-week]],NA())</f>
        <v>#N/A</v>
      </c>
    </row>
    <row r="193" spans="1:13">
      <c r="A193">
        <v>20</v>
      </c>
      <c r="B193">
        <v>12</v>
      </c>
      <c r="C193">
        <v>10</v>
      </c>
      <c r="D193">
        <v>12</v>
      </c>
      <c r="E193">
        <v>20</v>
      </c>
      <c r="F193">
        <v>10</v>
      </c>
      <c r="G193">
        <v>20</v>
      </c>
      <c r="H193">
        <v>12</v>
      </c>
      <c r="I193" t="s">
        <v>8</v>
      </c>
      <c r="J193">
        <f>IF(Tabela4[[#This Row],[4Income]]="&lt;=50K",Tabela4[[#This Row],[4Age]],NA())</f>
        <v>20</v>
      </c>
      <c r="K193">
        <f>IF(Tabela4[[#This Row],[4Income]]="&lt;=50K",Tabela4[[#This Row],[4hours-per-week]],NA())</f>
        <v>12</v>
      </c>
      <c r="L193" t="e">
        <f>IF(Tabela4[[#This Row],[4Income]]="&gt;50K",Tabela4[[#This Row],[4Age]],NA())</f>
        <v>#N/A</v>
      </c>
      <c r="M193" t="e">
        <f>IF(Tabela4[[#This Row],[4Income]]="&gt;50K",Tabela4[[#This Row],[4hours-per-week]],NA())</f>
        <v>#N/A</v>
      </c>
    </row>
    <row r="194" spans="1:13">
      <c r="A194">
        <v>41</v>
      </c>
      <c r="B194">
        <v>40</v>
      </c>
      <c r="C194">
        <v>16</v>
      </c>
      <c r="D194">
        <v>40</v>
      </c>
      <c r="E194">
        <v>41</v>
      </c>
      <c r="F194">
        <v>16</v>
      </c>
      <c r="G194">
        <v>41</v>
      </c>
      <c r="H194">
        <v>40</v>
      </c>
      <c r="I194" t="s">
        <v>19</v>
      </c>
      <c r="J194" t="e">
        <f>IF(Tabela4[[#This Row],[4Income]]="&lt;=50K",Tabela4[[#This Row],[4Age]],NA())</f>
        <v>#N/A</v>
      </c>
      <c r="K194" t="e">
        <f>IF(Tabela4[[#This Row],[4Income]]="&lt;=50K",Tabela4[[#This Row],[4hours-per-week]],NA())</f>
        <v>#N/A</v>
      </c>
      <c r="L194">
        <f>IF(Tabela4[[#This Row],[4Income]]="&gt;50K",Tabela4[[#This Row],[4Age]],NA())</f>
        <v>41</v>
      </c>
      <c r="M194">
        <f>IF(Tabela4[[#This Row],[4Income]]="&gt;50K",Tabela4[[#This Row],[4hours-per-week]],NA())</f>
        <v>40</v>
      </c>
    </row>
    <row r="195" spans="1:13">
      <c r="A195">
        <v>38</v>
      </c>
      <c r="B195">
        <v>56</v>
      </c>
      <c r="C195">
        <v>4</v>
      </c>
      <c r="D195">
        <v>56</v>
      </c>
      <c r="E195">
        <v>38</v>
      </c>
      <c r="F195">
        <v>4</v>
      </c>
      <c r="G195">
        <v>38</v>
      </c>
      <c r="H195">
        <v>56</v>
      </c>
      <c r="I195" t="s">
        <v>8</v>
      </c>
      <c r="J195">
        <f>IF(Tabela4[[#This Row],[4Income]]="&lt;=50K",Tabela4[[#This Row],[4Age]],NA())</f>
        <v>38</v>
      </c>
      <c r="K195">
        <f>IF(Tabela4[[#This Row],[4Income]]="&lt;=50K",Tabela4[[#This Row],[4hours-per-week]],NA())</f>
        <v>56</v>
      </c>
      <c r="L195" t="e">
        <f>IF(Tabela4[[#This Row],[4Income]]="&gt;50K",Tabela4[[#This Row],[4Age]],NA())</f>
        <v>#N/A</v>
      </c>
      <c r="M195" t="e">
        <f>IF(Tabela4[[#This Row],[4Income]]="&gt;50K",Tabela4[[#This Row],[4hours-per-week]],NA())</f>
        <v>#N/A</v>
      </c>
    </row>
    <row r="196" spans="1:13">
      <c r="A196">
        <v>39</v>
      </c>
      <c r="B196">
        <v>25</v>
      </c>
      <c r="C196">
        <v>5</v>
      </c>
      <c r="D196">
        <v>25</v>
      </c>
      <c r="E196">
        <v>39</v>
      </c>
      <c r="F196">
        <v>5</v>
      </c>
      <c r="G196">
        <v>39</v>
      </c>
      <c r="H196">
        <v>25</v>
      </c>
      <c r="I196" t="s">
        <v>8</v>
      </c>
      <c r="J196">
        <f>IF(Tabela4[[#This Row],[4Income]]="&lt;=50K",Tabela4[[#This Row],[4Age]],NA())</f>
        <v>39</v>
      </c>
      <c r="K196">
        <f>IF(Tabela4[[#This Row],[4Income]]="&lt;=50K",Tabela4[[#This Row],[4hours-per-week]],NA())</f>
        <v>25</v>
      </c>
      <c r="L196" t="e">
        <f>IF(Tabela4[[#This Row],[4Income]]="&gt;50K",Tabela4[[#This Row],[4Age]],NA())</f>
        <v>#N/A</v>
      </c>
      <c r="M196" t="e">
        <f>IF(Tabela4[[#This Row],[4Income]]="&gt;50K",Tabela4[[#This Row],[4hours-per-week]],NA())</f>
        <v>#N/A</v>
      </c>
    </row>
    <row r="197" spans="1:13">
      <c r="A197">
        <v>36</v>
      </c>
      <c r="B197">
        <v>45</v>
      </c>
      <c r="C197">
        <v>9</v>
      </c>
      <c r="D197">
        <v>45</v>
      </c>
      <c r="E197">
        <v>36</v>
      </c>
      <c r="F197">
        <v>9</v>
      </c>
      <c r="G197">
        <v>36</v>
      </c>
      <c r="H197">
        <v>45</v>
      </c>
      <c r="I197" t="s">
        <v>8</v>
      </c>
      <c r="J197">
        <f>IF(Tabela4[[#This Row],[4Income]]="&lt;=50K",Tabela4[[#This Row],[4Age]],NA())</f>
        <v>36</v>
      </c>
      <c r="K197">
        <f>IF(Tabela4[[#This Row],[4Income]]="&lt;=50K",Tabela4[[#This Row],[4hours-per-week]],NA())</f>
        <v>45</v>
      </c>
      <c r="L197" t="e">
        <f>IF(Tabela4[[#This Row],[4Income]]="&gt;50K",Tabela4[[#This Row],[4Age]],NA())</f>
        <v>#N/A</v>
      </c>
      <c r="M197" t="e">
        <f>IF(Tabela4[[#This Row],[4Income]]="&gt;50K",Tabela4[[#This Row],[4hours-per-week]],NA())</f>
        <v>#N/A</v>
      </c>
    </row>
    <row r="198" spans="1:13">
      <c r="A198">
        <v>64</v>
      </c>
      <c r="B198">
        <v>35</v>
      </c>
      <c r="C198">
        <v>9</v>
      </c>
      <c r="D198">
        <v>35</v>
      </c>
      <c r="E198">
        <v>64</v>
      </c>
      <c r="F198">
        <v>9</v>
      </c>
      <c r="G198">
        <v>64</v>
      </c>
      <c r="H198">
        <v>35</v>
      </c>
      <c r="I198" t="s">
        <v>8</v>
      </c>
      <c r="J198">
        <f>IF(Tabela4[[#This Row],[4Income]]="&lt;=50K",Tabela4[[#This Row],[4Age]],NA())</f>
        <v>64</v>
      </c>
      <c r="K198">
        <f>IF(Tabela4[[#This Row],[4Income]]="&lt;=50K",Tabela4[[#This Row],[4hours-per-week]],NA())</f>
        <v>35</v>
      </c>
      <c r="L198" t="e">
        <f>IF(Tabela4[[#This Row],[4Income]]="&gt;50K",Tabela4[[#This Row],[4Age]],NA())</f>
        <v>#N/A</v>
      </c>
      <c r="M198" t="e">
        <f>IF(Tabela4[[#This Row],[4Income]]="&gt;50K",Tabela4[[#This Row],[4hours-per-week]],NA())</f>
        <v>#N/A</v>
      </c>
    </row>
    <row r="199" spans="1:13">
      <c r="A199">
        <v>18</v>
      </c>
      <c r="B199">
        <v>56</v>
      </c>
      <c r="C199">
        <v>6</v>
      </c>
      <c r="D199">
        <v>56</v>
      </c>
      <c r="E199">
        <v>18</v>
      </c>
      <c r="F199">
        <v>6</v>
      </c>
      <c r="G199">
        <v>18</v>
      </c>
      <c r="H199">
        <v>56</v>
      </c>
      <c r="I199" t="s">
        <v>8</v>
      </c>
      <c r="J199">
        <f>IF(Tabela4[[#This Row],[4Income]]="&lt;=50K",Tabela4[[#This Row],[4Age]],NA())</f>
        <v>18</v>
      </c>
      <c r="K199">
        <f>IF(Tabela4[[#This Row],[4Income]]="&lt;=50K",Tabela4[[#This Row],[4hours-per-week]],NA())</f>
        <v>56</v>
      </c>
      <c r="L199" t="e">
        <f>IF(Tabela4[[#This Row],[4Income]]="&gt;50K",Tabela4[[#This Row],[4Age]],NA())</f>
        <v>#N/A</v>
      </c>
      <c r="M199" t="e">
        <f>IF(Tabela4[[#This Row],[4Income]]="&gt;50K",Tabela4[[#This Row],[4hours-per-week]],NA())</f>
        <v>#N/A</v>
      </c>
    </row>
    <row r="200" spans="1:13">
      <c r="A200">
        <v>46</v>
      </c>
      <c r="B200">
        <v>40</v>
      </c>
      <c r="C200">
        <v>9</v>
      </c>
      <c r="D200">
        <v>40</v>
      </c>
      <c r="E200">
        <v>46</v>
      </c>
      <c r="F200">
        <v>9</v>
      </c>
      <c r="G200">
        <v>46</v>
      </c>
      <c r="H200">
        <v>40</v>
      </c>
      <c r="I200" t="s">
        <v>8</v>
      </c>
      <c r="J200">
        <f>IF(Tabela4[[#This Row],[4Income]]="&lt;=50K",Tabela4[[#This Row],[4Age]],NA())</f>
        <v>46</v>
      </c>
      <c r="K200">
        <f>IF(Tabela4[[#This Row],[4Income]]="&lt;=50K",Tabela4[[#This Row],[4hours-per-week]],NA())</f>
        <v>40</v>
      </c>
      <c r="L200" t="e">
        <f>IF(Tabela4[[#This Row],[4Income]]="&gt;50K",Tabela4[[#This Row],[4Age]],NA())</f>
        <v>#N/A</v>
      </c>
      <c r="M200" t="e">
        <f>IF(Tabela4[[#This Row],[4Income]]="&gt;50K",Tabela4[[#This Row],[4hours-per-week]],NA())</f>
        <v>#N/A</v>
      </c>
    </row>
    <row r="201" spans="1:13">
      <c r="A201">
        <v>18</v>
      </c>
      <c r="B201">
        <v>35</v>
      </c>
      <c r="C201">
        <v>10</v>
      </c>
      <c r="D201">
        <v>35</v>
      </c>
      <c r="E201">
        <v>18</v>
      </c>
      <c r="F201">
        <v>10</v>
      </c>
      <c r="G201">
        <v>18</v>
      </c>
      <c r="H201">
        <v>35</v>
      </c>
      <c r="I201" t="s">
        <v>8</v>
      </c>
      <c r="J201">
        <f>IF(Tabela4[[#This Row],[4Income]]="&lt;=50K",Tabela4[[#This Row],[4Age]],NA())</f>
        <v>18</v>
      </c>
      <c r="K201">
        <f>IF(Tabela4[[#This Row],[4Income]]="&lt;=50K",Tabela4[[#This Row],[4hours-per-week]],NA())</f>
        <v>35</v>
      </c>
      <c r="L201" t="e">
        <f>IF(Tabela4[[#This Row],[4Income]]="&gt;50K",Tabela4[[#This Row],[4Age]],NA())</f>
        <v>#N/A</v>
      </c>
      <c r="M201" t="e">
        <f>IF(Tabela4[[#This Row],[4Income]]="&gt;50K",Tabela4[[#This Row],[4hours-per-week]],NA())</f>
        <v>#N/A</v>
      </c>
    </row>
    <row r="202" spans="1:13">
      <c r="A202">
        <v>63</v>
      </c>
      <c r="B202">
        <v>40</v>
      </c>
      <c r="C202">
        <v>9</v>
      </c>
      <c r="D202">
        <v>40</v>
      </c>
      <c r="E202">
        <v>63</v>
      </c>
      <c r="F202">
        <v>9</v>
      </c>
      <c r="G202">
        <v>63</v>
      </c>
      <c r="H202">
        <v>40</v>
      </c>
      <c r="I202" t="s">
        <v>8</v>
      </c>
      <c r="J202">
        <f>IF(Tabela4[[#This Row],[4Income]]="&lt;=50K",Tabela4[[#This Row],[4Age]],NA())</f>
        <v>63</v>
      </c>
      <c r="K202">
        <f>IF(Tabela4[[#This Row],[4Income]]="&lt;=50K",Tabela4[[#This Row],[4hours-per-week]],NA())</f>
        <v>40</v>
      </c>
      <c r="L202" t="e">
        <f>IF(Tabela4[[#This Row],[4Income]]="&gt;50K",Tabela4[[#This Row],[4Age]],NA())</f>
        <v>#N/A</v>
      </c>
      <c r="M202" t="e">
        <f>IF(Tabela4[[#This Row],[4Income]]="&gt;50K",Tabela4[[#This Row],[4hours-per-week]],NA())</f>
        <v>#N/A</v>
      </c>
    </row>
    <row r="203" spans="1:13">
      <c r="A203">
        <v>56</v>
      </c>
      <c r="B203">
        <v>40</v>
      </c>
      <c r="C203">
        <v>13</v>
      </c>
      <c r="D203">
        <v>40</v>
      </c>
      <c r="E203">
        <v>56</v>
      </c>
      <c r="F203">
        <v>13</v>
      </c>
      <c r="G203">
        <v>56</v>
      </c>
      <c r="H203">
        <v>40</v>
      </c>
      <c r="I203" t="s">
        <v>8</v>
      </c>
      <c r="J203">
        <f>IF(Tabela4[[#This Row],[4Income]]="&lt;=50K",Tabela4[[#This Row],[4Age]],NA())</f>
        <v>56</v>
      </c>
      <c r="K203">
        <f>IF(Tabela4[[#This Row],[4Income]]="&lt;=50K",Tabela4[[#This Row],[4hours-per-week]],NA())</f>
        <v>40</v>
      </c>
      <c r="L203" t="e">
        <f>IF(Tabela4[[#This Row],[4Income]]="&gt;50K",Tabela4[[#This Row],[4Age]],NA())</f>
        <v>#N/A</v>
      </c>
      <c r="M203" t="e">
        <f>IF(Tabela4[[#This Row],[4Income]]="&gt;50K",Tabela4[[#This Row],[4hours-per-week]],NA())</f>
        <v>#N/A</v>
      </c>
    </row>
    <row r="204" spans="1:13">
      <c r="A204">
        <v>59</v>
      </c>
      <c r="B204">
        <v>50</v>
      </c>
      <c r="C204">
        <v>10</v>
      </c>
      <c r="D204">
        <v>50</v>
      </c>
      <c r="E204">
        <v>59</v>
      </c>
      <c r="F204">
        <v>10</v>
      </c>
      <c r="G204">
        <v>59</v>
      </c>
      <c r="H204">
        <v>50</v>
      </c>
      <c r="I204" t="s">
        <v>19</v>
      </c>
      <c r="J204" t="e">
        <f>IF(Tabela4[[#This Row],[4Income]]="&lt;=50K",Tabela4[[#This Row],[4Age]],NA())</f>
        <v>#N/A</v>
      </c>
      <c r="K204" t="e">
        <f>IF(Tabela4[[#This Row],[4Income]]="&lt;=50K",Tabela4[[#This Row],[4hours-per-week]],NA())</f>
        <v>#N/A</v>
      </c>
      <c r="L204">
        <f>IF(Tabela4[[#This Row],[4Income]]="&gt;50K",Tabela4[[#This Row],[4Age]],NA())</f>
        <v>59</v>
      </c>
      <c r="M204">
        <f>IF(Tabela4[[#This Row],[4Income]]="&gt;50K",Tabela4[[#This Row],[4hours-per-week]],NA())</f>
        <v>50</v>
      </c>
    </row>
    <row r="205" spans="1:13">
      <c r="A205">
        <v>37</v>
      </c>
      <c r="B205">
        <v>53</v>
      </c>
      <c r="C205">
        <v>2</v>
      </c>
      <c r="D205">
        <v>53</v>
      </c>
      <c r="E205">
        <v>37</v>
      </c>
      <c r="F205">
        <v>2</v>
      </c>
      <c r="G205">
        <v>37</v>
      </c>
      <c r="H205">
        <v>53</v>
      </c>
      <c r="I205" t="s">
        <v>8</v>
      </c>
      <c r="J205">
        <f>IF(Tabela4[[#This Row],[4Income]]="&lt;=50K",Tabela4[[#This Row],[4Age]],NA())</f>
        <v>37</v>
      </c>
      <c r="K205">
        <f>IF(Tabela4[[#This Row],[4Income]]="&lt;=50K",Tabela4[[#This Row],[4hours-per-week]],NA())</f>
        <v>53</v>
      </c>
      <c r="L205" t="e">
        <f>IF(Tabela4[[#This Row],[4Income]]="&gt;50K",Tabela4[[#This Row],[4Age]],NA())</f>
        <v>#N/A</v>
      </c>
      <c r="M205" t="e">
        <f>IF(Tabela4[[#This Row],[4Income]]="&gt;50K",Tabela4[[#This Row],[4hours-per-week]],NA())</f>
        <v>#N/A</v>
      </c>
    </row>
    <row r="206" spans="1:13">
      <c r="A206">
        <v>21</v>
      </c>
      <c r="B206">
        <v>40</v>
      </c>
      <c r="C206">
        <v>9</v>
      </c>
      <c r="D206">
        <v>40</v>
      </c>
      <c r="E206">
        <v>21</v>
      </c>
      <c r="F206">
        <v>9</v>
      </c>
      <c r="G206">
        <v>21</v>
      </c>
      <c r="H206">
        <v>40</v>
      </c>
      <c r="I206" t="s">
        <v>8</v>
      </c>
      <c r="J206">
        <f>IF(Tabela4[[#This Row],[4Income]]="&lt;=50K",Tabela4[[#This Row],[4Age]],NA())</f>
        <v>21</v>
      </c>
      <c r="K206">
        <f>IF(Tabela4[[#This Row],[4Income]]="&lt;=50K",Tabela4[[#This Row],[4hours-per-week]],NA())</f>
        <v>40</v>
      </c>
      <c r="L206" t="e">
        <f>IF(Tabela4[[#This Row],[4Income]]="&gt;50K",Tabela4[[#This Row],[4Age]],NA())</f>
        <v>#N/A</v>
      </c>
      <c r="M206" t="e">
        <f>IF(Tabela4[[#This Row],[4Income]]="&gt;50K",Tabela4[[#This Row],[4hours-per-week]],NA())</f>
        <v>#N/A</v>
      </c>
    </row>
    <row r="207" spans="1:13">
      <c r="A207">
        <v>23</v>
      </c>
      <c r="B207">
        <v>40</v>
      </c>
      <c r="C207">
        <v>12</v>
      </c>
      <c r="D207">
        <v>40</v>
      </c>
      <c r="E207">
        <v>23</v>
      </c>
      <c r="F207">
        <v>12</v>
      </c>
      <c r="G207">
        <v>23</v>
      </c>
      <c r="H207">
        <v>40</v>
      </c>
      <c r="I207" t="s">
        <v>8</v>
      </c>
      <c r="J207">
        <f>IF(Tabela4[[#This Row],[4Income]]="&lt;=50K",Tabela4[[#This Row],[4Age]],NA())</f>
        <v>23</v>
      </c>
      <c r="K207">
        <f>IF(Tabela4[[#This Row],[4Income]]="&lt;=50K",Tabela4[[#This Row],[4hours-per-week]],NA())</f>
        <v>40</v>
      </c>
      <c r="L207" t="e">
        <f>IF(Tabela4[[#This Row],[4Income]]="&gt;50K",Tabela4[[#This Row],[4Age]],NA())</f>
        <v>#N/A</v>
      </c>
      <c r="M207" t="e">
        <f>IF(Tabela4[[#This Row],[4Income]]="&gt;50K",Tabela4[[#This Row],[4hours-per-week]],NA())</f>
        <v>#N/A</v>
      </c>
    </row>
    <row r="208" spans="1:13">
      <c r="A208">
        <v>30</v>
      </c>
      <c r="B208">
        <v>70</v>
      </c>
      <c r="C208">
        <v>13</v>
      </c>
      <c r="D208">
        <v>70</v>
      </c>
      <c r="E208">
        <v>30</v>
      </c>
      <c r="F208">
        <v>13</v>
      </c>
      <c r="G208">
        <v>30</v>
      </c>
      <c r="H208">
        <v>70</v>
      </c>
      <c r="I208" t="s">
        <v>8</v>
      </c>
      <c r="J208">
        <f>IF(Tabela4[[#This Row],[4Income]]="&lt;=50K",Tabela4[[#This Row],[4Age]],NA())</f>
        <v>30</v>
      </c>
      <c r="K208">
        <f>IF(Tabela4[[#This Row],[4Income]]="&lt;=50K",Tabela4[[#This Row],[4hours-per-week]],NA())</f>
        <v>70</v>
      </c>
      <c r="L208" t="e">
        <f>IF(Tabela4[[#This Row],[4Income]]="&gt;50K",Tabela4[[#This Row],[4Age]],NA())</f>
        <v>#N/A</v>
      </c>
      <c r="M208" t="e">
        <f>IF(Tabela4[[#This Row],[4Income]]="&gt;50K",Tabela4[[#This Row],[4hours-per-week]],NA())</f>
        <v>#N/A</v>
      </c>
    </row>
    <row r="209" spans="1:13">
      <c r="A209">
        <v>42</v>
      </c>
      <c r="B209">
        <v>40</v>
      </c>
      <c r="C209">
        <v>13</v>
      </c>
      <c r="D209">
        <v>40</v>
      </c>
      <c r="E209">
        <v>42</v>
      </c>
      <c r="F209">
        <v>13</v>
      </c>
      <c r="G209">
        <v>42</v>
      </c>
      <c r="H209">
        <v>40</v>
      </c>
      <c r="I209" t="s">
        <v>8</v>
      </c>
      <c r="J209">
        <f>IF(Tabela4[[#This Row],[4Income]]="&lt;=50K",Tabela4[[#This Row],[4Age]],NA())</f>
        <v>42</v>
      </c>
      <c r="K209">
        <f>IF(Tabela4[[#This Row],[4Income]]="&lt;=50K",Tabela4[[#This Row],[4hours-per-week]],NA())</f>
        <v>40</v>
      </c>
      <c r="L209" t="e">
        <f>IF(Tabela4[[#This Row],[4Income]]="&gt;50K",Tabela4[[#This Row],[4Age]],NA())</f>
        <v>#N/A</v>
      </c>
      <c r="M209" t="e">
        <f>IF(Tabela4[[#This Row],[4Income]]="&gt;50K",Tabela4[[#This Row],[4hours-per-week]],NA())</f>
        <v>#N/A</v>
      </c>
    </row>
    <row r="210" spans="1:13">
      <c r="A210">
        <v>48</v>
      </c>
      <c r="B210">
        <v>60</v>
      </c>
      <c r="C210">
        <v>10</v>
      </c>
      <c r="D210">
        <v>60</v>
      </c>
      <c r="E210">
        <v>48</v>
      </c>
      <c r="F210">
        <v>10</v>
      </c>
      <c r="G210">
        <v>48</v>
      </c>
      <c r="H210">
        <v>60</v>
      </c>
      <c r="I210" t="s">
        <v>19</v>
      </c>
      <c r="J210" t="e">
        <f>IF(Tabela4[[#This Row],[4Income]]="&lt;=50K",Tabela4[[#This Row],[4Age]],NA())</f>
        <v>#N/A</v>
      </c>
      <c r="K210" t="e">
        <f>IF(Tabela4[[#This Row],[4Income]]="&lt;=50K",Tabela4[[#This Row],[4hours-per-week]],NA())</f>
        <v>#N/A</v>
      </c>
      <c r="L210">
        <f>IF(Tabela4[[#This Row],[4Income]]="&gt;50K",Tabela4[[#This Row],[4Age]],NA())</f>
        <v>48</v>
      </c>
      <c r="M210">
        <f>IF(Tabela4[[#This Row],[4Income]]="&gt;50K",Tabela4[[#This Row],[4hours-per-week]],NA())</f>
        <v>60</v>
      </c>
    </row>
    <row r="211" spans="1:13">
      <c r="A211">
        <v>56</v>
      </c>
      <c r="B211">
        <v>99</v>
      </c>
      <c r="C211">
        <v>5</v>
      </c>
      <c r="D211">
        <v>99</v>
      </c>
      <c r="E211">
        <v>56</v>
      </c>
      <c r="F211">
        <v>5</v>
      </c>
      <c r="G211">
        <v>56</v>
      </c>
      <c r="H211">
        <v>99</v>
      </c>
      <c r="I211" t="s">
        <v>8</v>
      </c>
      <c r="J211">
        <f>IF(Tabela4[[#This Row],[4Income]]="&lt;=50K",Tabela4[[#This Row],[4Age]],NA())</f>
        <v>56</v>
      </c>
      <c r="K211">
        <f>IF(Tabela4[[#This Row],[4Income]]="&lt;=50K",Tabela4[[#This Row],[4hours-per-week]],NA())</f>
        <v>99</v>
      </c>
      <c r="L211" t="e">
        <f>IF(Tabela4[[#This Row],[4Income]]="&gt;50K",Tabela4[[#This Row],[4Age]],NA())</f>
        <v>#N/A</v>
      </c>
      <c r="M211" t="e">
        <f>IF(Tabela4[[#This Row],[4Income]]="&gt;50K",Tabela4[[#This Row],[4hours-per-week]],NA())</f>
        <v>#N/A</v>
      </c>
    </row>
    <row r="212" spans="1:13">
      <c r="A212">
        <v>25</v>
      </c>
      <c r="B212">
        <v>40</v>
      </c>
      <c r="C212">
        <v>9</v>
      </c>
      <c r="D212">
        <v>40</v>
      </c>
      <c r="E212">
        <v>25</v>
      </c>
      <c r="F212">
        <v>9</v>
      </c>
      <c r="G212">
        <v>25</v>
      </c>
      <c r="H212">
        <v>40</v>
      </c>
      <c r="I212" t="s">
        <v>8</v>
      </c>
      <c r="J212">
        <f>IF(Tabela4[[#This Row],[4Income]]="&lt;=50K",Tabela4[[#This Row],[4Age]],NA())</f>
        <v>25</v>
      </c>
      <c r="K212">
        <f>IF(Tabela4[[#This Row],[4Income]]="&lt;=50K",Tabela4[[#This Row],[4hours-per-week]],NA())</f>
        <v>40</v>
      </c>
      <c r="L212" t="e">
        <f>IF(Tabela4[[#This Row],[4Income]]="&gt;50K",Tabela4[[#This Row],[4Age]],NA())</f>
        <v>#N/A</v>
      </c>
      <c r="M212" t="e">
        <f>IF(Tabela4[[#This Row],[4Income]]="&gt;50K",Tabela4[[#This Row],[4hours-per-week]],NA())</f>
        <v>#N/A</v>
      </c>
    </row>
    <row r="213" spans="1:13">
      <c r="A213">
        <v>46</v>
      </c>
      <c r="B213">
        <v>49</v>
      </c>
      <c r="C213">
        <v>12</v>
      </c>
      <c r="D213">
        <v>49</v>
      </c>
      <c r="E213">
        <v>46</v>
      </c>
      <c r="F213">
        <v>12</v>
      </c>
      <c r="G213">
        <v>46</v>
      </c>
      <c r="H213">
        <v>49</v>
      </c>
      <c r="I213" t="s">
        <v>19</v>
      </c>
      <c r="J213" t="e">
        <f>IF(Tabela4[[#This Row],[4Income]]="&lt;=50K",Tabela4[[#This Row],[4Age]],NA())</f>
        <v>#N/A</v>
      </c>
      <c r="K213" t="e">
        <f>IF(Tabela4[[#This Row],[4Income]]="&lt;=50K",Tabela4[[#This Row],[4hours-per-week]],NA())</f>
        <v>#N/A</v>
      </c>
      <c r="L213">
        <f>IF(Tabela4[[#This Row],[4Income]]="&gt;50K",Tabela4[[#This Row],[4Age]],NA())</f>
        <v>46</v>
      </c>
      <c r="M213">
        <f>IF(Tabela4[[#This Row],[4Income]]="&gt;50K",Tabela4[[#This Row],[4hours-per-week]],NA())</f>
        <v>49</v>
      </c>
    </row>
    <row r="214" spans="1:13">
      <c r="A214">
        <v>18</v>
      </c>
      <c r="B214">
        <v>15</v>
      </c>
      <c r="C214">
        <v>9</v>
      </c>
      <c r="D214">
        <v>15</v>
      </c>
      <c r="E214">
        <v>18</v>
      </c>
      <c r="F214">
        <v>9</v>
      </c>
      <c r="G214">
        <v>18</v>
      </c>
      <c r="H214">
        <v>15</v>
      </c>
      <c r="I214" t="s">
        <v>8</v>
      </c>
      <c r="J214">
        <f>IF(Tabela4[[#This Row],[4Income]]="&lt;=50K",Tabela4[[#This Row],[4Age]],NA())</f>
        <v>18</v>
      </c>
      <c r="K214">
        <f>IF(Tabela4[[#This Row],[4Income]]="&lt;=50K",Tabela4[[#This Row],[4hours-per-week]],NA())</f>
        <v>15</v>
      </c>
      <c r="L214" t="e">
        <f>IF(Tabela4[[#This Row],[4Income]]="&gt;50K",Tabela4[[#This Row],[4Age]],NA())</f>
        <v>#N/A</v>
      </c>
      <c r="M214" t="e">
        <f>IF(Tabela4[[#This Row],[4Income]]="&gt;50K",Tabela4[[#This Row],[4hours-per-week]],NA())</f>
        <v>#N/A</v>
      </c>
    </row>
    <row r="215" spans="1:13">
      <c r="A215">
        <v>74</v>
      </c>
      <c r="B215">
        <v>20</v>
      </c>
      <c r="C215">
        <v>9</v>
      </c>
      <c r="D215">
        <v>20</v>
      </c>
      <c r="E215">
        <v>74</v>
      </c>
      <c r="F215">
        <v>9</v>
      </c>
      <c r="G215">
        <v>74</v>
      </c>
      <c r="H215">
        <v>20</v>
      </c>
      <c r="I215" t="s">
        <v>8</v>
      </c>
      <c r="J215">
        <f>IF(Tabela4[[#This Row],[4Income]]="&lt;=50K",Tabela4[[#This Row],[4Age]],NA())</f>
        <v>74</v>
      </c>
      <c r="K215">
        <f>IF(Tabela4[[#This Row],[4Income]]="&lt;=50K",Tabela4[[#This Row],[4hours-per-week]],NA())</f>
        <v>20</v>
      </c>
      <c r="L215" t="e">
        <f>IF(Tabela4[[#This Row],[4Income]]="&gt;50K",Tabela4[[#This Row],[4Age]],NA())</f>
        <v>#N/A</v>
      </c>
      <c r="M215" t="e">
        <f>IF(Tabela4[[#This Row],[4Income]]="&gt;50K",Tabela4[[#This Row],[4hours-per-week]],NA())</f>
        <v>#N/A</v>
      </c>
    </row>
    <row r="216" spans="1:13">
      <c r="A216">
        <v>32</v>
      </c>
      <c r="B216">
        <v>40</v>
      </c>
      <c r="C216">
        <v>13</v>
      </c>
      <c r="D216">
        <v>40</v>
      </c>
      <c r="E216">
        <v>32</v>
      </c>
      <c r="F216">
        <v>13</v>
      </c>
      <c r="G216">
        <v>32</v>
      </c>
      <c r="H216">
        <v>40</v>
      </c>
      <c r="I216" t="s">
        <v>8</v>
      </c>
      <c r="J216">
        <f>IF(Tabela4[[#This Row],[4Income]]="&lt;=50K",Tabela4[[#This Row],[4Age]],NA())</f>
        <v>32</v>
      </c>
      <c r="K216">
        <f>IF(Tabela4[[#This Row],[4Income]]="&lt;=50K",Tabela4[[#This Row],[4hours-per-week]],NA())</f>
        <v>40</v>
      </c>
      <c r="L216" t="e">
        <f>IF(Tabela4[[#This Row],[4Income]]="&gt;50K",Tabela4[[#This Row],[4Age]],NA())</f>
        <v>#N/A</v>
      </c>
      <c r="M216" t="e">
        <f>IF(Tabela4[[#This Row],[4Income]]="&gt;50K",Tabela4[[#This Row],[4hours-per-week]],NA())</f>
        <v>#N/A</v>
      </c>
    </row>
    <row r="217" spans="1:13">
      <c r="A217">
        <v>20</v>
      </c>
      <c r="B217">
        <v>35</v>
      </c>
      <c r="C217">
        <v>10</v>
      </c>
      <c r="D217">
        <v>35</v>
      </c>
      <c r="E217">
        <v>20</v>
      </c>
      <c r="F217">
        <v>10</v>
      </c>
      <c r="G217">
        <v>20</v>
      </c>
      <c r="H217">
        <v>35</v>
      </c>
      <c r="I217" t="s">
        <v>8</v>
      </c>
      <c r="J217">
        <f>IF(Tabela4[[#This Row],[4Income]]="&lt;=50K",Tabela4[[#This Row],[4Age]],NA())</f>
        <v>20</v>
      </c>
      <c r="K217">
        <f>IF(Tabela4[[#This Row],[4Income]]="&lt;=50K",Tabela4[[#This Row],[4hours-per-week]],NA())</f>
        <v>35</v>
      </c>
      <c r="L217" t="e">
        <f>IF(Tabela4[[#This Row],[4Income]]="&gt;50K",Tabela4[[#This Row],[4Age]],NA())</f>
        <v>#N/A</v>
      </c>
      <c r="M217" t="e">
        <f>IF(Tabela4[[#This Row],[4Income]]="&gt;50K",Tabela4[[#This Row],[4hours-per-week]],NA())</f>
        <v>#N/A</v>
      </c>
    </row>
    <row r="218" spans="1:13">
      <c r="A218">
        <v>23</v>
      </c>
      <c r="B218">
        <v>25</v>
      </c>
      <c r="C218">
        <v>10</v>
      </c>
      <c r="D218">
        <v>25</v>
      </c>
      <c r="E218">
        <v>23</v>
      </c>
      <c r="F218">
        <v>10</v>
      </c>
      <c r="G218">
        <v>23</v>
      </c>
      <c r="H218">
        <v>25</v>
      </c>
      <c r="I218" t="s">
        <v>8</v>
      </c>
      <c r="J218">
        <f>IF(Tabela4[[#This Row],[4Income]]="&lt;=50K",Tabela4[[#This Row],[4Age]],NA())</f>
        <v>23</v>
      </c>
      <c r="K218">
        <f>IF(Tabela4[[#This Row],[4Income]]="&lt;=50K",Tabela4[[#This Row],[4hours-per-week]],NA())</f>
        <v>25</v>
      </c>
      <c r="L218" t="e">
        <f>IF(Tabela4[[#This Row],[4Income]]="&gt;50K",Tabela4[[#This Row],[4Age]],NA())</f>
        <v>#N/A</v>
      </c>
      <c r="M218" t="e">
        <f>IF(Tabela4[[#This Row],[4Income]]="&gt;50K",Tabela4[[#This Row],[4hours-per-week]],NA())</f>
        <v>#N/A</v>
      </c>
    </row>
    <row r="219" spans="1:13">
      <c r="A219">
        <v>57</v>
      </c>
      <c r="B219">
        <v>40</v>
      </c>
      <c r="C219">
        <v>13</v>
      </c>
      <c r="D219">
        <v>40</v>
      </c>
      <c r="E219">
        <v>57</v>
      </c>
      <c r="F219">
        <v>13</v>
      </c>
      <c r="G219">
        <v>57</v>
      </c>
      <c r="H219">
        <v>40</v>
      </c>
      <c r="I219" t="s">
        <v>8</v>
      </c>
      <c r="J219">
        <f>IF(Tabela4[[#This Row],[4Income]]="&lt;=50K",Tabela4[[#This Row],[4Age]],NA())</f>
        <v>57</v>
      </c>
      <c r="K219">
        <f>IF(Tabela4[[#This Row],[4Income]]="&lt;=50K",Tabela4[[#This Row],[4hours-per-week]],NA())</f>
        <v>40</v>
      </c>
      <c r="L219" t="e">
        <f>IF(Tabela4[[#This Row],[4Income]]="&gt;50K",Tabela4[[#This Row],[4Age]],NA())</f>
        <v>#N/A</v>
      </c>
      <c r="M219" t="e">
        <f>IF(Tabela4[[#This Row],[4Income]]="&gt;50K",Tabela4[[#This Row],[4hours-per-week]],NA())</f>
        <v>#N/A</v>
      </c>
    </row>
    <row r="220" spans="1:13">
      <c r="A220">
        <v>47</v>
      </c>
      <c r="B220">
        <v>45</v>
      </c>
      <c r="C220">
        <v>9</v>
      </c>
      <c r="D220">
        <v>45</v>
      </c>
      <c r="E220">
        <v>47</v>
      </c>
      <c r="F220">
        <v>9</v>
      </c>
      <c r="G220">
        <v>47</v>
      </c>
      <c r="H220">
        <v>45</v>
      </c>
      <c r="I220" t="s">
        <v>8</v>
      </c>
      <c r="J220">
        <f>IF(Tabela4[[#This Row],[4Income]]="&lt;=50K",Tabela4[[#This Row],[4Age]],NA())</f>
        <v>47</v>
      </c>
      <c r="K220">
        <f>IF(Tabela4[[#This Row],[4Income]]="&lt;=50K",Tabela4[[#This Row],[4hours-per-week]],NA())</f>
        <v>45</v>
      </c>
      <c r="L220" t="e">
        <f>IF(Tabela4[[#This Row],[4Income]]="&gt;50K",Tabela4[[#This Row],[4Age]],NA())</f>
        <v>#N/A</v>
      </c>
      <c r="M220" t="e">
        <f>IF(Tabela4[[#This Row],[4Income]]="&gt;50K",Tabela4[[#This Row],[4hours-per-week]],NA())</f>
        <v>#N/A</v>
      </c>
    </row>
    <row r="221" spans="1:13">
      <c r="A221">
        <v>55</v>
      </c>
      <c r="B221">
        <v>20</v>
      </c>
      <c r="C221">
        <v>14</v>
      </c>
      <c r="D221">
        <v>20</v>
      </c>
      <c r="E221">
        <v>55</v>
      </c>
      <c r="F221">
        <v>14</v>
      </c>
      <c r="G221">
        <v>55</v>
      </c>
      <c r="H221">
        <v>20</v>
      </c>
      <c r="I221" t="s">
        <v>19</v>
      </c>
      <c r="J221" t="e">
        <f>IF(Tabela4[[#This Row],[4Income]]="&lt;=50K",Tabela4[[#This Row],[4Age]],NA())</f>
        <v>#N/A</v>
      </c>
      <c r="K221" t="e">
        <f>IF(Tabela4[[#This Row],[4Income]]="&lt;=50K",Tabela4[[#This Row],[4hours-per-week]],NA())</f>
        <v>#N/A</v>
      </c>
      <c r="L221">
        <f>IF(Tabela4[[#This Row],[4Income]]="&gt;50K",Tabela4[[#This Row],[4Age]],NA())</f>
        <v>55</v>
      </c>
      <c r="M221">
        <f>IF(Tabela4[[#This Row],[4Income]]="&gt;50K",Tabela4[[#This Row],[4hours-per-week]],NA())</f>
        <v>20</v>
      </c>
    </row>
    <row r="222" spans="1:13">
      <c r="A222">
        <v>26</v>
      </c>
      <c r="B222">
        <v>40</v>
      </c>
      <c r="C222">
        <v>9</v>
      </c>
      <c r="D222">
        <v>40</v>
      </c>
      <c r="E222">
        <v>26</v>
      </c>
      <c r="F222">
        <v>9</v>
      </c>
      <c r="G222">
        <v>26</v>
      </c>
      <c r="H222">
        <v>40</v>
      </c>
      <c r="I222" t="s">
        <v>8</v>
      </c>
      <c r="J222">
        <f>IF(Tabela4[[#This Row],[4Income]]="&lt;=50K",Tabela4[[#This Row],[4Age]],NA())</f>
        <v>26</v>
      </c>
      <c r="K222">
        <f>IF(Tabela4[[#This Row],[4Income]]="&lt;=50K",Tabela4[[#This Row],[4hours-per-week]],NA())</f>
        <v>40</v>
      </c>
      <c r="L222" t="e">
        <f>IF(Tabela4[[#This Row],[4Income]]="&gt;50K",Tabela4[[#This Row],[4Age]],NA())</f>
        <v>#N/A</v>
      </c>
      <c r="M222" t="e">
        <f>IF(Tabela4[[#This Row],[4Income]]="&gt;50K",Tabela4[[#This Row],[4hours-per-week]],NA())</f>
        <v>#N/A</v>
      </c>
    </row>
    <row r="223" spans="1:13">
      <c r="A223">
        <v>47</v>
      </c>
      <c r="B223">
        <v>40</v>
      </c>
      <c r="C223">
        <v>9</v>
      </c>
      <c r="D223">
        <v>40</v>
      </c>
      <c r="E223">
        <v>47</v>
      </c>
      <c r="F223">
        <v>9</v>
      </c>
      <c r="G223">
        <v>47</v>
      </c>
      <c r="H223">
        <v>40</v>
      </c>
      <c r="I223" t="s">
        <v>8</v>
      </c>
      <c r="J223">
        <f>IF(Tabela4[[#This Row],[4Income]]="&lt;=50K",Tabela4[[#This Row],[4Age]],NA())</f>
        <v>47</v>
      </c>
      <c r="K223">
        <f>IF(Tabela4[[#This Row],[4Income]]="&lt;=50K",Tabela4[[#This Row],[4hours-per-week]],NA())</f>
        <v>40</v>
      </c>
      <c r="L223" t="e">
        <f>IF(Tabela4[[#This Row],[4Income]]="&gt;50K",Tabela4[[#This Row],[4Age]],NA())</f>
        <v>#N/A</v>
      </c>
      <c r="M223" t="e">
        <f>IF(Tabela4[[#This Row],[4Income]]="&gt;50K",Tabela4[[#This Row],[4hours-per-week]],NA())</f>
        <v>#N/A</v>
      </c>
    </row>
    <row r="224" spans="1:13">
      <c r="A224">
        <v>24</v>
      </c>
      <c r="B224">
        <v>40</v>
      </c>
      <c r="C224">
        <v>13</v>
      </c>
      <c r="D224">
        <v>40</v>
      </c>
      <c r="E224">
        <v>24</v>
      </c>
      <c r="F224">
        <v>13</v>
      </c>
      <c r="G224">
        <v>24</v>
      </c>
      <c r="H224">
        <v>40</v>
      </c>
      <c r="I224" t="s">
        <v>8</v>
      </c>
      <c r="J224">
        <f>IF(Tabela4[[#This Row],[4Income]]="&lt;=50K",Tabela4[[#This Row],[4Age]],NA())</f>
        <v>24</v>
      </c>
      <c r="K224">
        <f>IF(Tabela4[[#This Row],[4Income]]="&lt;=50K",Tabela4[[#This Row],[4hours-per-week]],NA())</f>
        <v>40</v>
      </c>
      <c r="L224" t="e">
        <f>IF(Tabela4[[#This Row],[4Income]]="&gt;50K",Tabela4[[#This Row],[4Age]],NA())</f>
        <v>#N/A</v>
      </c>
      <c r="M224" t="e">
        <f>IF(Tabela4[[#This Row],[4Income]]="&gt;50K",Tabela4[[#This Row],[4hours-per-week]],NA())</f>
        <v>#N/A</v>
      </c>
    </row>
    <row r="225" spans="1:13">
      <c r="A225">
        <v>28</v>
      </c>
      <c r="B225">
        <v>10</v>
      </c>
      <c r="C225">
        <v>9</v>
      </c>
      <c r="D225">
        <v>10</v>
      </c>
      <c r="E225">
        <v>28</v>
      </c>
      <c r="F225">
        <v>9</v>
      </c>
      <c r="G225">
        <v>28</v>
      </c>
      <c r="H225">
        <v>10</v>
      </c>
      <c r="I225" t="s">
        <v>8</v>
      </c>
      <c r="J225">
        <f>IF(Tabela4[[#This Row],[4Income]]="&lt;=50K",Tabela4[[#This Row],[4Age]],NA())</f>
        <v>28</v>
      </c>
      <c r="K225">
        <f>IF(Tabela4[[#This Row],[4Income]]="&lt;=50K",Tabela4[[#This Row],[4hours-per-week]],NA())</f>
        <v>10</v>
      </c>
      <c r="L225" t="e">
        <f>IF(Tabela4[[#This Row],[4Income]]="&gt;50K",Tabela4[[#This Row],[4Age]],NA())</f>
        <v>#N/A</v>
      </c>
      <c r="M225" t="e">
        <f>IF(Tabela4[[#This Row],[4Income]]="&gt;50K",Tabela4[[#This Row],[4hours-per-week]],NA())</f>
        <v>#N/A</v>
      </c>
    </row>
    <row r="226" spans="1:13">
      <c r="A226">
        <v>23</v>
      </c>
      <c r="B226">
        <v>40</v>
      </c>
      <c r="C226">
        <v>9</v>
      </c>
      <c r="D226">
        <v>40</v>
      </c>
      <c r="E226">
        <v>23</v>
      </c>
      <c r="F226">
        <v>9</v>
      </c>
      <c r="G226">
        <v>23</v>
      </c>
      <c r="H226">
        <v>40</v>
      </c>
      <c r="I226" t="s">
        <v>8</v>
      </c>
      <c r="J226">
        <f>IF(Tabela4[[#This Row],[4Income]]="&lt;=50K",Tabela4[[#This Row],[4Age]],NA())</f>
        <v>23</v>
      </c>
      <c r="K226">
        <f>IF(Tabela4[[#This Row],[4Income]]="&lt;=50K",Tabela4[[#This Row],[4hours-per-week]],NA())</f>
        <v>40</v>
      </c>
      <c r="L226" t="e">
        <f>IF(Tabela4[[#This Row],[4Income]]="&gt;50K",Tabela4[[#This Row],[4Age]],NA())</f>
        <v>#N/A</v>
      </c>
      <c r="M226" t="e">
        <f>IF(Tabela4[[#This Row],[4Income]]="&gt;50K",Tabela4[[#This Row],[4hours-per-week]],NA())</f>
        <v>#N/A</v>
      </c>
    </row>
    <row r="227" spans="1:13">
      <c r="A227">
        <v>40</v>
      </c>
      <c r="B227">
        <v>35</v>
      </c>
      <c r="C227">
        <v>9</v>
      </c>
      <c r="D227">
        <v>35</v>
      </c>
      <c r="E227">
        <v>40</v>
      </c>
      <c r="F227">
        <v>9</v>
      </c>
      <c r="G227">
        <v>40</v>
      </c>
      <c r="H227">
        <v>35</v>
      </c>
      <c r="I227" t="s">
        <v>8</v>
      </c>
      <c r="J227">
        <f>IF(Tabela4[[#This Row],[4Income]]="&lt;=50K",Tabela4[[#This Row],[4Age]],NA())</f>
        <v>40</v>
      </c>
      <c r="K227">
        <f>IF(Tabela4[[#This Row],[4Income]]="&lt;=50K",Tabela4[[#This Row],[4hours-per-week]],NA())</f>
        <v>35</v>
      </c>
      <c r="L227" t="e">
        <f>IF(Tabela4[[#This Row],[4Income]]="&gt;50K",Tabela4[[#This Row],[4Age]],NA())</f>
        <v>#N/A</v>
      </c>
      <c r="M227" t="e">
        <f>IF(Tabela4[[#This Row],[4Income]]="&gt;50K",Tabela4[[#This Row],[4hours-per-week]],NA())</f>
        <v>#N/A</v>
      </c>
    </row>
    <row r="228" spans="1:13">
      <c r="A228">
        <v>60</v>
      </c>
      <c r="B228">
        <v>40</v>
      </c>
      <c r="C228">
        <v>9</v>
      </c>
      <c r="D228">
        <v>40</v>
      </c>
      <c r="E228">
        <v>60</v>
      </c>
      <c r="F228">
        <v>9</v>
      </c>
      <c r="G228">
        <v>60</v>
      </c>
      <c r="H228">
        <v>40</v>
      </c>
      <c r="I228" t="s">
        <v>19</v>
      </c>
      <c r="J228" t="e">
        <f>IF(Tabela4[[#This Row],[4Income]]="&lt;=50K",Tabela4[[#This Row],[4Age]],NA())</f>
        <v>#N/A</v>
      </c>
      <c r="K228" t="e">
        <f>IF(Tabela4[[#This Row],[4Income]]="&lt;=50K",Tabela4[[#This Row],[4hours-per-week]],NA())</f>
        <v>#N/A</v>
      </c>
      <c r="L228">
        <f>IF(Tabela4[[#This Row],[4Income]]="&gt;50K",Tabela4[[#This Row],[4Age]],NA())</f>
        <v>60</v>
      </c>
      <c r="M228">
        <f>IF(Tabela4[[#This Row],[4Income]]="&gt;50K",Tabela4[[#This Row],[4hours-per-week]],NA())</f>
        <v>40</v>
      </c>
    </row>
    <row r="229" spans="1:13">
      <c r="A229">
        <v>28</v>
      </c>
      <c r="B229">
        <v>40</v>
      </c>
      <c r="C229">
        <v>13</v>
      </c>
      <c r="D229">
        <v>40</v>
      </c>
      <c r="E229">
        <v>28</v>
      </c>
      <c r="F229">
        <v>13</v>
      </c>
      <c r="G229">
        <v>28</v>
      </c>
      <c r="H229">
        <v>40</v>
      </c>
      <c r="I229" t="s">
        <v>19</v>
      </c>
      <c r="J229" t="e">
        <f>IF(Tabela4[[#This Row],[4Income]]="&lt;=50K",Tabela4[[#This Row],[4Age]],NA())</f>
        <v>#N/A</v>
      </c>
      <c r="K229" t="e">
        <f>IF(Tabela4[[#This Row],[4Income]]="&lt;=50K",Tabela4[[#This Row],[4hours-per-week]],NA())</f>
        <v>#N/A</v>
      </c>
      <c r="L229">
        <f>IF(Tabela4[[#This Row],[4Income]]="&gt;50K",Tabela4[[#This Row],[4Age]],NA())</f>
        <v>28</v>
      </c>
      <c r="M229">
        <f>IF(Tabela4[[#This Row],[4Income]]="&gt;50K",Tabela4[[#This Row],[4hours-per-week]],NA())</f>
        <v>40</v>
      </c>
    </row>
    <row r="230" spans="1:13">
      <c r="A230">
        <v>43</v>
      </c>
      <c r="B230">
        <v>40</v>
      </c>
      <c r="C230">
        <v>12</v>
      </c>
      <c r="D230">
        <v>40</v>
      </c>
      <c r="E230">
        <v>43</v>
      </c>
      <c r="F230">
        <v>12</v>
      </c>
      <c r="G230">
        <v>43</v>
      </c>
      <c r="H230">
        <v>40</v>
      </c>
      <c r="I230" t="s">
        <v>8</v>
      </c>
      <c r="J230">
        <f>IF(Tabela4[[#This Row],[4Income]]="&lt;=50K",Tabela4[[#This Row],[4Age]],NA())</f>
        <v>43</v>
      </c>
      <c r="K230">
        <f>IF(Tabela4[[#This Row],[4Income]]="&lt;=50K",Tabela4[[#This Row],[4hours-per-week]],NA())</f>
        <v>40</v>
      </c>
      <c r="L230" t="e">
        <f>IF(Tabela4[[#This Row],[4Income]]="&gt;50K",Tabela4[[#This Row],[4Age]],NA())</f>
        <v>#N/A</v>
      </c>
      <c r="M230" t="e">
        <f>IF(Tabela4[[#This Row],[4Income]]="&gt;50K",Tabela4[[#This Row],[4hours-per-week]],NA())</f>
        <v>#N/A</v>
      </c>
    </row>
    <row r="231" spans="1:13">
      <c r="A231">
        <v>42</v>
      </c>
      <c r="B231">
        <v>40</v>
      </c>
      <c r="C231">
        <v>10</v>
      </c>
      <c r="D231">
        <v>40</v>
      </c>
      <c r="E231">
        <v>42</v>
      </c>
      <c r="F231">
        <v>10</v>
      </c>
      <c r="G231">
        <v>42</v>
      </c>
      <c r="H231">
        <v>40</v>
      </c>
      <c r="I231" t="s">
        <v>8</v>
      </c>
      <c r="J231">
        <f>IF(Tabela4[[#This Row],[4Income]]="&lt;=50K",Tabela4[[#This Row],[4Age]],NA())</f>
        <v>42</v>
      </c>
      <c r="K231">
        <f>IF(Tabela4[[#This Row],[4Income]]="&lt;=50K",Tabela4[[#This Row],[4hours-per-week]],NA())</f>
        <v>40</v>
      </c>
      <c r="L231" t="e">
        <f>IF(Tabela4[[#This Row],[4Income]]="&gt;50K",Tabela4[[#This Row],[4Age]],NA())</f>
        <v>#N/A</v>
      </c>
      <c r="M231" t="e">
        <f>IF(Tabela4[[#This Row],[4Income]]="&gt;50K",Tabela4[[#This Row],[4hours-per-week]],NA())</f>
        <v>#N/A</v>
      </c>
    </row>
    <row r="232" spans="1:13">
      <c r="A232">
        <v>67</v>
      </c>
      <c r="B232">
        <v>35</v>
      </c>
      <c r="C232">
        <v>9</v>
      </c>
      <c r="D232">
        <v>35</v>
      </c>
      <c r="E232">
        <v>67</v>
      </c>
      <c r="F232">
        <v>9</v>
      </c>
      <c r="G232">
        <v>67</v>
      </c>
      <c r="H232">
        <v>35</v>
      </c>
      <c r="I232" t="s">
        <v>8</v>
      </c>
      <c r="J232">
        <f>IF(Tabela4[[#This Row],[4Income]]="&lt;=50K",Tabela4[[#This Row],[4Age]],NA())</f>
        <v>67</v>
      </c>
      <c r="K232">
        <f>IF(Tabela4[[#This Row],[4Income]]="&lt;=50K",Tabela4[[#This Row],[4hours-per-week]],NA())</f>
        <v>35</v>
      </c>
      <c r="L232" t="e">
        <f>IF(Tabela4[[#This Row],[4Income]]="&gt;50K",Tabela4[[#This Row],[4Age]],NA())</f>
        <v>#N/A</v>
      </c>
      <c r="M232" t="e">
        <f>IF(Tabela4[[#This Row],[4Income]]="&gt;50K",Tabela4[[#This Row],[4hours-per-week]],NA())</f>
        <v>#N/A</v>
      </c>
    </row>
    <row r="233" spans="1:13">
      <c r="A233">
        <v>25</v>
      </c>
      <c r="B233">
        <v>45</v>
      </c>
      <c r="C233">
        <v>12</v>
      </c>
      <c r="D233">
        <v>45</v>
      </c>
      <c r="E233">
        <v>25</v>
      </c>
      <c r="F233">
        <v>12</v>
      </c>
      <c r="G233">
        <v>25</v>
      </c>
      <c r="H233">
        <v>45</v>
      </c>
      <c r="I233" t="s">
        <v>8</v>
      </c>
      <c r="J233">
        <f>IF(Tabela4[[#This Row],[4Income]]="&lt;=50K",Tabela4[[#This Row],[4Age]],NA())</f>
        <v>25</v>
      </c>
      <c r="K233">
        <f>IF(Tabela4[[#This Row],[4Income]]="&lt;=50K",Tabela4[[#This Row],[4hours-per-week]],NA())</f>
        <v>45</v>
      </c>
      <c r="L233" t="e">
        <f>IF(Tabela4[[#This Row],[4Income]]="&gt;50K",Tabela4[[#This Row],[4Age]],NA())</f>
        <v>#N/A</v>
      </c>
      <c r="M233" t="e">
        <f>IF(Tabela4[[#This Row],[4Income]]="&gt;50K",Tabela4[[#This Row],[4hours-per-week]],NA())</f>
        <v>#N/A</v>
      </c>
    </row>
    <row r="234" spans="1:13">
      <c r="A234">
        <v>30</v>
      </c>
      <c r="B234">
        <v>40</v>
      </c>
      <c r="C234">
        <v>9</v>
      </c>
      <c r="D234">
        <v>40</v>
      </c>
      <c r="E234">
        <v>30</v>
      </c>
      <c r="F234">
        <v>9</v>
      </c>
      <c r="G234">
        <v>30</v>
      </c>
      <c r="H234">
        <v>40</v>
      </c>
      <c r="I234" t="s">
        <v>8</v>
      </c>
      <c r="J234">
        <f>IF(Tabela4[[#This Row],[4Income]]="&lt;=50K",Tabela4[[#This Row],[4Age]],NA())</f>
        <v>30</v>
      </c>
      <c r="K234">
        <f>IF(Tabela4[[#This Row],[4Income]]="&lt;=50K",Tabela4[[#This Row],[4hours-per-week]],NA())</f>
        <v>40</v>
      </c>
      <c r="L234" t="e">
        <f>IF(Tabela4[[#This Row],[4Income]]="&gt;50K",Tabela4[[#This Row],[4Age]],NA())</f>
        <v>#N/A</v>
      </c>
      <c r="M234" t="e">
        <f>IF(Tabela4[[#This Row],[4Income]]="&gt;50K",Tabela4[[#This Row],[4hours-per-week]],NA())</f>
        <v>#N/A</v>
      </c>
    </row>
    <row r="235" spans="1:13">
      <c r="A235">
        <v>37</v>
      </c>
      <c r="B235">
        <v>55</v>
      </c>
      <c r="C235">
        <v>13</v>
      </c>
      <c r="D235">
        <v>55</v>
      </c>
      <c r="E235">
        <v>37</v>
      </c>
      <c r="F235">
        <v>13</v>
      </c>
      <c r="G235">
        <v>37</v>
      </c>
      <c r="H235">
        <v>55</v>
      </c>
      <c r="I235" t="s">
        <v>8</v>
      </c>
      <c r="J235">
        <f>IF(Tabela4[[#This Row],[4Income]]="&lt;=50K",Tabela4[[#This Row],[4Age]],NA())</f>
        <v>37</v>
      </c>
      <c r="K235">
        <f>IF(Tabela4[[#This Row],[4Income]]="&lt;=50K",Tabela4[[#This Row],[4hours-per-week]],NA())</f>
        <v>55</v>
      </c>
      <c r="L235" t="e">
        <f>IF(Tabela4[[#This Row],[4Income]]="&gt;50K",Tabela4[[#This Row],[4Age]],NA())</f>
        <v>#N/A</v>
      </c>
      <c r="M235" t="e">
        <f>IF(Tabela4[[#This Row],[4Income]]="&gt;50K",Tabela4[[#This Row],[4hours-per-week]],NA())</f>
        <v>#N/A</v>
      </c>
    </row>
    <row r="236" spans="1:13">
      <c r="A236">
        <v>62</v>
      </c>
      <c r="B236">
        <v>50</v>
      </c>
      <c r="C236">
        <v>13</v>
      </c>
      <c r="D236">
        <v>50</v>
      </c>
      <c r="E236">
        <v>62</v>
      </c>
      <c r="F236">
        <v>13</v>
      </c>
      <c r="G236">
        <v>62</v>
      </c>
      <c r="H236">
        <v>50</v>
      </c>
      <c r="I236" t="s">
        <v>19</v>
      </c>
      <c r="J236" t="e">
        <f>IF(Tabela4[[#This Row],[4Income]]="&lt;=50K",Tabela4[[#This Row],[4Age]],NA())</f>
        <v>#N/A</v>
      </c>
      <c r="K236" t="e">
        <f>IF(Tabela4[[#This Row],[4Income]]="&lt;=50K",Tabela4[[#This Row],[4hours-per-week]],NA())</f>
        <v>#N/A</v>
      </c>
      <c r="L236">
        <f>IF(Tabela4[[#This Row],[4Income]]="&gt;50K",Tabela4[[#This Row],[4Age]],NA())</f>
        <v>62</v>
      </c>
      <c r="M236">
        <f>IF(Tabela4[[#This Row],[4Income]]="&gt;50K",Tabela4[[#This Row],[4hours-per-week]],NA())</f>
        <v>50</v>
      </c>
    </row>
    <row r="237" spans="1:13">
      <c r="A237">
        <v>41</v>
      </c>
      <c r="B237">
        <v>12</v>
      </c>
      <c r="C237">
        <v>11</v>
      </c>
      <c r="D237">
        <v>12</v>
      </c>
      <c r="E237">
        <v>41</v>
      </c>
      <c r="F237">
        <v>11</v>
      </c>
      <c r="G237">
        <v>41</v>
      </c>
      <c r="H237">
        <v>12</v>
      </c>
      <c r="I237" t="s">
        <v>19</v>
      </c>
      <c r="J237" t="e">
        <f>IF(Tabela4[[#This Row],[4Income]]="&lt;=50K",Tabela4[[#This Row],[4Age]],NA())</f>
        <v>#N/A</v>
      </c>
      <c r="K237" t="e">
        <f>IF(Tabela4[[#This Row],[4Income]]="&lt;=50K",Tabela4[[#This Row],[4hours-per-week]],NA())</f>
        <v>#N/A</v>
      </c>
      <c r="L237">
        <f>IF(Tabela4[[#This Row],[4Income]]="&gt;50K",Tabela4[[#This Row],[4Age]],NA())</f>
        <v>41</v>
      </c>
      <c r="M237">
        <f>IF(Tabela4[[#This Row],[4Income]]="&gt;50K",Tabela4[[#This Row],[4hours-per-week]],NA())</f>
        <v>12</v>
      </c>
    </row>
    <row r="238" spans="1:13">
      <c r="A238">
        <v>40</v>
      </c>
      <c r="B238">
        <v>40</v>
      </c>
      <c r="C238">
        <v>10</v>
      </c>
      <c r="D238">
        <v>40</v>
      </c>
      <c r="E238">
        <v>40</v>
      </c>
      <c r="F238">
        <v>10</v>
      </c>
      <c r="G238">
        <v>40</v>
      </c>
      <c r="H238">
        <v>40</v>
      </c>
      <c r="I238" t="s">
        <v>19</v>
      </c>
      <c r="J238" t="e">
        <f>IF(Tabela4[[#This Row],[4Income]]="&lt;=50K",Tabela4[[#This Row],[4Age]],NA())</f>
        <v>#N/A</v>
      </c>
      <c r="K238" t="e">
        <f>IF(Tabela4[[#This Row],[4Income]]="&lt;=50K",Tabela4[[#This Row],[4hours-per-week]],NA())</f>
        <v>#N/A</v>
      </c>
      <c r="L238">
        <f>IF(Tabela4[[#This Row],[4Income]]="&gt;50K",Tabela4[[#This Row],[4Age]],NA())</f>
        <v>40</v>
      </c>
      <c r="M238">
        <f>IF(Tabela4[[#This Row],[4Income]]="&gt;50K",Tabela4[[#This Row],[4hours-per-week]],NA())</f>
        <v>40</v>
      </c>
    </row>
    <row r="239" spans="1:13">
      <c r="A239">
        <v>58</v>
      </c>
      <c r="B239">
        <v>15</v>
      </c>
      <c r="C239">
        <v>7</v>
      </c>
      <c r="D239">
        <v>15</v>
      </c>
      <c r="E239">
        <v>58</v>
      </c>
      <c r="F239">
        <v>7</v>
      </c>
      <c r="G239">
        <v>58</v>
      </c>
      <c r="H239">
        <v>15</v>
      </c>
      <c r="I239" t="s">
        <v>8</v>
      </c>
      <c r="J239">
        <f>IF(Tabela4[[#This Row],[4Income]]="&lt;=50K",Tabela4[[#This Row],[4Age]],NA())</f>
        <v>58</v>
      </c>
      <c r="K239">
        <f>IF(Tabela4[[#This Row],[4Income]]="&lt;=50K",Tabela4[[#This Row],[4hours-per-week]],NA())</f>
        <v>15</v>
      </c>
      <c r="L239" t="e">
        <f>IF(Tabela4[[#This Row],[4Income]]="&gt;50K",Tabela4[[#This Row],[4Age]],NA())</f>
        <v>#N/A</v>
      </c>
      <c r="M239" t="e">
        <f>IF(Tabela4[[#This Row],[4Income]]="&gt;50K",Tabela4[[#This Row],[4hours-per-week]],NA())</f>
        <v>#N/A</v>
      </c>
    </row>
    <row r="240" spans="1:13">
      <c r="A240">
        <v>35</v>
      </c>
      <c r="B240">
        <v>45</v>
      </c>
      <c r="C240">
        <v>13</v>
      </c>
      <c r="D240">
        <v>45</v>
      </c>
      <c r="E240">
        <v>35</v>
      </c>
      <c r="F240">
        <v>13</v>
      </c>
      <c r="G240">
        <v>35</v>
      </c>
      <c r="H240">
        <v>45</v>
      </c>
      <c r="I240" t="s">
        <v>8</v>
      </c>
      <c r="J240">
        <f>IF(Tabela4[[#This Row],[4Income]]="&lt;=50K",Tabela4[[#This Row],[4Age]],NA())</f>
        <v>35</v>
      </c>
      <c r="K240">
        <f>IF(Tabela4[[#This Row],[4Income]]="&lt;=50K",Tabela4[[#This Row],[4hours-per-week]],NA())</f>
        <v>45</v>
      </c>
      <c r="L240" t="e">
        <f>IF(Tabela4[[#This Row],[4Income]]="&gt;50K",Tabela4[[#This Row],[4Age]],NA())</f>
        <v>#N/A</v>
      </c>
      <c r="M240" t="e">
        <f>IF(Tabela4[[#This Row],[4Income]]="&gt;50K",Tabela4[[#This Row],[4hours-per-week]],NA())</f>
        <v>#N/A</v>
      </c>
    </row>
    <row r="241" spans="1:13">
      <c r="A241">
        <v>49</v>
      </c>
      <c r="B241">
        <v>40</v>
      </c>
      <c r="C241">
        <v>9</v>
      </c>
      <c r="D241">
        <v>40</v>
      </c>
      <c r="E241">
        <v>49</v>
      </c>
      <c r="F241">
        <v>9</v>
      </c>
      <c r="G241">
        <v>49</v>
      </c>
      <c r="H241">
        <v>40</v>
      </c>
      <c r="I241" t="s">
        <v>8</v>
      </c>
      <c r="J241">
        <f>IF(Tabela4[[#This Row],[4Income]]="&lt;=50K",Tabela4[[#This Row],[4Age]],NA())</f>
        <v>49</v>
      </c>
      <c r="K241">
        <f>IF(Tabela4[[#This Row],[4Income]]="&lt;=50K",Tabela4[[#This Row],[4hours-per-week]],NA())</f>
        <v>40</v>
      </c>
      <c r="L241" t="e">
        <f>IF(Tabela4[[#This Row],[4Income]]="&gt;50K",Tabela4[[#This Row],[4Age]],NA())</f>
        <v>#N/A</v>
      </c>
      <c r="M241" t="e">
        <f>IF(Tabela4[[#This Row],[4Income]]="&gt;50K",Tabela4[[#This Row],[4hours-per-week]],NA())</f>
        <v>#N/A</v>
      </c>
    </row>
    <row r="242" spans="1:13">
      <c r="A242">
        <v>90</v>
      </c>
      <c r="B242">
        <v>4</v>
      </c>
      <c r="C242">
        <v>9</v>
      </c>
      <c r="D242">
        <v>4</v>
      </c>
      <c r="E242">
        <v>90</v>
      </c>
      <c r="F242">
        <v>9</v>
      </c>
      <c r="G242">
        <v>90</v>
      </c>
      <c r="H242">
        <v>4</v>
      </c>
      <c r="I242" t="s">
        <v>8</v>
      </c>
      <c r="J242">
        <f>IF(Tabela4[[#This Row],[4Income]]="&lt;=50K",Tabela4[[#This Row],[4Age]],NA())</f>
        <v>90</v>
      </c>
      <c r="K242">
        <f>IF(Tabela4[[#This Row],[4Income]]="&lt;=50K",Tabela4[[#This Row],[4hours-per-week]],NA())</f>
        <v>4</v>
      </c>
      <c r="L242" t="e">
        <f>IF(Tabela4[[#This Row],[4Income]]="&gt;50K",Tabela4[[#This Row],[4Age]],NA())</f>
        <v>#N/A</v>
      </c>
      <c r="M242" t="e">
        <f>IF(Tabela4[[#This Row],[4Income]]="&gt;50K",Tabela4[[#This Row],[4hours-per-week]],NA())</f>
        <v>#N/A</v>
      </c>
    </row>
    <row r="243" spans="1:13">
      <c r="A243">
        <v>54</v>
      </c>
      <c r="B243">
        <v>40</v>
      </c>
      <c r="C243">
        <v>10</v>
      </c>
      <c r="D243">
        <v>40</v>
      </c>
      <c r="E243">
        <v>54</v>
      </c>
      <c r="F243">
        <v>10</v>
      </c>
      <c r="G243">
        <v>54</v>
      </c>
      <c r="H243">
        <v>40</v>
      </c>
      <c r="I243" t="s">
        <v>19</v>
      </c>
      <c r="J243" t="e">
        <f>IF(Tabela4[[#This Row],[4Income]]="&lt;=50K",Tabela4[[#This Row],[4Age]],NA())</f>
        <v>#N/A</v>
      </c>
      <c r="K243" t="e">
        <f>IF(Tabela4[[#This Row],[4Income]]="&lt;=50K",Tabela4[[#This Row],[4hours-per-week]],NA())</f>
        <v>#N/A</v>
      </c>
      <c r="L243">
        <f>IF(Tabela4[[#This Row],[4Income]]="&gt;50K",Tabela4[[#This Row],[4Age]],NA())</f>
        <v>54</v>
      </c>
      <c r="M243">
        <f>IF(Tabela4[[#This Row],[4Income]]="&gt;50K",Tabela4[[#This Row],[4hours-per-week]],NA())</f>
        <v>40</v>
      </c>
    </row>
    <row r="244" spans="1:13">
      <c r="A244">
        <v>18</v>
      </c>
      <c r="B244">
        <v>15</v>
      </c>
      <c r="C244">
        <v>6</v>
      </c>
      <c r="D244">
        <v>15</v>
      </c>
      <c r="E244">
        <v>18</v>
      </c>
      <c r="F244">
        <v>6</v>
      </c>
      <c r="G244">
        <v>18</v>
      </c>
      <c r="H244">
        <v>15</v>
      </c>
      <c r="I244" t="s">
        <v>8</v>
      </c>
      <c r="J244">
        <f>IF(Tabela4[[#This Row],[4Income]]="&lt;=50K",Tabela4[[#This Row],[4Age]],NA())</f>
        <v>18</v>
      </c>
      <c r="K244">
        <f>IF(Tabela4[[#This Row],[4Income]]="&lt;=50K",Tabela4[[#This Row],[4hours-per-week]],NA())</f>
        <v>15</v>
      </c>
      <c r="L244" t="e">
        <f>IF(Tabela4[[#This Row],[4Income]]="&gt;50K",Tabela4[[#This Row],[4Age]],NA())</f>
        <v>#N/A</v>
      </c>
      <c r="M244" t="e">
        <f>IF(Tabela4[[#This Row],[4Income]]="&gt;50K",Tabela4[[#This Row],[4hours-per-week]],NA())</f>
        <v>#N/A</v>
      </c>
    </row>
    <row r="245" spans="1:13">
      <c r="A245">
        <v>25</v>
      </c>
      <c r="B245">
        <v>40</v>
      </c>
      <c r="C245">
        <v>13</v>
      </c>
      <c r="D245">
        <v>40</v>
      </c>
      <c r="E245">
        <v>25</v>
      </c>
      <c r="F245">
        <v>13</v>
      </c>
      <c r="G245">
        <v>25</v>
      </c>
      <c r="H245">
        <v>40</v>
      </c>
      <c r="I245" t="s">
        <v>8</v>
      </c>
      <c r="J245">
        <f>IF(Tabela4[[#This Row],[4Income]]="&lt;=50K",Tabela4[[#This Row],[4Age]],NA())</f>
        <v>25</v>
      </c>
      <c r="K245">
        <f>IF(Tabela4[[#This Row],[4Income]]="&lt;=50K",Tabela4[[#This Row],[4hours-per-week]],NA())</f>
        <v>40</v>
      </c>
      <c r="L245" t="e">
        <f>IF(Tabela4[[#This Row],[4Income]]="&gt;50K",Tabela4[[#This Row],[4Age]],NA())</f>
        <v>#N/A</v>
      </c>
      <c r="M245" t="e">
        <f>IF(Tabela4[[#This Row],[4Income]]="&gt;50K",Tabela4[[#This Row],[4hours-per-week]],NA())</f>
        <v>#N/A</v>
      </c>
    </row>
    <row r="246" spans="1:13">
      <c r="A246">
        <v>31</v>
      </c>
      <c r="B246">
        <v>45</v>
      </c>
      <c r="C246">
        <v>9</v>
      </c>
      <c r="D246">
        <v>45</v>
      </c>
      <c r="E246">
        <v>31</v>
      </c>
      <c r="F246">
        <v>9</v>
      </c>
      <c r="G246">
        <v>31</v>
      </c>
      <c r="H246">
        <v>45</v>
      </c>
      <c r="I246" t="s">
        <v>8</v>
      </c>
      <c r="J246">
        <f>IF(Tabela4[[#This Row],[4Income]]="&lt;=50K",Tabela4[[#This Row],[4Age]],NA())</f>
        <v>31</v>
      </c>
      <c r="K246">
        <f>IF(Tabela4[[#This Row],[4Income]]="&lt;=50K",Tabela4[[#This Row],[4hours-per-week]],NA())</f>
        <v>45</v>
      </c>
      <c r="L246" t="e">
        <f>IF(Tabela4[[#This Row],[4Income]]="&gt;50K",Tabela4[[#This Row],[4Age]],NA())</f>
        <v>#N/A</v>
      </c>
      <c r="M246" t="e">
        <f>IF(Tabela4[[#This Row],[4Income]]="&gt;50K",Tabela4[[#This Row],[4hours-per-week]],NA())</f>
        <v>#N/A</v>
      </c>
    </row>
    <row r="247" spans="1:13">
      <c r="A247">
        <v>22</v>
      </c>
      <c r="B247">
        <v>40</v>
      </c>
      <c r="C247">
        <v>9</v>
      </c>
      <c r="D247">
        <v>40</v>
      </c>
      <c r="E247">
        <v>22</v>
      </c>
      <c r="F247">
        <v>9</v>
      </c>
      <c r="G247">
        <v>22</v>
      </c>
      <c r="H247">
        <v>40</v>
      </c>
      <c r="I247" t="s">
        <v>8</v>
      </c>
      <c r="J247">
        <f>IF(Tabela4[[#This Row],[4Income]]="&lt;=50K",Tabela4[[#This Row],[4Age]],NA())</f>
        <v>22</v>
      </c>
      <c r="K247">
        <f>IF(Tabela4[[#This Row],[4Income]]="&lt;=50K",Tabela4[[#This Row],[4hours-per-week]],NA())</f>
        <v>40</v>
      </c>
      <c r="L247" t="e">
        <f>IF(Tabela4[[#This Row],[4Income]]="&gt;50K",Tabela4[[#This Row],[4Age]],NA())</f>
        <v>#N/A</v>
      </c>
      <c r="M247" t="e">
        <f>IF(Tabela4[[#This Row],[4Income]]="&gt;50K",Tabela4[[#This Row],[4hours-per-week]],NA())</f>
        <v>#N/A</v>
      </c>
    </row>
    <row r="248" spans="1:13">
      <c r="A248">
        <v>25</v>
      </c>
      <c r="B248">
        <v>40</v>
      </c>
      <c r="C248">
        <v>10</v>
      </c>
      <c r="D248">
        <v>40</v>
      </c>
      <c r="E248">
        <v>25</v>
      </c>
      <c r="F248">
        <v>10</v>
      </c>
      <c r="G248">
        <v>25</v>
      </c>
      <c r="H248">
        <v>40</v>
      </c>
      <c r="I248" t="s">
        <v>8</v>
      </c>
      <c r="J248">
        <f>IF(Tabela4[[#This Row],[4Income]]="&lt;=50K",Tabela4[[#This Row],[4Age]],NA())</f>
        <v>25</v>
      </c>
      <c r="K248">
        <f>IF(Tabela4[[#This Row],[4Income]]="&lt;=50K",Tabela4[[#This Row],[4hours-per-week]],NA())</f>
        <v>40</v>
      </c>
      <c r="L248" t="e">
        <f>IF(Tabela4[[#This Row],[4Income]]="&gt;50K",Tabela4[[#This Row],[4Age]],NA())</f>
        <v>#N/A</v>
      </c>
      <c r="M248" t="e">
        <f>IF(Tabela4[[#This Row],[4Income]]="&gt;50K",Tabela4[[#This Row],[4hours-per-week]],NA())</f>
        <v>#N/A</v>
      </c>
    </row>
    <row r="249" spans="1:13">
      <c r="A249">
        <v>36</v>
      </c>
      <c r="B249">
        <v>50</v>
      </c>
      <c r="C249">
        <v>9</v>
      </c>
      <c r="D249">
        <v>50</v>
      </c>
      <c r="E249">
        <v>36</v>
      </c>
      <c r="F249">
        <v>9</v>
      </c>
      <c r="G249">
        <v>36</v>
      </c>
      <c r="H249">
        <v>50</v>
      </c>
      <c r="I249" t="s">
        <v>19</v>
      </c>
      <c r="J249" t="e">
        <f>IF(Tabela4[[#This Row],[4Income]]="&lt;=50K",Tabela4[[#This Row],[4Age]],NA())</f>
        <v>#N/A</v>
      </c>
      <c r="K249" t="e">
        <f>IF(Tabela4[[#This Row],[4Income]]="&lt;=50K",Tabela4[[#This Row],[4hours-per-week]],NA())</f>
        <v>#N/A</v>
      </c>
      <c r="L249">
        <f>IF(Tabela4[[#This Row],[4Income]]="&gt;50K",Tabela4[[#This Row],[4Age]],NA())</f>
        <v>36</v>
      </c>
      <c r="M249">
        <f>IF(Tabela4[[#This Row],[4Income]]="&gt;50K",Tabela4[[#This Row],[4hours-per-week]],NA())</f>
        <v>50</v>
      </c>
    </row>
    <row r="250" spans="1:13">
      <c r="A250">
        <v>26</v>
      </c>
      <c r="B250">
        <v>45</v>
      </c>
      <c r="C250">
        <v>13</v>
      </c>
      <c r="D250">
        <v>45</v>
      </c>
      <c r="E250">
        <v>26</v>
      </c>
      <c r="F250">
        <v>13</v>
      </c>
      <c r="G250">
        <v>26</v>
      </c>
      <c r="H250">
        <v>45</v>
      </c>
      <c r="I250" t="s">
        <v>8</v>
      </c>
      <c r="J250">
        <f>IF(Tabela4[[#This Row],[4Income]]="&lt;=50K",Tabela4[[#This Row],[4Age]],NA())</f>
        <v>26</v>
      </c>
      <c r="K250">
        <f>IF(Tabela4[[#This Row],[4Income]]="&lt;=50K",Tabela4[[#This Row],[4hours-per-week]],NA())</f>
        <v>45</v>
      </c>
      <c r="L250" t="e">
        <f>IF(Tabela4[[#This Row],[4Income]]="&gt;50K",Tabela4[[#This Row],[4Age]],NA())</f>
        <v>#N/A</v>
      </c>
      <c r="M250" t="e">
        <f>IF(Tabela4[[#This Row],[4Income]]="&gt;50K",Tabela4[[#This Row],[4hours-per-week]],NA())</f>
        <v>#N/A</v>
      </c>
    </row>
    <row r="251" spans="1:13">
      <c r="A251">
        <v>37</v>
      </c>
      <c r="B251">
        <v>35</v>
      </c>
      <c r="C251">
        <v>9</v>
      </c>
      <c r="D251">
        <v>35</v>
      </c>
      <c r="E251">
        <v>37</v>
      </c>
      <c r="F251">
        <v>9</v>
      </c>
      <c r="G251">
        <v>37</v>
      </c>
      <c r="H251">
        <v>35</v>
      </c>
      <c r="I251" t="s">
        <v>8</v>
      </c>
      <c r="J251">
        <f>IF(Tabela4[[#This Row],[4Income]]="&lt;=50K",Tabela4[[#This Row],[4Age]],NA())</f>
        <v>37</v>
      </c>
      <c r="K251">
        <f>IF(Tabela4[[#This Row],[4Income]]="&lt;=50K",Tabela4[[#This Row],[4hours-per-week]],NA())</f>
        <v>35</v>
      </c>
      <c r="L251" t="e">
        <f>IF(Tabela4[[#This Row],[4Income]]="&gt;50K",Tabela4[[#This Row],[4Age]],NA())</f>
        <v>#N/A</v>
      </c>
      <c r="M251" t="e">
        <f>IF(Tabela4[[#This Row],[4Income]]="&gt;50K",Tabela4[[#This Row],[4hours-per-week]],NA())</f>
        <v>#N/A</v>
      </c>
    </row>
    <row r="252" spans="1:13">
      <c r="A252">
        <v>27</v>
      </c>
      <c r="B252">
        <v>40</v>
      </c>
      <c r="C252">
        <v>13</v>
      </c>
      <c r="D252">
        <v>40</v>
      </c>
      <c r="E252">
        <v>27</v>
      </c>
      <c r="F252">
        <v>13</v>
      </c>
      <c r="G252">
        <v>27</v>
      </c>
      <c r="H252">
        <v>40</v>
      </c>
      <c r="I252" t="s">
        <v>8</v>
      </c>
      <c r="J252">
        <f>IF(Tabela4[[#This Row],[4Income]]="&lt;=50K",Tabela4[[#This Row],[4Age]],NA())</f>
        <v>27</v>
      </c>
      <c r="K252">
        <f>IF(Tabela4[[#This Row],[4Income]]="&lt;=50K",Tabela4[[#This Row],[4hours-per-week]],NA())</f>
        <v>40</v>
      </c>
      <c r="L252" t="e">
        <f>IF(Tabela4[[#This Row],[4Income]]="&gt;50K",Tabela4[[#This Row],[4Age]],NA())</f>
        <v>#N/A</v>
      </c>
      <c r="M252" t="e">
        <f>IF(Tabela4[[#This Row],[4Income]]="&gt;50K",Tabela4[[#This Row],[4hours-per-week]],NA())</f>
        <v>#N/A</v>
      </c>
    </row>
    <row r="253" spans="1:13">
      <c r="A253">
        <v>18</v>
      </c>
      <c r="B253">
        <v>16</v>
      </c>
      <c r="C253">
        <v>7</v>
      </c>
      <c r="D253">
        <v>16</v>
      </c>
      <c r="E253">
        <v>18</v>
      </c>
      <c r="F253">
        <v>7</v>
      </c>
      <c r="G253">
        <v>18</v>
      </c>
      <c r="H253">
        <v>16</v>
      </c>
      <c r="I253" t="s">
        <v>8</v>
      </c>
      <c r="J253">
        <f>IF(Tabela4[[#This Row],[4Income]]="&lt;=50K",Tabela4[[#This Row],[4Age]],NA())</f>
        <v>18</v>
      </c>
      <c r="K253">
        <f>IF(Tabela4[[#This Row],[4Income]]="&lt;=50K",Tabela4[[#This Row],[4hours-per-week]],NA())</f>
        <v>16</v>
      </c>
      <c r="L253" t="e">
        <f>IF(Tabela4[[#This Row],[4Income]]="&gt;50K",Tabela4[[#This Row],[4Age]],NA())</f>
        <v>#N/A</v>
      </c>
      <c r="M253" t="e">
        <f>IF(Tabela4[[#This Row],[4Income]]="&gt;50K",Tabela4[[#This Row],[4hours-per-week]],NA())</f>
        <v>#N/A</v>
      </c>
    </row>
    <row r="254" spans="1:13">
      <c r="A254">
        <v>24</v>
      </c>
      <c r="B254">
        <v>20</v>
      </c>
      <c r="C254">
        <v>10</v>
      </c>
      <c r="D254">
        <v>20</v>
      </c>
      <c r="E254">
        <v>24</v>
      </c>
      <c r="F254">
        <v>10</v>
      </c>
      <c r="G254">
        <v>24</v>
      </c>
      <c r="H254">
        <v>20</v>
      </c>
      <c r="I254" t="s">
        <v>8</v>
      </c>
      <c r="J254">
        <f>IF(Tabela4[[#This Row],[4Income]]="&lt;=50K",Tabela4[[#This Row],[4Age]],NA())</f>
        <v>24</v>
      </c>
      <c r="K254">
        <f>IF(Tabela4[[#This Row],[4Income]]="&lt;=50K",Tabela4[[#This Row],[4hours-per-week]],NA())</f>
        <v>20</v>
      </c>
      <c r="L254" t="e">
        <f>IF(Tabela4[[#This Row],[4Income]]="&gt;50K",Tabela4[[#This Row],[4Age]],NA())</f>
        <v>#N/A</v>
      </c>
      <c r="M254" t="e">
        <f>IF(Tabela4[[#This Row],[4Income]]="&gt;50K",Tabela4[[#This Row],[4hours-per-week]],NA())</f>
        <v>#N/A</v>
      </c>
    </row>
    <row r="255" spans="1:13">
      <c r="A255">
        <v>47</v>
      </c>
      <c r="B255">
        <v>35</v>
      </c>
      <c r="C255">
        <v>10</v>
      </c>
      <c r="D255">
        <v>35</v>
      </c>
      <c r="E255">
        <v>47</v>
      </c>
      <c r="F255">
        <v>10</v>
      </c>
      <c r="G255">
        <v>47</v>
      </c>
      <c r="H255">
        <v>35</v>
      </c>
      <c r="I255" t="s">
        <v>8</v>
      </c>
      <c r="J255">
        <f>IF(Tabela4[[#This Row],[4Income]]="&lt;=50K",Tabela4[[#This Row],[4Age]],NA())</f>
        <v>47</v>
      </c>
      <c r="K255">
        <f>IF(Tabela4[[#This Row],[4Income]]="&lt;=50K",Tabela4[[#This Row],[4hours-per-week]],NA())</f>
        <v>35</v>
      </c>
      <c r="L255" t="e">
        <f>IF(Tabela4[[#This Row],[4Income]]="&gt;50K",Tabela4[[#This Row],[4Age]],NA())</f>
        <v>#N/A</v>
      </c>
      <c r="M255" t="e">
        <f>IF(Tabela4[[#This Row],[4Income]]="&gt;50K",Tabela4[[#This Row],[4hours-per-week]],NA())</f>
        <v>#N/A</v>
      </c>
    </row>
    <row r="256" spans="1:13">
      <c r="A256">
        <v>48</v>
      </c>
      <c r="B256">
        <v>45</v>
      </c>
      <c r="C256">
        <v>13</v>
      </c>
      <c r="D256">
        <v>45</v>
      </c>
      <c r="E256">
        <v>48</v>
      </c>
      <c r="F256">
        <v>13</v>
      </c>
      <c r="G256">
        <v>48</v>
      </c>
      <c r="H256">
        <v>45</v>
      </c>
      <c r="I256" t="s">
        <v>8</v>
      </c>
      <c r="J256">
        <f>IF(Tabela4[[#This Row],[4Income]]="&lt;=50K",Tabela4[[#This Row],[4Age]],NA())</f>
        <v>48</v>
      </c>
      <c r="K256">
        <f>IF(Tabela4[[#This Row],[4Income]]="&lt;=50K",Tabela4[[#This Row],[4hours-per-week]],NA())</f>
        <v>45</v>
      </c>
      <c r="L256" t="e">
        <f>IF(Tabela4[[#This Row],[4Income]]="&gt;50K",Tabela4[[#This Row],[4Age]],NA())</f>
        <v>#N/A</v>
      </c>
      <c r="M256" t="e">
        <f>IF(Tabela4[[#This Row],[4Income]]="&gt;50K",Tabela4[[#This Row],[4hours-per-week]],NA())</f>
        <v>#N/A</v>
      </c>
    </row>
    <row r="257" spans="1:13">
      <c r="A257">
        <v>39</v>
      </c>
      <c r="B257">
        <v>60</v>
      </c>
      <c r="C257">
        <v>13</v>
      </c>
      <c r="D257">
        <v>60</v>
      </c>
      <c r="E257">
        <v>39</v>
      </c>
      <c r="F257">
        <v>13</v>
      </c>
      <c r="G257">
        <v>39</v>
      </c>
      <c r="H257">
        <v>60</v>
      </c>
      <c r="I257" t="s">
        <v>8</v>
      </c>
      <c r="J257">
        <f>IF(Tabela4[[#This Row],[4Income]]="&lt;=50K",Tabela4[[#This Row],[4Age]],NA())</f>
        <v>39</v>
      </c>
      <c r="K257">
        <f>IF(Tabela4[[#This Row],[4Income]]="&lt;=50K",Tabela4[[#This Row],[4hours-per-week]],NA())</f>
        <v>60</v>
      </c>
      <c r="L257" t="e">
        <f>IF(Tabela4[[#This Row],[4Income]]="&gt;50K",Tabela4[[#This Row],[4Age]],NA())</f>
        <v>#N/A</v>
      </c>
      <c r="M257" t="e">
        <f>IF(Tabela4[[#This Row],[4Income]]="&gt;50K",Tabela4[[#This Row],[4hours-per-week]],NA())</f>
        <v>#N/A</v>
      </c>
    </row>
    <row r="258" spans="1:13">
      <c r="A258">
        <v>26</v>
      </c>
      <c r="B258">
        <v>24</v>
      </c>
      <c r="C258">
        <v>13</v>
      </c>
      <c r="D258">
        <v>24</v>
      </c>
      <c r="E258">
        <v>26</v>
      </c>
      <c r="F258">
        <v>13</v>
      </c>
      <c r="G258">
        <v>26</v>
      </c>
      <c r="H258">
        <v>24</v>
      </c>
      <c r="I258" t="s">
        <v>8</v>
      </c>
      <c r="J258">
        <f>IF(Tabela4[[#This Row],[4Income]]="&lt;=50K",Tabela4[[#This Row],[4Age]],NA())</f>
        <v>26</v>
      </c>
      <c r="K258">
        <f>IF(Tabela4[[#This Row],[4Income]]="&lt;=50K",Tabela4[[#This Row],[4hours-per-week]],NA())</f>
        <v>24</v>
      </c>
      <c r="L258" t="e">
        <f>IF(Tabela4[[#This Row],[4Income]]="&gt;50K",Tabela4[[#This Row],[4Age]],NA())</f>
        <v>#N/A</v>
      </c>
      <c r="M258" t="e">
        <f>IF(Tabela4[[#This Row],[4Income]]="&gt;50K",Tabela4[[#This Row],[4hours-per-week]],NA())</f>
        <v>#N/A</v>
      </c>
    </row>
    <row r="259" spans="1:13">
      <c r="A259">
        <v>51</v>
      </c>
      <c r="B259">
        <v>40</v>
      </c>
      <c r="C259">
        <v>9</v>
      </c>
      <c r="D259">
        <v>40</v>
      </c>
      <c r="E259">
        <v>51</v>
      </c>
      <c r="F259">
        <v>9</v>
      </c>
      <c r="G259">
        <v>51</v>
      </c>
      <c r="H259">
        <v>40</v>
      </c>
      <c r="I259" t="s">
        <v>19</v>
      </c>
      <c r="J259" t="e">
        <f>IF(Tabela4[[#This Row],[4Income]]="&lt;=50K",Tabela4[[#This Row],[4Age]],NA())</f>
        <v>#N/A</v>
      </c>
      <c r="K259" t="e">
        <f>IF(Tabela4[[#This Row],[4Income]]="&lt;=50K",Tabela4[[#This Row],[4hours-per-week]],NA())</f>
        <v>#N/A</v>
      </c>
      <c r="L259">
        <f>IF(Tabela4[[#This Row],[4Income]]="&gt;50K",Tabela4[[#This Row],[4Age]],NA())</f>
        <v>51</v>
      </c>
      <c r="M259">
        <f>IF(Tabela4[[#This Row],[4Income]]="&gt;50K",Tabela4[[#This Row],[4hours-per-week]],NA())</f>
        <v>40</v>
      </c>
    </row>
    <row r="260" spans="1:13">
      <c r="A260">
        <v>32</v>
      </c>
      <c r="B260">
        <v>40</v>
      </c>
      <c r="C260">
        <v>9</v>
      </c>
      <c r="D260">
        <v>40</v>
      </c>
      <c r="E260">
        <v>32</v>
      </c>
      <c r="F260">
        <v>9</v>
      </c>
      <c r="G260">
        <v>32</v>
      </c>
      <c r="H260">
        <v>40</v>
      </c>
      <c r="I260" t="s">
        <v>8</v>
      </c>
      <c r="J260">
        <f>IF(Tabela4[[#This Row],[4Income]]="&lt;=50K",Tabela4[[#This Row],[4Age]],NA())</f>
        <v>32</v>
      </c>
      <c r="K260">
        <f>IF(Tabela4[[#This Row],[4Income]]="&lt;=50K",Tabela4[[#This Row],[4hours-per-week]],NA())</f>
        <v>40</v>
      </c>
      <c r="L260" t="e">
        <f>IF(Tabela4[[#This Row],[4Income]]="&gt;50K",Tabela4[[#This Row],[4Age]],NA())</f>
        <v>#N/A</v>
      </c>
      <c r="M260" t="e">
        <f>IF(Tabela4[[#This Row],[4Income]]="&gt;50K",Tabela4[[#This Row],[4hours-per-week]],NA())</f>
        <v>#N/A</v>
      </c>
    </row>
    <row r="261" spans="1:13">
      <c r="A261">
        <v>38</v>
      </c>
      <c r="B261">
        <v>40</v>
      </c>
      <c r="C261">
        <v>10</v>
      </c>
      <c r="D261">
        <v>40</v>
      </c>
      <c r="E261">
        <v>38</v>
      </c>
      <c r="F261">
        <v>10</v>
      </c>
      <c r="G261">
        <v>38</v>
      </c>
      <c r="H261">
        <v>40</v>
      </c>
      <c r="I261" t="s">
        <v>8</v>
      </c>
      <c r="J261">
        <f>IF(Tabela4[[#This Row],[4Income]]="&lt;=50K",Tabela4[[#This Row],[4Age]],NA())</f>
        <v>38</v>
      </c>
      <c r="K261">
        <f>IF(Tabela4[[#This Row],[4Income]]="&lt;=50K",Tabela4[[#This Row],[4hours-per-week]],NA())</f>
        <v>40</v>
      </c>
      <c r="L261" t="e">
        <f>IF(Tabela4[[#This Row],[4Income]]="&gt;50K",Tabela4[[#This Row],[4Age]],NA())</f>
        <v>#N/A</v>
      </c>
      <c r="M261" t="e">
        <f>IF(Tabela4[[#This Row],[4Income]]="&gt;50K",Tabela4[[#This Row],[4hours-per-week]],NA())</f>
        <v>#N/A</v>
      </c>
    </row>
    <row r="262" spans="1:13">
      <c r="A262">
        <v>41</v>
      </c>
      <c r="B262">
        <v>65</v>
      </c>
      <c r="C262">
        <v>14</v>
      </c>
      <c r="D262">
        <v>65</v>
      </c>
      <c r="E262">
        <v>41</v>
      </c>
      <c r="F262">
        <v>14</v>
      </c>
      <c r="G262">
        <v>41</v>
      </c>
      <c r="H262">
        <v>65</v>
      </c>
      <c r="I262" t="s">
        <v>8</v>
      </c>
      <c r="J262">
        <f>IF(Tabela4[[#This Row],[4Income]]="&lt;=50K",Tabela4[[#This Row],[4Age]],NA())</f>
        <v>41</v>
      </c>
      <c r="K262">
        <f>IF(Tabela4[[#This Row],[4Income]]="&lt;=50K",Tabela4[[#This Row],[4hours-per-week]],NA())</f>
        <v>65</v>
      </c>
      <c r="L262" t="e">
        <f>IF(Tabela4[[#This Row],[4Income]]="&gt;50K",Tabela4[[#This Row],[4Age]],NA())</f>
        <v>#N/A</v>
      </c>
      <c r="M262" t="e">
        <f>IF(Tabela4[[#This Row],[4Income]]="&gt;50K",Tabela4[[#This Row],[4hours-per-week]],NA())</f>
        <v>#N/A</v>
      </c>
    </row>
    <row r="263" spans="1:13">
      <c r="A263">
        <v>27</v>
      </c>
      <c r="B263">
        <v>40</v>
      </c>
      <c r="C263">
        <v>10</v>
      </c>
      <c r="D263">
        <v>40</v>
      </c>
      <c r="E263">
        <v>27</v>
      </c>
      <c r="F263">
        <v>10</v>
      </c>
      <c r="G263">
        <v>27</v>
      </c>
      <c r="H263">
        <v>40</v>
      </c>
      <c r="I263" t="s">
        <v>8</v>
      </c>
      <c r="J263">
        <f>IF(Tabela4[[#This Row],[4Income]]="&lt;=50K",Tabela4[[#This Row],[4Age]],NA())</f>
        <v>27</v>
      </c>
      <c r="K263">
        <f>IF(Tabela4[[#This Row],[4Income]]="&lt;=50K",Tabela4[[#This Row],[4hours-per-week]],NA())</f>
        <v>40</v>
      </c>
      <c r="L263" t="e">
        <f>IF(Tabela4[[#This Row],[4Income]]="&gt;50K",Tabela4[[#This Row],[4Age]],NA())</f>
        <v>#N/A</v>
      </c>
      <c r="M263" t="e">
        <f>IF(Tabela4[[#This Row],[4Income]]="&gt;50K",Tabela4[[#This Row],[4hours-per-week]],NA())</f>
        <v>#N/A</v>
      </c>
    </row>
    <row r="264" spans="1:13">
      <c r="A264">
        <v>52</v>
      </c>
      <c r="B264">
        <v>50</v>
      </c>
      <c r="C264">
        <v>15</v>
      </c>
      <c r="D264">
        <v>50</v>
      </c>
      <c r="E264">
        <v>52</v>
      </c>
      <c r="F264">
        <v>15</v>
      </c>
      <c r="G264">
        <v>52</v>
      </c>
      <c r="H264">
        <v>50</v>
      </c>
      <c r="I264" t="s">
        <v>19</v>
      </c>
      <c r="J264" t="e">
        <f>IF(Tabela4[[#This Row],[4Income]]="&lt;=50K",Tabela4[[#This Row],[4Age]],NA())</f>
        <v>#N/A</v>
      </c>
      <c r="K264" t="e">
        <f>IF(Tabela4[[#This Row],[4Income]]="&lt;=50K",Tabela4[[#This Row],[4hours-per-week]],NA())</f>
        <v>#N/A</v>
      </c>
      <c r="L264">
        <f>IF(Tabela4[[#This Row],[4Income]]="&gt;50K",Tabela4[[#This Row],[4Age]],NA())</f>
        <v>52</v>
      </c>
      <c r="M264">
        <f>IF(Tabela4[[#This Row],[4Income]]="&gt;50K",Tabela4[[#This Row],[4hours-per-week]],NA())</f>
        <v>50</v>
      </c>
    </row>
    <row r="265" spans="1:13">
      <c r="A265">
        <v>28</v>
      </c>
      <c r="B265">
        <v>40</v>
      </c>
      <c r="C265">
        <v>9</v>
      </c>
      <c r="D265">
        <v>40</v>
      </c>
      <c r="E265">
        <v>28</v>
      </c>
      <c r="F265">
        <v>9</v>
      </c>
      <c r="G265">
        <v>28</v>
      </c>
      <c r="H265">
        <v>40</v>
      </c>
      <c r="I265" t="s">
        <v>8</v>
      </c>
      <c r="J265">
        <f>IF(Tabela4[[#This Row],[4Income]]="&lt;=50K",Tabela4[[#This Row],[4Age]],NA())</f>
        <v>28</v>
      </c>
      <c r="K265">
        <f>IF(Tabela4[[#This Row],[4Income]]="&lt;=50K",Tabela4[[#This Row],[4hours-per-week]],NA())</f>
        <v>40</v>
      </c>
      <c r="L265" t="e">
        <f>IF(Tabela4[[#This Row],[4Income]]="&gt;50K",Tabela4[[#This Row],[4Age]],NA())</f>
        <v>#N/A</v>
      </c>
      <c r="M265" t="e">
        <f>IF(Tabela4[[#This Row],[4Income]]="&gt;50K",Tabela4[[#This Row],[4hours-per-week]],NA())</f>
        <v>#N/A</v>
      </c>
    </row>
    <row r="266" spans="1:13">
      <c r="A266">
        <v>54</v>
      </c>
      <c r="B266">
        <v>50</v>
      </c>
      <c r="C266">
        <v>14</v>
      </c>
      <c r="D266">
        <v>50</v>
      </c>
      <c r="E266">
        <v>54</v>
      </c>
      <c r="F266">
        <v>14</v>
      </c>
      <c r="G266">
        <v>54</v>
      </c>
      <c r="H266">
        <v>50</v>
      </c>
      <c r="I266" t="s">
        <v>19</v>
      </c>
      <c r="J266" t="e">
        <f>IF(Tabela4[[#This Row],[4Income]]="&lt;=50K",Tabela4[[#This Row],[4Age]],NA())</f>
        <v>#N/A</v>
      </c>
      <c r="K266" t="e">
        <f>IF(Tabela4[[#This Row],[4Income]]="&lt;=50K",Tabela4[[#This Row],[4hours-per-week]],NA())</f>
        <v>#N/A</v>
      </c>
      <c r="L266">
        <f>IF(Tabela4[[#This Row],[4Income]]="&gt;50K",Tabela4[[#This Row],[4Age]],NA())</f>
        <v>54</v>
      </c>
      <c r="M266">
        <f>IF(Tabela4[[#This Row],[4Income]]="&gt;50K",Tabela4[[#This Row],[4hours-per-week]],NA())</f>
        <v>50</v>
      </c>
    </row>
    <row r="267" spans="1:13">
      <c r="A267">
        <v>71</v>
      </c>
      <c r="B267">
        <v>40</v>
      </c>
      <c r="C267">
        <v>11</v>
      </c>
      <c r="D267">
        <v>40</v>
      </c>
      <c r="E267">
        <v>71</v>
      </c>
      <c r="F267">
        <v>11</v>
      </c>
      <c r="G267">
        <v>71</v>
      </c>
      <c r="H267">
        <v>40</v>
      </c>
      <c r="I267" t="s">
        <v>8</v>
      </c>
      <c r="J267">
        <f>IF(Tabela4[[#This Row],[4Income]]="&lt;=50K",Tabela4[[#This Row],[4Age]],NA())</f>
        <v>71</v>
      </c>
      <c r="K267">
        <f>IF(Tabela4[[#This Row],[4Income]]="&lt;=50K",Tabela4[[#This Row],[4hours-per-week]],NA())</f>
        <v>40</v>
      </c>
      <c r="L267" t="e">
        <f>IF(Tabela4[[#This Row],[4Income]]="&gt;50K",Tabela4[[#This Row],[4Age]],NA())</f>
        <v>#N/A</v>
      </c>
      <c r="M267" t="e">
        <f>IF(Tabela4[[#This Row],[4Income]]="&gt;50K",Tabela4[[#This Row],[4hours-per-week]],NA())</f>
        <v>#N/A</v>
      </c>
    </row>
    <row r="268" spans="1:13">
      <c r="A268">
        <v>57</v>
      </c>
      <c r="B268">
        <v>40</v>
      </c>
      <c r="C268">
        <v>9</v>
      </c>
      <c r="D268">
        <v>40</v>
      </c>
      <c r="E268">
        <v>57</v>
      </c>
      <c r="F268">
        <v>9</v>
      </c>
      <c r="G268">
        <v>57</v>
      </c>
      <c r="H268">
        <v>40</v>
      </c>
      <c r="I268" t="s">
        <v>19</v>
      </c>
      <c r="J268" t="e">
        <f>IF(Tabela4[[#This Row],[4Income]]="&lt;=50K",Tabela4[[#This Row],[4Age]],NA())</f>
        <v>#N/A</v>
      </c>
      <c r="K268" t="e">
        <f>IF(Tabela4[[#This Row],[4Income]]="&lt;=50K",Tabela4[[#This Row],[4hours-per-week]],NA())</f>
        <v>#N/A</v>
      </c>
      <c r="L268">
        <f>IF(Tabela4[[#This Row],[4Income]]="&gt;50K",Tabela4[[#This Row],[4Age]],NA())</f>
        <v>57</v>
      </c>
      <c r="M268">
        <f>IF(Tabela4[[#This Row],[4Income]]="&gt;50K",Tabela4[[#This Row],[4hours-per-week]],NA())</f>
        <v>40</v>
      </c>
    </row>
    <row r="269" spans="1:13">
      <c r="A269">
        <v>33</v>
      </c>
      <c r="B269">
        <v>60</v>
      </c>
      <c r="C269">
        <v>12</v>
      </c>
      <c r="D269">
        <v>60</v>
      </c>
      <c r="E269">
        <v>33</v>
      </c>
      <c r="F269">
        <v>12</v>
      </c>
      <c r="G269">
        <v>33</v>
      </c>
      <c r="H269">
        <v>60</v>
      </c>
      <c r="I269" t="s">
        <v>8</v>
      </c>
      <c r="J269">
        <f>IF(Tabela4[[#This Row],[4Income]]="&lt;=50K",Tabela4[[#This Row],[4Age]],NA())</f>
        <v>33</v>
      </c>
      <c r="K269">
        <f>IF(Tabela4[[#This Row],[4Income]]="&lt;=50K",Tabela4[[#This Row],[4hours-per-week]],NA())</f>
        <v>60</v>
      </c>
      <c r="L269" t="e">
        <f>IF(Tabela4[[#This Row],[4Income]]="&gt;50K",Tabela4[[#This Row],[4Age]],NA())</f>
        <v>#N/A</v>
      </c>
      <c r="M269" t="e">
        <f>IF(Tabela4[[#This Row],[4Income]]="&gt;50K",Tabela4[[#This Row],[4hours-per-week]],NA())</f>
        <v>#N/A</v>
      </c>
    </row>
    <row r="270" spans="1:13">
      <c r="A270">
        <v>50</v>
      </c>
      <c r="B270">
        <v>40</v>
      </c>
      <c r="C270">
        <v>10</v>
      </c>
      <c r="D270">
        <v>40</v>
      </c>
      <c r="E270">
        <v>50</v>
      </c>
      <c r="F270">
        <v>10</v>
      </c>
      <c r="G270">
        <v>50</v>
      </c>
      <c r="H270">
        <v>40</v>
      </c>
      <c r="I270" t="s">
        <v>8</v>
      </c>
      <c r="J270">
        <f>IF(Tabela4[[#This Row],[4Income]]="&lt;=50K",Tabela4[[#This Row],[4Age]],NA())</f>
        <v>50</v>
      </c>
      <c r="K270">
        <f>IF(Tabela4[[#This Row],[4Income]]="&lt;=50K",Tabela4[[#This Row],[4hours-per-week]],NA())</f>
        <v>40</v>
      </c>
      <c r="L270" t="e">
        <f>IF(Tabela4[[#This Row],[4Income]]="&gt;50K",Tabela4[[#This Row],[4Age]],NA())</f>
        <v>#N/A</v>
      </c>
      <c r="M270" t="e">
        <f>IF(Tabela4[[#This Row],[4Income]]="&gt;50K",Tabela4[[#This Row],[4hours-per-week]],NA())</f>
        <v>#N/A</v>
      </c>
    </row>
    <row r="271" spans="1:13">
      <c r="A271">
        <v>66</v>
      </c>
      <c r="B271">
        <v>40</v>
      </c>
      <c r="C271">
        <v>9</v>
      </c>
      <c r="D271">
        <v>40</v>
      </c>
      <c r="E271">
        <v>66</v>
      </c>
      <c r="F271">
        <v>9</v>
      </c>
      <c r="G271">
        <v>66</v>
      </c>
      <c r="H271">
        <v>40</v>
      </c>
      <c r="I271" t="s">
        <v>19</v>
      </c>
      <c r="J271" t="e">
        <f>IF(Tabela4[[#This Row],[4Income]]="&lt;=50K",Tabela4[[#This Row],[4Age]],NA())</f>
        <v>#N/A</v>
      </c>
      <c r="K271" t="e">
        <f>IF(Tabela4[[#This Row],[4Income]]="&lt;=50K",Tabela4[[#This Row],[4hours-per-week]],NA())</f>
        <v>#N/A</v>
      </c>
      <c r="L271">
        <f>IF(Tabela4[[#This Row],[4Income]]="&gt;50K",Tabela4[[#This Row],[4Age]],NA())</f>
        <v>66</v>
      </c>
      <c r="M271">
        <f>IF(Tabela4[[#This Row],[4Income]]="&gt;50K",Tabela4[[#This Row],[4hours-per-week]],NA())</f>
        <v>40</v>
      </c>
    </row>
    <row r="272" spans="1:13">
      <c r="A272">
        <v>41</v>
      </c>
      <c r="B272">
        <v>45</v>
      </c>
      <c r="C272">
        <v>10</v>
      </c>
      <c r="D272">
        <v>45</v>
      </c>
      <c r="E272">
        <v>41</v>
      </c>
      <c r="F272">
        <v>10</v>
      </c>
      <c r="G272">
        <v>41</v>
      </c>
      <c r="H272">
        <v>45</v>
      </c>
      <c r="I272" t="s">
        <v>8</v>
      </c>
      <c r="J272">
        <f>IF(Tabela4[[#This Row],[4Income]]="&lt;=50K",Tabela4[[#This Row],[4Age]],NA())</f>
        <v>41</v>
      </c>
      <c r="K272">
        <f>IF(Tabela4[[#This Row],[4Income]]="&lt;=50K",Tabela4[[#This Row],[4hours-per-week]],NA())</f>
        <v>45</v>
      </c>
      <c r="L272" t="e">
        <f>IF(Tabela4[[#This Row],[4Income]]="&gt;50K",Tabela4[[#This Row],[4Age]],NA())</f>
        <v>#N/A</v>
      </c>
      <c r="M272" t="e">
        <f>IF(Tabela4[[#This Row],[4Income]]="&gt;50K",Tabela4[[#This Row],[4hours-per-week]],NA())</f>
        <v>#N/A</v>
      </c>
    </row>
    <row r="273" spans="1:13">
      <c r="A273">
        <v>25</v>
      </c>
      <c r="B273">
        <v>38</v>
      </c>
      <c r="C273">
        <v>13</v>
      </c>
      <c r="D273">
        <v>38</v>
      </c>
      <c r="E273">
        <v>25</v>
      </c>
      <c r="F273">
        <v>13</v>
      </c>
      <c r="G273">
        <v>25</v>
      </c>
      <c r="H273">
        <v>38</v>
      </c>
      <c r="I273" t="s">
        <v>8</v>
      </c>
      <c r="J273">
        <f>IF(Tabela4[[#This Row],[4Income]]="&lt;=50K",Tabela4[[#This Row],[4Age]],NA())</f>
        <v>25</v>
      </c>
      <c r="K273">
        <f>IF(Tabela4[[#This Row],[4Income]]="&lt;=50K",Tabela4[[#This Row],[4hours-per-week]],NA())</f>
        <v>38</v>
      </c>
      <c r="L273" t="e">
        <f>IF(Tabela4[[#This Row],[4Income]]="&gt;50K",Tabela4[[#This Row],[4Age]],NA())</f>
        <v>#N/A</v>
      </c>
      <c r="M273" t="e">
        <f>IF(Tabela4[[#This Row],[4Income]]="&gt;50K",Tabela4[[#This Row],[4hours-per-week]],NA())</f>
        <v>#N/A</v>
      </c>
    </row>
    <row r="274" spans="1:13">
      <c r="A274">
        <v>31</v>
      </c>
      <c r="B274">
        <v>40</v>
      </c>
      <c r="C274">
        <v>9</v>
      </c>
      <c r="D274">
        <v>40</v>
      </c>
      <c r="E274">
        <v>31</v>
      </c>
      <c r="F274">
        <v>9</v>
      </c>
      <c r="G274">
        <v>31</v>
      </c>
      <c r="H274">
        <v>40</v>
      </c>
      <c r="I274" t="s">
        <v>8</v>
      </c>
      <c r="J274">
        <f>IF(Tabela4[[#This Row],[4Income]]="&lt;=50K",Tabela4[[#This Row],[4Age]],NA())</f>
        <v>31</v>
      </c>
      <c r="K274">
        <f>IF(Tabela4[[#This Row],[4Income]]="&lt;=50K",Tabela4[[#This Row],[4hours-per-week]],NA())</f>
        <v>40</v>
      </c>
      <c r="L274" t="e">
        <f>IF(Tabela4[[#This Row],[4Income]]="&gt;50K",Tabela4[[#This Row],[4Age]],NA())</f>
        <v>#N/A</v>
      </c>
      <c r="M274" t="e">
        <f>IF(Tabela4[[#This Row],[4Income]]="&gt;50K",Tabela4[[#This Row],[4hours-per-week]],NA())</f>
        <v>#N/A</v>
      </c>
    </row>
    <row r="275" spans="1:13">
      <c r="A275">
        <v>47</v>
      </c>
      <c r="B275">
        <v>40</v>
      </c>
      <c r="C275">
        <v>13</v>
      </c>
      <c r="D275">
        <v>40</v>
      </c>
      <c r="E275">
        <v>47</v>
      </c>
      <c r="F275">
        <v>13</v>
      </c>
      <c r="G275">
        <v>47</v>
      </c>
      <c r="H275">
        <v>40</v>
      </c>
      <c r="I275" t="s">
        <v>19</v>
      </c>
      <c r="J275" t="e">
        <f>IF(Tabela4[[#This Row],[4Income]]="&lt;=50K",Tabela4[[#This Row],[4Age]],NA())</f>
        <v>#N/A</v>
      </c>
      <c r="K275" t="e">
        <f>IF(Tabela4[[#This Row],[4Income]]="&lt;=50K",Tabela4[[#This Row],[4hours-per-week]],NA())</f>
        <v>#N/A</v>
      </c>
      <c r="L275">
        <f>IF(Tabela4[[#This Row],[4Income]]="&gt;50K",Tabela4[[#This Row],[4Age]],NA())</f>
        <v>47</v>
      </c>
      <c r="M275">
        <f>IF(Tabela4[[#This Row],[4Income]]="&gt;50K",Tabela4[[#This Row],[4hours-per-week]],NA())</f>
        <v>40</v>
      </c>
    </row>
    <row r="276" spans="1:13">
      <c r="A276">
        <v>21</v>
      </c>
      <c r="B276">
        <v>40</v>
      </c>
      <c r="C276">
        <v>10</v>
      </c>
      <c r="D276">
        <v>40</v>
      </c>
      <c r="E276">
        <v>21</v>
      </c>
      <c r="F276">
        <v>10</v>
      </c>
      <c r="G276">
        <v>21</v>
      </c>
      <c r="H276">
        <v>40</v>
      </c>
      <c r="I276" t="s">
        <v>8</v>
      </c>
      <c r="J276">
        <f>IF(Tabela4[[#This Row],[4Income]]="&lt;=50K",Tabela4[[#This Row],[4Age]],NA())</f>
        <v>21</v>
      </c>
      <c r="K276">
        <f>IF(Tabela4[[#This Row],[4Income]]="&lt;=50K",Tabela4[[#This Row],[4hours-per-week]],NA())</f>
        <v>40</v>
      </c>
      <c r="L276" t="e">
        <f>IF(Tabela4[[#This Row],[4Income]]="&gt;50K",Tabela4[[#This Row],[4Age]],NA())</f>
        <v>#N/A</v>
      </c>
      <c r="M276" t="e">
        <f>IF(Tabela4[[#This Row],[4Income]]="&gt;50K",Tabela4[[#This Row],[4hours-per-week]],NA())</f>
        <v>#N/A</v>
      </c>
    </row>
    <row r="277" spans="1:13">
      <c r="A277">
        <v>64</v>
      </c>
      <c r="B277">
        <v>40</v>
      </c>
      <c r="C277">
        <v>9</v>
      </c>
      <c r="D277">
        <v>40</v>
      </c>
      <c r="E277">
        <v>64</v>
      </c>
      <c r="F277">
        <v>9</v>
      </c>
      <c r="G277">
        <v>64</v>
      </c>
      <c r="H277">
        <v>40</v>
      </c>
      <c r="I277" t="s">
        <v>8</v>
      </c>
      <c r="J277">
        <f>IF(Tabela4[[#This Row],[4Income]]="&lt;=50K",Tabela4[[#This Row],[4Age]],NA())</f>
        <v>64</v>
      </c>
      <c r="K277">
        <f>IF(Tabela4[[#This Row],[4Income]]="&lt;=50K",Tabela4[[#This Row],[4hours-per-week]],NA())</f>
        <v>40</v>
      </c>
      <c r="L277" t="e">
        <f>IF(Tabela4[[#This Row],[4Income]]="&gt;50K",Tabela4[[#This Row],[4Age]],NA())</f>
        <v>#N/A</v>
      </c>
      <c r="M277" t="e">
        <f>IF(Tabela4[[#This Row],[4Income]]="&gt;50K",Tabela4[[#This Row],[4hours-per-week]],NA())</f>
        <v>#N/A</v>
      </c>
    </row>
    <row r="278" spans="1:13">
      <c r="A278">
        <v>39</v>
      </c>
      <c r="B278">
        <v>40</v>
      </c>
      <c r="C278">
        <v>9</v>
      </c>
      <c r="D278">
        <v>40</v>
      </c>
      <c r="E278">
        <v>39</v>
      </c>
      <c r="F278">
        <v>9</v>
      </c>
      <c r="G278">
        <v>39</v>
      </c>
      <c r="H278">
        <v>40</v>
      </c>
      <c r="I278" t="s">
        <v>8</v>
      </c>
      <c r="J278">
        <f>IF(Tabela4[[#This Row],[4Income]]="&lt;=50K",Tabela4[[#This Row],[4Age]],NA())</f>
        <v>39</v>
      </c>
      <c r="K278">
        <f>IF(Tabela4[[#This Row],[4Income]]="&lt;=50K",Tabela4[[#This Row],[4hours-per-week]],NA())</f>
        <v>40</v>
      </c>
      <c r="L278" t="e">
        <f>IF(Tabela4[[#This Row],[4Income]]="&gt;50K",Tabela4[[#This Row],[4Age]],NA())</f>
        <v>#N/A</v>
      </c>
      <c r="M278" t="e">
        <f>IF(Tabela4[[#This Row],[4Income]]="&gt;50K",Tabela4[[#This Row],[4hours-per-week]],NA())</f>
        <v>#N/A</v>
      </c>
    </row>
    <row r="279" spans="1:13">
      <c r="A279">
        <v>26</v>
      </c>
      <c r="B279">
        <v>50</v>
      </c>
      <c r="C279">
        <v>13</v>
      </c>
      <c r="D279">
        <v>50</v>
      </c>
      <c r="E279">
        <v>26</v>
      </c>
      <c r="F279">
        <v>13</v>
      </c>
      <c r="G279">
        <v>26</v>
      </c>
      <c r="H279">
        <v>50</v>
      </c>
      <c r="I279" t="s">
        <v>8</v>
      </c>
      <c r="J279">
        <f>IF(Tabela4[[#This Row],[4Income]]="&lt;=50K",Tabela4[[#This Row],[4Age]],NA())</f>
        <v>26</v>
      </c>
      <c r="K279">
        <f>IF(Tabela4[[#This Row],[4Income]]="&lt;=50K",Tabela4[[#This Row],[4hours-per-week]],NA())</f>
        <v>50</v>
      </c>
      <c r="L279" t="e">
        <f>IF(Tabela4[[#This Row],[4Income]]="&gt;50K",Tabela4[[#This Row],[4Age]],NA())</f>
        <v>#N/A</v>
      </c>
      <c r="M279" t="e">
        <f>IF(Tabela4[[#This Row],[4Income]]="&gt;50K",Tabela4[[#This Row],[4hours-per-week]],NA())</f>
        <v>#N/A</v>
      </c>
    </row>
    <row r="280" spans="1:13">
      <c r="A280">
        <v>22</v>
      </c>
      <c r="B280">
        <v>40</v>
      </c>
      <c r="C280">
        <v>9</v>
      </c>
      <c r="D280">
        <v>40</v>
      </c>
      <c r="E280">
        <v>22</v>
      </c>
      <c r="F280">
        <v>9</v>
      </c>
      <c r="G280">
        <v>22</v>
      </c>
      <c r="H280">
        <v>40</v>
      </c>
      <c r="I280" t="s">
        <v>8</v>
      </c>
      <c r="J280">
        <f>IF(Tabela4[[#This Row],[4Income]]="&lt;=50K",Tabela4[[#This Row],[4Age]],NA())</f>
        <v>22</v>
      </c>
      <c r="K280">
        <f>IF(Tabela4[[#This Row],[4Income]]="&lt;=50K",Tabela4[[#This Row],[4hours-per-week]],NA())</f>
        <v>40</v>
      </c>
      <c r="L280" t="e">
        <f>IF(Tabela4[[#This Row],[4Income]]="&gt;50K",Tabela4[[#This Row],[4Age]],NA())</f>
        <v>#N/A</v>
      </c>
      <c r="M280" t="e">
        <f>IF(Tabela4[[#This Row],[4Income]]="&gt;50K",Tabela4[[#This Row],[4hours-per-week]],NA())</f>
        <v>#N/A</v>
      </c>
    </row>
    <row r="281" spans="1:13">
      <c r="A281">
        <v>30</v>
      </c>
      <c r="B281">
        <v>40</v>
      </c>
      <c r="C281">
        <v>9</v>
      </c>
      <c r="D281">
        <v>40</v>
      </c>
      <c r="E281">
        <v>30</v>
      </c>
      <c r="F281">
        <v>9</v>
      </c>
      <c r="G281">
        <v>30</v>
      </c>
      <c r="H281">
        <v>40</v>
      </c>
      <c r="I281" t="s">
        <v>8</v>
      </c>
      <c r="J281">
        <f>IF(Tabela4[[#This Row],[4Income]]="&lt;=50K",Tabela4[[#This Row],[4Age]],NA())</f>
        <v>30</v>
      </c>
      <c r="K281">
        <f>IF(Tabela4[[#This Row],[4Income]]="&lt;=50K",Tabela4[[#This Row],[4hours-per-week]],NA())</f>
        <v>40</v>
      </c>
      <c r="L281" t="e">
        <f>IF(Tabela4[[#This Row],[4Income]]="&gt;50K",Tabela4[[#This Row],[4Age]],NA())</f>
        <v>#N/A</v>
      </c>
      <c r="M281" t="e">
        <f>IF(Tabela4[[#This Row],[4Income]]="&gt;50K",Tabela4[[#This Row],[4hours-per-week]],NA())</f>
        <v>#N/A</v>
      </c>
    </row>
    <row r="282" spans="1:13">
      <c r="A282">
        <v>30</v>
      </c>
      <c r="B282">
        <v>30</v>
      </c>
      <c r="C282">
        <v>9</v>
      </c>
      <c r="D282">
        <v>30</v>
      </c>
      <c r="E282">
        <v>30</v>
      </c>
      <c r="F282">
        <v>9</v>
      </c>
      <c r="G282">
        <v>30</v>
      </c>
      <c r="H282">
        <v>30</v>
      </c>
      <c r="I282" t="s">
        <v>8</v>
      </c>
      <c r="J282">
        <f>IF(Tabela4[[#This Row],[4Income]]="&lt;=50K",Tabela4[[#This Row],[4Age]],NA())</f>
        <v>30</v>
      </c>
      <c r="K282">
        <f>IF(Tabela4[[#This Row],[4Income]]="&lt;=50K",Tabela4[[#This Row],[4hours-per-week]],NA())</f>
        <v>30</v>
      </c>
      <c r="L282" t="e">
        <f>IF(Tabela4[[#This Row],[4Income]]="&gt;50K",Tabela4[[#This Row],[4Age]],NA())</f>
        <v>#N/A</v>
      </c>
      <c r="M282" t="e">
        <f>IF(Tabela4[[#This Row],[4Income]]="&gt;50K",Tabela4[[#This Row],[4hours-per-week]],NA())</f>
        <v>#N/A</v>
      </c>
    </row>
    <row r="283" spans="1:13">
      <c r="A283">
        <v>49</v>
      </c>
      <c r="B283">
        <v>40</v>
      </c>
      <c r="C283">
        <v>9</v>
      </c>
      <c r="D283">
        <v>40</v>
      </c>
      <c r="E283">
        <v>49</v>
      </c>
      <c r="F283">
        <v>9</v>
      </c>
      <c r="G283">
        <v>49</v>
      </c>
      <c r="H283">
        <v>40</v>
      </c>
      <c r="I283" t="s">
        <v>8</v>
      </c>
      <c r="J283">
        <f>IF(Tabela4[[#This Row],[4Income]]="&lt;=50K",Tabela4[[#This Row],[4Age]],NA())</f>
        <v>49</v>
      </c>
      <c r="K283">
        <f>IF(Tabela4[[#This Row],[4Income]]="&lt;=50K",Tabela4[[#This Row],[4hours-per-week]],NA())</f>
        <v>40</v>
      </c>
      <c r="L283" t="e">
        <f>IF(Tabela4[[#This Row],[4Income]]="&gt;50K",Tabela4[[#This Row],[4Age]],NA())</f>
        <v>#N/A</v>
      </c>
      <c r="M283" t="e">
        <f>IF(Tabela4[[#This Row],[4Income]]="&gt;50K",Tabela4[[#This Row],[4hours-per-week]],NA())</f>
        <v>#N/A</v>
      </c>
    </row>
    <row r="284" spans="1:13">
      <c r="A284">
        <v>22</v>
      </c>
      <c r="B284">
        <v>65</v>
      </c>
      <c r="C284">
        <v>7</v>
      </c>
      <c r="D284">
        <v>65</v>
      </c>
      <c r="E284">
        <v>22</v>
      </c>
      <c r="F284">
        <v>7</v>
      </c>
      <c r="G284">
        <v>22</v>
      </c>
      <c r="H284">
        <v>65</v>
      </c>
      <c r="I284" t="s">
        <v>8</v>
      </c>
      <c r="J284">
        <f>IF(Tabela4[[#This Row],[4Income]]="&lt;=50K",Tabela4[[#This Row],[4Age]],NA())</f>
        <v>22</v>
      </c>
      <c r="K284">
        <f>IF(Tabela4[[#This Row],[4Income]]="&lt;=50K",Tabela4[[#This Row],[4hours-per-week]],NA())</f>
        <v>65</v>
      </c>
      <c r="L284" t="e">
        <f>IF(Tabela4[[#This Row],[4Income]]="&gt;50K",Tabela4[[#This Row],[4Age]],NA())</f>
        <v>#N/A</v>
      </c>
      <c r="M284" t="e">
        <f>IF(Tabela4[[#This Row],[4Income]]="&gt;50K",Tabela4[[#This Row],[4hours-per-week]],NA())</f>
        <v>#N/A</v>
      </c>
    </row>
    <row r="285" spans="1:13">
      <c r="A285">
        <v>46</v>
      </c>
      <c r="B285">
        <v>50</v>
      </c>
      <c r="C285">
        <v>13</v>
      </c>
      <c r="D285">
        <v>50</v>
      </c>
      <c r="E285">
        <v>46</v>
      </c>
      <c r="F285">
        <v>13</v>
      </c>
      <c r="G285">
        <v>46</v>
      </c>
      <c r="H285">
        <v>50</v>
      </c>
      <c r="I285" t="s">
        <v>19</v>
      </c>
      <c r="J285" t="e">
        <f>IF(Tabela4[[#This Row],[4Income]]="&lt;=50K",Tabela4[[#This Row],[4Age]],NA())</f>
        <v>#N/A</v>
      </c>
      <c r="K285" t="e">
        <f>IF(Tabela4[[#This Row],[4Income]]="&lt;=50K",Tabela4[[#This Row],[4hours-per-week]],NA())</f>
        <v>#N/A</v>
      </c>
      <c r="L285">
        <f>IF(Tabela4[[#This Row],[4Income]]="&gt;50K",Tabela4[[#This Row],[4Age]],NA())</f>
        <v>46</v>
      </c>
      <c r="M285">
        <f>IF(Tabela4[[#This Row],[4Income]]="&gt;50K",Tabela4[[#This Row],[4hours-per-week]],NA())</f>
        <v>50</v>
      </c>
    </row>
    <row r="286" spans="1:13">
      <c r="A286">
        <v>55</v>
      </c>
      <c r="B286">
        <v>40</v>
      </c>
      <c r="C286">
        <v>9</v>
      </c>
      <c r="D286">
        <v>40</v>
      </c>
      <c r="E286">
        <v>55</v>
      </c>
      <c r="F286">
        <v>9</v>
      </c>
      <c r="G286">
        <v>55</v>
      </c>
      <c r="H286">
        <v>40</v>
      </c>
      <c r="I286" t="s">
        <v>8</v>
      </c>
      <c r="J286">
        <f>IF(Tabela4[[#This Row],[4Income]]="&lt;=50K",Tabela4[[#This Row],[4Age]],NA())</f>
        <v>55</v>
      </c>
      <c r="K286">
        <f>IF(Tabela4[[#This Row],[4Income]]="&lt;=50K",Tabela4[[#This Row],[4hours-per-week]],NA())</f>
        <v>40</v>
      </c>
      <c r="L286" t="e">
        <f>IF(Tabela4[[#This Row],[4Income]]="&gt;50K",Tabela4[[#This Row],[4Age]],NA())</f>
        <v>#N/A</v>
      </c>
      <c r="M286" t="e">
        <f>IF(Tabela4[[#This Row],[4Income]]="&gt;50K",Tabela4[[#This Row],[4hours-per-week]],NA())</f>
        <v>#N/A</v>
      </c>
    </row>
    <row r="287" spans="1:13">
      <c r="A287">
        <v>41</v>
      </c>
      <c r="B287">
        <v>40</v>
      </c>
      <c r="C287">
        <v>9</v>
      </c>
      <c r="D287">
        <v>40</v>
      </c>
      <c r="E287">
        <v>41</v>
      </c>
      <c r="F287">
        <v>9</v>
      </c>
      <c r="G287">
        <v>41</v>
      </c>
      <c r="H287">
        <v>40</v>
      </c>
      <c r="I287" t="s">
        <v>8</v>
      </c>
      <c r="J287">
        <f>IF(Tabela4[[#This Row],[4Income]]="&lt;=50K",Tabela4[[#This Row],[4Age]],NA())</f>
        <v>41</v>
      </c>
      <c r="K287">
        <f>IF(Tabela4[[#This Row],[4Income]]="&lt;=50K",Tabela4[[#This Row],[4hours-per-week]],NA())</f>
        <v>40</v>
      </c>
      <c r="L287" t="e">
        <f>IF(Tabela4[[#This Row],[4Income]]="&gt;50K",Tabela4[[#This Row],[4Age]],NA())</f>
        <v>#N/A</v>
      </c>
      <c r="M287" t="e">
        <f>IF(Tabela4[[#This Row],[4Income]]="&gt;50K",Tabela4[[#This Row],[4hours-per-week]],NA())</f>
        <v>#N/A</v>
      </c>
    </row>
    <row r="288" spans="1:13">
      <c r="A288">
        <v>65</v>
      </c>
      <c r="B288">
        <v>40</v>
      </c>
      <c r="C288">
        <v>13</v>
      </c>
      <c r="D288">
        <v>40</v>
      </c>
      <c r="E288">
        <v>65</v>
      </c>
      <c r="F288">
        <v>13</v>
      </c>
      <c r="G288">
        <v>65</v>
      </c>
      <c r="H288">
        <v>40</v>
      </c>
      <c r="I288" t="s">
        <v>19</v>
      </c>
      <c r="J288" t="e">
        <f>IF(Tabela4[[#This Row],[4Income]]="&lt;=50K",Tabela4[[#This Row],[4Age]],NA())</f>
        <v>#N/A</v>
      </c>
      <c r="K288" t="e">
        <f>IF(Tabela4[[#This Row],[4Income]]="&lt;=50K",Tabela4[[#This Row],[4hours-per-week]],NA())</f>
        <v>#N/A</v>
      </c>
      <c r="L288">
        <f>IF(Tabela4[[#This Row],[4Income]]="&gt;50K",Tabela4[[#This Row],[4Age]],NA())</f>
        <v>65</v>
      </c>
      <c r="M288">
        <f>IF(Tabela4[[#This Row],[4Income]]="&gt;50K",Tabela4[[#This Row],[4hours-per-week]],NA())</f>
        <v>40</v>
      </c>
    </row>
    <row r="289" spans="1:13">
      <c r="A289">
        <v>38</v>
      </c>
      <c r="B289">
        <v>40</v>
      </c>
      <c r="C289">
        <v>9</v>
      </c>
      <c r="D289">
        <v>40</v>
      </c>
      <c r="E289">
        <v>38</v>
      </c>
      <c r="F289">
        <v>9</v>
      </c>
      <c r="G289">
        <v>38</v>
      </c>
      <c r="H289">
        <v>40</v>
      </c>
      <c r="I289" t="s">
        <v>8</v>
      </c>
      <c r="J289">
        <f>IF(Tabela4[[#This Row],[4Income]]="&lt;=50K",Tabela4[[#This Row],[4Age]],NA())</f>
        <v>38</v>
      </c>
      <c r="K289">
        <f>IF(Tabela4[[#This Row],[4Income]]="&lt;=50K",Tabela4[[#This Row],[4hours-per-week]],NA())</f>
        <v>40</v>
      </c>
      <c r="L289" t="e">
        <f>IF(Tabela4[[#This Row],[4Income]]="&gt;50K",Tabela4[[#This Row],[4Age]],NA())</f>
        <v>#N/A</v>
      </c>
      <c r="M289" t="e">
        <f>IF(Tabela4[[#This Row],[4Income]]="&gt;50K",Tabela4[[#This Row],[4hours-per-week]],NA())</f>
        <v>#N/A</v>
      </c>
    </row>
    <row r="290" spans="1:13">
      <c r="A290">
        <v>75</v>
      </c>
      <c r="B290">
        <v>26</v>
      </c>
      <c r="C290">
        <v>9</v>
      </c>
      <c r="D290">
        <v>26</v>
      </c>
      <c r="E290">
        <v>75</v>
      </c>
      <c r="F290">
        <v>9</v>
      </c>
      <c r="G290">
        <v>75</v>
      </c>
      <c r="H290">
        <v>26</v>
      </c>
      <c r="I290" t="s">
        <v>8</v>
      </c>
      <c r="J290">
        <f>IF(Tabela4[[#This Row],[4Income]]="&lt;=50K",Tabela4[[#This Row],[4Age]],NA())</f>
        <v>75</v>
      </c>
      <c r="K290">
        <f>IF(Tabela4[[#This Row],[4Income]]="&lt;=50K",Tabela4[[#This Row],[4hours-per-week]],NA())</f>
        <v>26</v>
      </c>
      <c r="L290" t="e">
        <f>IF(Tabela4[[#This Row],[4Income]]="&gt;50K",Tabela4[[#This Row],[4Age]],NA())</f>
        <v>#N/A</v>
      </c>
      <c r="M290" t="e">
        <f>IF(Tabela4[[#This Row],[4Income]]="&gt;50K",Tabela4[[#This Row],[4hours-per-week]],NA())</f>
        <v>#N/A</v>
      </c>
    </row>
    <row r="291" spans="1:13">
      <c r="A291">
        <v>68</v>
      </c>
      <c r="B291">
        <v>40</v>
      </c>
      <c r="C291">
        <v>9</v>
      </c>
      <c r="D291">
        <v>40</v>
      </c>
      <c r="E291">
        <v>68</v>
      </c>
      <c r="F291">
        <v>9</v>
      </c>
      <c r="G291">
        <v>68</v>
      </c>
      <c r="H291">
        <v>40</v>
      </c>
      <c r="I291" t="s">
        <v>19</v>
      </c>
      <c r="J291" t="e">
        <f>IF(Tabela4[[#This Row],[4Income]]="&lt;=50K",Tabela4[[#This Row],[4Age]],NA())</f>
        <v>#N/A</v>
      </c>
      <c r="K291" t="e">
        <f>IF(Tabela4[[#This Row],[4Income]]="&lt;=50K",Tabela4[[#This Row],[4hours-per-week]],NA())</f>
        <v>#N/A</v>
      </c>
      <c r="L291">
        <f>IF(Tabela4[[#This Row],[4Income]]="&gt;50K",Tabela4[[#This Row],[4Age]],NA())</f>
        <v>68</v>
      </c>
      <c r="M291">
        <f>IF(Tabela4[[#This Row],[4Income]]="&gt;50K",Tabela4[[#This Row],[4hours-per-week]],NA())</f>
        <v>40</v>
      </c>
    </row>
    <row r="292" spans="1:13">
      <c r="A292">
        <v>43</v>
      </c>
      <c r="B292">
        <v>40</v>
      </c>
      <c r="C292">
        <v>11</v>
      </c>
      <c r="D292">
        <v>40</v>
      </c>
      <c r="E292">
        <v>43</v>
      </c>
      <c r="F292">
        <v>11</v>
      </c>
      <c r="G292">
        <v>43</v>
      </c>
      <c r="H292">
        <v>40</v>
      </c>
      <c r="I292" t="s">
        <v>8</v>
      </c>
      <c r="J292">
        <f>IF(Tabela4[[#This Row],[4Income]]="&lt;=50K",Tabela4[[#This Row],[4Age]],NA())</f>
        <v>43</v>
      </c>
      <c r="K292">
        <f>IF(Tabela4[[#This Row],[4Income]]="&lt;=50K",Tabela4[[#This Row],[4hours-per-week]],NA())</f>
        <v>40</v>
      </c>
      <c r="L292" t="e">
        <f>IF(Tabela4[[#This Row],[4Income]]="&gt;50K",Tabela4[[#This Row],[4Age]],NA())</f>
        <v>#N/A</v>
      </c>
      <c r="M292" t="e">
        <f>IF(Tabela4[[#This Row],[4Income]]="&gt;50K",Tabela4[[#This Row],[4hours-per-week]],NA())</f>
        <v>#N/A</v>
      </c>
    </row>
    <row r="293" spans="1:13">
      <c r="A293">
        <v>20</v>
      </c>
      <c r="B293">
        <v>20</v>
      </c>
      <c r="C293">
        <v>10</v>
      </c>
      <c r="D293">
        <v>20</v>
      </c>
      <c r="E293">
        <v>20</v>
      </c>
      <c r="F293">
        <v>10</v>
      </c>
      <c r="G293">
        <v>20</v>
      </c>
      <c r="H293">
        <v>20</v>
      </c>
      <c r="I293" t="s">
        <v>8</v>
      </c>
      <c r="J293">
        <f>IF(Tabela4[[#This Row],[4Income]]="&lt;=50K",Tabela4[[#This Row],[4Age]],NA())</f>
        <v>20</v>
      </c>
      <c r="K293">
        <f>IF(Tabela4[[#This Row],[4Income]]="&lt;=50K",Tabela4[[#This Row],[4hours-per-week]],NA())</f>
        <v>20</v>
      </c>
      <c r="L293" t="e">
        <f>IF(Tabela4[[#This Row],[4Income]]="&gt;50K",Tabela4[[#This Row],[4Age]],NA())</f>
        <v>#N/A</v>
      </c>
      <c r="M293" t="e">
        <f>IF(Tabela4[[#This Row],[4Income]]="&gt;50K",Tabela4[[#This Row],[4hours-per-week]],NA())</f>
        <v>#N/A</v>
      </c>
    </row>
    <row r="294" spans="1:13">
      <c r="A294">
        <v>32</v>
      </c>
      <c r="B294">
        <v>40</v>
      </c>
      <c r="C294">
        <v>11</v>
      </c>
      <c r="D294">
        <v>40</v>
      </c>
      <c r="E294">
        <v>32</v>
      </c>
      <c r="F294">
        <v>11</v>
      </c>
      <c r="G294">
        <v>32</v>
      </c>
      <c r="H294">
        <v>40</v>
      </c>
      <c r="I294" t="s">
        <v>19</v>
      </c>
      <c r="J294" t="e">
        <f>IF(Tabela4[[#This Row],[4Income]]="&lt;=50K",Tabela4[[#This Row],[4Age]],NA())</f>
        <v>#N/A</v>
      </c>
      <c r="K294" t="e">
        <f>IF(Tabela4[[#This Row],[4Income]]="&lt;=50K",Tabela4[[#This Row],[4hours-per-week]],NA())</f>
        <v>#N/A</v>
      </c>
      <c r="L294">
        <f>IF(Tabela4[[#This Row],[4Income]]="&gt;50K",Tabela4[[#This Row],[4Age]],NA())</f>
        <v>32</v>
      </c>
      <c r="M294">
        <f>IF(Tabela4[[#This Row],[4Income]]="&gt;50K",Tabela4[[#This Row],[4hours-per-week]],NA())</f>
        <v>40</v>
      </c>
    </row>
    <row r="295" spans="1:13">
      <c r="A295">
        <v>31</v>
      </c>
      <c r="B295">
        <v>40</v>
      </c>
      <c r="C295">
        <v>9</v>
      </c>
      <c r="D295">
        <v>40</v>
      </c>
      <c r="E295">
        <v>31</v>
      </c>
      <c r="F295">
        <v>9</v>
      </c>
      <c r="G295">
        <v>31</v>
      </c>
      <c r="H295">
        <v>40</v>
      </c>
      <c r="I295" t="s">
        <v>8</v>
      </c>
      <c r="J295">
        <f>IF(Tabela4[[#This Row],[4Income]]="&lt;=50K",Tabela4[[#This Row],[4Age]],NA())</f>
        <v>31</v>
      </c>
      <c r="K295">
        <f>IF(Tabela4[[#This Row],[4Income]]="&lt;=50K",Tabela4[[#This Row],[4hours-per-week]],NA())</f>
        <v>40</v>
      </c>
      <c r="L295" t="e">
        <f>IF(Tabela4[[#This Row],[4Income]]="&gt;50K",Tabela4[[#This Row],[4Age]],NA())</f>
        <v>#N/A</v>
      </c>
      <c r="M295" t="e">
        <f>IF(Tabela4[[#This Row],[4Income]]="&gt;50K",Tabela4[[#This Row],[4hours-per-week]],NA())</f>
        <v>#N/A</v>
      </c>
    </row>
    <row r="296" spans="1:13">
      <c r="A296">
        <v>45</v>
      </c>
      <c r="B296">
        <v>35</v>
      </c>
      <c r="C296">
        <v>9</v>
      </c>
      <c r="D296">
        <v>35</v>
      </c>
      <c r="E296">
        <v>45</v>
      </c>
      <c r="F296">
        <v>9</v>
      </c>
      <c r="G296">
        <v>45</v>
      </c>
      <c r="H296">
        <v>35</v>
      </c>
      <c r="I296" t="s">
        <v>8</v>
      </c>
      <c r="J296">
        <f>IF(Tabela4[[#This Row],[4Income]]="&lt;=50K",Tabela4[[#This Row],[4Age]],NA())</f>
        <v>45</v>
      </c>
      <c r="K296">
        <f>IF(Tabela4[[#This Row],[4Income]]="&lt;=50K",Tabela4[[#This Row],[4hours-per-week]],NA())</f>
        <v>35</v>
      </c>
      <c r="L296" t="e">
        <f>IF(Tabela4[[#This Row],[4Income]]="&gt;50K",Tabela4[[#This Row],[4Age]],NA())</f>
        <v>#N/A</v>
      </c>
      <c r="M296" t="e">
        <f>IF(Tabela4[[#This Row],[4Income]]="&gt;50K",Tabela4[[#This Row],[4hours-per-week]],NA())</f>
        <v>#N/A</v>
      </c>
    </row>
    <row r="297" spans="1:13">
      <c r="A297">
        <v>23</v>
      </c>
      <c r="B297">
        <v>12</v>
      </c>
      <c r="C297">
        <v>10</v>
      </c>
      <c r="D297">
        <v>12</v>
      </c>
      <c r="E297">
        <v>23</v>
      </c>
      <c r="F297">
        <v>10</v>
      </c>
      <c r="G297">
        <v>23</v>
      </c>
      <c r="H297">
        <v>12</v>
      </c>
      <c r="I297" t="s">
        <v>8</v>
      </c>
      <c r="J297">
        <f>IF(Tabela4[[#This Row],[4Income]]="&lt;=50K",Tabela4[[#This Row],[4Age]],NA())</f>
        <v>23</v>
      </c>
      <c r="K297">
        <f>IF(Tabela4[[#This Row],[4Income]]="&lt;=50K",Tabela4[[#This Row],[4hours-per-week]],NA())</f>
        <v>12</v>
      </c>
      <c r="L297" t="e">
        <f>IF(Tabela4[[#This Row],[4Income]]="&gt;50K",Tabela4[[#This Row],[4Age]],NA())</f>
        <v>#N/A</v>
      </c>
      <c r="M297" t="e">
        <f>IF(Tabela4[[#This Row],[4Income]]="&gt;50K",Tabela4[[#This Row],[4hours-per-week]],NA())</f>
        <v>#N/A</v>
      </c>
    </row>
    <row r="298" spans="1:13">
      <c r="A298">
        <v>34</v>
      </c>
      <c r="B298">
        <v>38</v>
      </c>
      <c r="C298">
        <v>9</v>
      </c>
      <c r="D298">
        <v>38</v>
      </c>
      <c r="E298">
        <v>34</v>
      </c>
      <c r="F298">
        <v>9</v>
      </c>
      <c r="G298">
        <v>34</v>
      </c>
      <c r="H298">
        <v>38</v>
      </c>
      <c r="I298" t="s">
        <v>8</v>
      </c>
      <c r="J298">
        <f>IF(Tabela4[[#This Row],[4Income]]="&lt;=50K",Tabela4[[#This Row],[4Age]],NA())</f>
        <v>34</v>
      </c>
      <c r="K298">
        <f>IF(Tabela4[[#This Row],[4Income]]="&lt;=50K",Tabela4[[#This Row],[4hours-per-week]],NA())</f>
        <v>38</v>
      </c>
      <c r="L298" t="e">
        <f>IF(Tabela4[[#This Row],[4Income]]="&gt;50K",Tabela4[[#This Row],[4Age]],NA())</f>
        <v>#N/A</v>
      </c>
      <c r="M298" t="e">
        <f>IF(Tabela4[[#This Row],[4Income]]="&gt;50K",Tabela4[[#This Row],[4hours-per-week]],NA())</f>
        <v>#N/A</v>
      </c>
    </row>
    <row r="299" spans="1:13">
      <c r="A299">
        <v>36</v>
      </c>
      <c r="B299">
        <v>40</v>
      </c>
      <c r="C299">
        <v>7</v>
      </c>
      <c r="D299">
        <v>40</v>
      </c>
      <c r="E299">
        <v>36</v>
      </c>
      <c r="F299">
        <v>7</v>
      </c>
      <c r="G299">
        <v>36</v>
      </c>
      <c r="H299">
        <v>40</v>
      </c>
      <c r="I299" t="s">
        <v>19</v>
      </c>
      <c r="J299" t="e">
        <f>IF(Tabela4[[#This Row],[4Income]]="&lt;=50K",Tabela4[[#This Row],[4Age]],NA())</f>
        <v>#N/A</v>
      </c>
      <c r="K299" t="e">
        <f>IF(Tabela4[[#This Row],[4Income]]="&lt;=50K",Tabela4[[#This Row],[4hours-per-week]],NA())</f>
        <v>#N/A</v>
      </c>
      <c r="L299">
        <f>IF(Tabela4[[#This Row],[4Income]]="&gt;50K",Tabela4[[#This Row],[4Age]],NA())</f>
        <v>36</v>
      </c>
      <c r="M299">
        <f>IF(Tabela4[[#This Row],[4Income]]="&gt;50K",Tabela4[[#This Row],[4hours-per-week]],NA())</f>
        <v>40</v>
      </c>
    </row>
    <row r="300" spans="1:13">
      <c r="A300">
        <v>42</v>
      </c>
      <c r="B300">
        <v>60</v>
      </c>
      <c r="C300">
        <v>9</v>
      </c>
      <c r="D300">
        <v>60</v>
      </c>
      <c r="E300">
        <v>42</v>
      </c>
      <c r="F300">
        <v>9</v>
      </c>
      <c r="G300">
        <v>42</v>
      </c>
      <c r="H300">
        <v>60</v>
      </c>
      <c r="I300" t="s">
        <v>19</v>
      </c>
      <c r="J300" t="e">
        <f>IF(Tabela4[[#This Row],[4Income]]="&lt;=50K",Tabela4[[#This Row],[4Age]],NA())</f>
        <v>#N/A</v>
      </c>
      <c r="K300" t="e">
        <f>IF(Tabela4[[#This Row],[4Income]]="&lt;=50K",Tabela4[[#This Row],[4hours-per-week]],NA())</f>
        <v>#N/A</v>
      </c>
      <c r="L300">
        <f>IF(Tabela4[[#This Row],[4Income]]="&gt;50K",Tabela4[[#This Row],[4Age]],NA())</f>
        <v>42</v>
      </c>
      <c r="M300">
        <f>IF(Tabela4[[#This Row],[4Income]]="&gt;50K",Tabela4[[#This Row],[4hours-per-week]],NA())</f>
        <v>60</v>
      </c>
    </row>
    <row r="301" spans="1:13">
      <c r="A301">
        <v>63</v>
      </c>
      <c r="B301">
        <v>45</v>
      </c>
      <c r="C301">
        <v>11</v>
      </c>
      <c r="D301">
        <v>45</v>
      </c>
      <c r="E301">
        <v>63</v>
      </c>
      <c r="F301">
        <v>11</v>
      </c>
      <c r="G301">
        <v>63</v>
      </c>
      <c r="H301">
        <v>45</v>
      </c>
      <c r="I301" t="s">
        <v>8</v>
      </c>
      <c r="J301">
        <f>IF(Tabela4[[#This Row],[4Income]]="&lt;=50K",Tabela4[[#This Row],[4Age]],NA())</f>
        <v>63</v>
      </c>
      <c r="K301">
        <f>IF(Tabela4[[#This Row],[4Income]]="&lt;=50K",Tabela4[[#This Row],[4hours-per-week]],NA())</f>
        <v>45</v>
      </c>
      <c r="L301" t="e">
        <f>IF(Tabela4[[#This Row],[4Income]]="&gt;50K",Tabela4[[#This Row],[4Age]],NA())</f>
        <v>#N/A</v>
      </c>
      <c r="M301" t="e">
        <f>IF(Tabela4[[#This Row],[4Income]]="&gt;50K",Tabela4[[#This Row],[4hours-per-week]],NA())</f>
        <v>#N/A</v>
      </c>
    </row>
    <row r="302" spans="1:13">
      <c r="A302">
        <v>44</v>
      </c>
      <c r="B302">
        <v>40</v>
      </c>
      <c r="C302">
        <v>9</v>
      </c>
      <c r="D302">
        <v>40</v>
      </c>
      <c r="E302">
        <v>44</v>
      </c>
      <c r="F302">
        <v>9</v>
      </c>
      <c r="G302">
        <v>44</v>
      </c>
      <c r="H302">
        <v>40</v>
      </c>
      <c r="I302" t="s">
        <v>8</v>
      </c>
      <c r="J302">
        <f>IF(Tabela4[[#This Row],[4Income]]="&lt;=50K",Tabela4[[#This Row],[4Age]],NA())</f>
        <v>44</v>
      </c>
      <c r="K302">
        <f>IF(Tabela4[[#This Row],[4Income]]="&lt;=50K",Tabela4[[#This Row],[4hours-per-week]],NA())</f>
        <v>40</v>
      </c>
      <c r="L302" t="e">
        <f>IF(Tabela4[[#This Row],[4Income]]="&gt;50K",Tabela4[[#This Row],[4Age]],NA())</f>
        <v>#N/A</v>
      </c>
      <c r="M302" t="e">
        <f>IF(Tabela4[[#This Row],[4Income]]="&gt;50K",Tabela4[[#This Row],[4hours-per-week]],NA())</f>
        <v>#N/A</v>
      </c>
    </row>
    <row r="303" spans="1:13">
      <c r="A303">
        <v>35</v>
      </c>
      <c r="B303">
        <v>40</v>
      </c>
      <c r="C303">
        <v>13</v>
      </c>
      <c r="D303">
        <v>40</v>
      </c>
      <c r="E303">
        <v>35</v>
      </c>
      <c r="F303">
        <v>13</v>
      </c>
      <c r="G303">
        <v>35</v>
      </c>
      <c r="H303">
        <v>40</v>
      </c>
      <c r="I303" t="s">
        <v>19</v>
      </c>
      <c r="J303" t="e">
        <f>IF(Tabela4[[#This Row],[4Income]]="&lt;=50K",Tabela4[[#This Row],[4Age]],NA())</f>
        <v>#N/A</v>
      </c>
      <c r="K303" t="e">
        <f>IF(Tabela4[[#This Row],[4Income]]="&lt;=50K",Tabela4[[#This Row],[4hours-per-week]],NA())</f>
        <v>#N/A</v>
      </c>
      <c r="L303">
        <f>IF(Tabela4[[#This Row],[4Income]]="&gt;50K",Tabela4[[#This Row],[4Age]],NA())</f>
        <v>35</v>
      </c>
      <c r="M303">
        <f>IF(Tabela4[[#This Row],[4Income]]="&gt;50K",Tabela4[[#This Row],[4hours-per-week]],NA())</f>
        <v>40</v>
      </c>
    </row>
    <row r="304" spans="1:13">
      <c r="A304">
        <v>30</v>
      </c>
      <c r="B304">
        <v>45</v>
      </c>
      <c r="C304">
        <v>5</v>
      </c>
      <c r="D304">
        <v>45</v>
      </c>
      <c r="E304">
        <v>30</v>
      </c>
      <c r="F304">
        <v>5</v>
      </c>
      <c r="G304">
        <v>30</v>
      </c>
      <c r="H304">
        <v>45</v>
      </c>
      <c r="I304" t="s">
        <v>8</v>
      </c>
      <c r="J304">
        <f>IF(Tabela4[[#This Row],[4Income]]="&lt;=50K",Tabela4[[#This Row],[4Age]],NA())</f>
        <v>30</v>
      </c>
      <c r="K304">
        <f>IF(Tabela4[[#This Row],[4Income]]="&lt;=50K",Tabela4[[#This Row],[4hours-per-week]],NA())</f>
        <v>45</v>
      </c>
      <c r="L304" t="e">
        <f>IF(Tabela4[[#This Row],[4Income]]="&gt;50K",Tabela4[[#This Row],[4Age]],NA())</f>
        <v>#N/A</v>
      </c>
      <c r="M304" t="e">
        <f>IF(Tabela4[[#This Row],[4Income]]="&gt;50K",Tabela4[[#This Row],[4hours-per-week]],NA())</f>
        <v>#N/A</v>
      </c>
    </row>
    <row r="305" spans="1:13">
      <c r="A305">
        <v>47</v>
      </c>
      <c r="B305">
        <v>20</v>
      </c>
      <c r="C305">
        <v>6</v>
      </c>
      <c r="D305">
        <v>20</v>
      </c>
      <c r="E305">
        <v>47</v>
      </c>
      <c r="F305">
        <v>6</v>
      </c>
      <c r="G305">
        <v>47</v>
      </c>
      <c r="H305">
        <v>20</v>
      </c>
      <c r="I305" t="s">
        <v>8</v>
      </c>
      <c r="J305">
        <f>IF(Tabela4[[#This Row],[4Income]]="&lt;=50K",Tabela4[[#This Row],[4Age]],NA())</f>
        <v>47</v>
      </c>
      <c r="K305">
        <f>IF(Tabela4[[#This Row],[4Income]]="&lt;=50K",Tabela4[[#This Row],[4hours-per-week]],NA())</f>
        <v>20</v>
      </c>
      <c r="L305" t="e">
        <f>IF(Tabela4[[#This Row],[4Income]]="&gt;50K",Tabela4[[#This Row],[4Age]],NA())</f>
        <v>#N/A</v>
      </c>
      <c r="M305" t="e">
        <f>IF(Tabela4[[#This Row],[4Income]]="&gt;50K",Tabela4[[#This Row],[4hours-per-week]],NA())</f>
        <v>#N/A</v>
      </c>
    </row>
    <row r="306" spans="1:13">
      <c r="A306">
        <v>34</v>
      </c>
      <c r="B306">
        <v>40</v>
      </c>
      <c r="C306">
        <v>9</v>
      </c>
      <c r="D306">
        <v>40</v>
      </c>
      <c r="E306">
        <v>34</v>
      </c>
      <c r="F306">
        <v>9</v>
      </c>
      <c r="G306">
        <v>34</v>
      </c>
      <c r="H306">
        <v>40</v>
      </c>
      <c r="I306" t="s">
        <v>8</v>
      </c>
      <c r="J306">
        <f>IF(Tabela4[[#This Row],[4Income]]="&lt;=50K",Tabela4[[#This Row],[4Age]],NA())</f>
        <v>34</v>
      </c>
      <c r="K306">
        <f>IF(Tabela4[[#This Row],[4Income]]="&lt;=50K",Tabela4[[#This Row],[4hours-per-week]],NA())</f>
        <v>40</v>
      </c>
      <c r="L306" t="e">
        <f>IF(Tabela4[[#This Row],[4Income]]="&gt;50K",Tabela4[[#This Row],[4Age]],NA())</f>
        <v>#N/A</v>
      </c>
      <c r="M306" t="e">
        <f>IF(Tabela4[[#This Row],[4Income]]="&gt;50K",Tabela4[[#This Row],[4hours-per-week]],NA())</f>
        <v>#N/A</v>
      </c>
    </row>
    <row r="307" spans="1:13">
      <c r="A307">
        <v>38</v>
      </c>
      <c r="B307">
        <v>40</v>
      </c>
      <c r="C307">
        <v>11</v>
      </c>
      <c r="D307">
        <v>40</v>
      </c>
      <c r="E307">
        <v>38</v>
      </c>
      <c r="F307">
        <v>11</v>
      </c>
      <c r="G307">
        <v>38</v>
      </c>
      <c r="H307">
        <v>40</v>
      </c>
      <c r="I307" t="s">
        <v>8</v>
      </c>
      <c r="J307">
        <f>IF(Tabela4[[#This Row],[4Income]]="&lt;=50K",Tabela4[[#This Row],[4Age]],NA())</f>
        <v>38</v>
      </c>
      <c r="K307">
        <f>IF(Tabela4[[#This Row],[4Income]]="&lt;=50K",Tabela4[[#This Row],[4hours-per-week]],NA())</f>
        <v>40</v>
      </c>
      <c r="L307" t="e">
        <f>IF(Tabela4[[#This Row],[4Income]]="&gt;50K",Tabela4[[#This Row],[4Age]],NA())</f>
        <v>#N/A</v>
      </c>
      <c r="M307" t="e">
        <f>IF(Tabela4[[#This Row],[4Income]]="&gt;50K",Tabela4[[#This Row],[4hours-per-week]],NA())</f>
        <v>#N/A</v>
      </c>
    </row>
    <row r="308" spans="1:13">
      <c r="A308">
        <v>31</v>
      </c>
      <c r="B308">
        <v>45</v>
      </c>
      <c r="C308">
        <v>12</v>
      </c>
      <c r="D308">
        <v>45</v>
      </c>
      <c r="E308">
        <v>31</v>
      </c>
      <c r="F308">
        <v>12</v>
      </c>
      <c r="G308">
        <v>31</v>
      </c>
      <c r="H308">
        <v>45</v>
      </c>
      <c r="I308" t="s">
        <v>8</v>
      </c>
      <c r="J308">
        <f>IF(Tabela4[[#This Row],[4Income]]="&lt;=50K",Tabela4[[#This Row],[4Age]],NA())</f>
        <v>31</v>
      </c>
      <c r="K308">
        <f>IF(Tabela4[[#This Row],[4Income]]="&lt;=50K",Tabela4[[#This Row],[4hours-per-week]],NA())</f>
        <v>45</v>
      </c>
      <c r="L308" t="e">
        <f>IF(Tabela4[[#This Row],[4Income]]="&gt;50K",Tabela4[[#This Row],[4Age]],NA())</f>
        <v>#N/A</v>
      </c>
      <c r="M308" t="e">
        <f>IF(Tabela4[[#This Row],[4Income]]="&gt;50K",Tabela4[[#This Row],[4hours-per-week]],NA())</f>
        <v>#N/A</v>
      </c>
    </row>
    <row r="309" spans="1:13">
      <c r="A309">
        <v>60</v>
      </c>
      <c r="B309">
        <v>40</v>
      </c>
      <c r="C309">
        <v>13</v>
      </c>
      <c r="D309">
        <v>40</v>
      </c>
      <c r="E309">
        <v>60</v>
      </c>
      <c r="F309">
        <v>13</v>
      </c>
      <c r="G309">
        <v>60</v>
      </c>
      <c r="H309">
        <v>40</v>
      </c>
      <c r="I309" t="s">
        <v>19</v>
      </c>
      <c r="J309" t="e">
        <f>IF(Tabela4[[#This Row],[4Income]]="&lt;=50K",Tabela4[[#This Row],[4Age]],NA())</f>
        <v>#N/A</v>
      </c>
      <c r="K309" t="e">
        <f>IF(Tabela4[[#This Row],[4Income]]="&lt;=50K",Tabela4[[#This Row],[4hours-per-week]],NA())</f>
        <v>#N/A</v>
      </c>
      <c r="L309">
        <f>IF(Tabela4[[#This Row],[4Income]]="&gt;50K",Tabela4[[#This Row],[4Age]],NA())</f>
        <v>60</v>
      </c>
      <c r="M309">
        <f>IF(Tabela4[[#This Row],[4Income]]="&gt;50K",Tabela4[[#This Row],[4hours-per-week]],NA())</f>
        <v>40</v>
      </c>
    </row>
    <row r="310" spans="1:13">
      <c r="A310">
        <v>22</v>
      </c>
      <c r="B310">
        <v>20</v>
      </c>
      <c r="C310">
        <v>12</v>
      </c>
      <c r="D310">
        <v>20</v>
      </c>
      <c r="E310">
        <v>22</v>
      </c>
      <c r="F310">
        <v>12</v>
      </c>
      <c r="G310">
        <v>22</v>
      </c>
      <c r="H310">
        <v>20</v>
      </c>
      <c r="I310" t="s">
        <v>8</v>
      </c>
      <c r="J310">
        <f>IF(Tabela4[[#This Row],[4Income]]="&lt;=50K",Tabela4[[#This Row],[4Age]],NA())</f>
        <v>22</v>
      </c>
      <c r="K310">
        <f>IF(Tabela4[[#This Row],[4Income]]="&lt;=50K",Tabela4[[#This Row],[4hours-per-week]],NA())</f>
        <v>20</v>
      </c>
      <c r="L310" t="e">
        <f>IF(Tabela4[[#This Row],[4Income]]="&gt;50K",Tabela4[[#This Row],[4Age]],NA())</f>
        <v>#N/A</v>
      </c>
      <c r="M310" t="e">
        <f>IF(Tabela4[[#This Row],[4Income]]="&gt;50K",Tabela4[[#This Row],[4hours-per-week]],NA())</f>
        <v>#N/A</v>
      </c>
    </row>
    <row r="311" spans="1:13">
      <c r="A311">
        <v>53</v>
      </c>
      <c r="B311">
        <v>55</v>
      </c>
      <c r="C311">
        <v>16</v>
      </c>
      <c r="D311">
        <v>55</v>
      </c>
      <c r="E311">
        <v>53</v>
      </c>
      <c r="F311">
        <v>16</v>
      </c>
      <c r="G311">
        <v>53</v>
      </c>
      <c r="H311">
        <v>55</v>
      </c>
      <c r="I311" t="s">
        <v>19</v>
      </c>
      <c r="J311" t="e">
        <f>IF(Tabela4[[#This Row],[4Income]]="&lt;=50K",Tabela4[[#This Row],[4Age]],NA())</f>
        <v>#N/A</v>
      </c>
      <c r="K311" t="e">
        <f>IF(Tabela4[[#This Row],[4Income]]="&lt;=50K",Tabela4[[#This Row],[4hours-per-week]],NA())</f>
        <v>#N/A</v>
      </c>
      <c r="L311">
        <f>IF(Tabela4[[#This Row],[4Income]]="&gt;50K",Tabela4[[#This Row],[4Age]],NA())</f>
        <v>53</v>
      </c>
      <c r="M311">
        <f>IF(Tabela4[[#This Row],[4Income]]="&gt;50K",Tabela4[[#This Row],[4hours-per-week]],NA())</f>
        <v>55</v>
      </c>
    </row>
    <row r="312" spans="1:13">
      <c r="A312">
        <v>90</v>
      </c>
      <c r="B312">
        <v>99</v>
      </c>
      <c r="C312">
        <v>9</v>
      </c>
      <c r="D312">
        <v>99</v>
      </c>
      <c r="E312">
        <v>90</v>
      </c>
      <c r="F312">
        <v>9</v>
      </c>
      <c r="G312">
        <v>90</v>
      </c>
      <c r="H312">
        <v>99</v>
      </c>
      <c r="I312" t="s">
        <v>8</v>
      </c>
      <c r="J312">
        <f>IF(Tabela4[[#This Row],[4Income]]="&lt;=50K",Tabela4[[#This Row],[4Age]],NA())</f>
        <v>90</v>
      </c>
      <c r="K312">
        <f>IF(Tabela4[[#This Row],[4Income]]="&lt;=50K",Tabela4[[#This Row],[4hours-per-week]],NA())</f>
        <v>99</v>
      </c>
      <c r="L312" t="e">
        <f>IF(Tabela4[[#This Row],[4Income]]="&gt;50K",Tabela4[[#This Row],[4Age]],NA())</f>
        <v>#N/A</v>
      </c>
      <c r="M312" t="e">
        <f>IF(Tabela4[[#This Row],[4Income]]="&gt;50K",Tabela4[[#This Row],[4hours-per-week]],NA())</f>
        <v>#N/A</v>
      </c>
    </row>
    <row r="313" spans="1:13">
      <c r="A313">
        <v>39</v>
      </c>
      <c r="B313">
        <v>40</v>
      </c>
      <c r="C313">
        <v>9</v>
      </c>
      <c r="D313">
        <v>40</v>
      </c>
      <c r="E313">
        <v>39</v>
      </c>
      <c r="F313">
        <v>9</v>
      </c>
      <c r="G313">
        <v>39</v>
      </c>
      <c r="H313">
        <v>40</v>
      </c>
      <c r="I313" t="s">
        <v>8</v>
      </c>
      <c r="J313">
        <f>IF(Tabela4[[#This Row],[4Income]]="&lt;=50K",Tabela4[[#This Row],[4Age]],NA())</f>
        <v>39</v>
      </c>
      <c r="K313">
        <f>IF(Tabela4[[#This Row],[4Income]]="&lt;=50K",Tabela4[[#This Row],[4hours-per-week]],NA())</f>
        <v>40</v>
      </c>
      <c r="L313" t="e">
        <f>IF(Tabela4[[#This Row],[4Income]]="&gt;50K",Tabela4[[#This Row],[4Age]],NA())</f>
        <v>#N/A</v>
      </c>
      <c r="M313" t="e">
        <f>IF(Tabela4[[#This Row],[4Income]]="&gt;50K",Tabela4[[#This Row],[4hours-per-week]],NA())</f>
        <v>#N/A</v>
      </c>
    </row>
    <row r="314" spans="1:13">
      <c r="A314">
        <v>51</v>
      </c>
      <c r="B314">
        <v>47</v>
      </c>
      <c r="C314">
        <v>14</v>
      </c>
      <c r="D314">
        <v>47</v>
      </c>
      <c r="E314">
        <v>51</v>
      </c>
      <c r="F314">
        <v>14</v>
      </c>
      <c r="G314">
        <v>51</v>
      </c>
      <c r="H314">
        <v>47</v>
      </c>
      <c r="I314" t="s">
        <v>19</v>
      </c>
      <c r="J314" t="e">
        <f>IF(Tabela4[[#This Row],[4Income]]="&lt;=50K",Tabela4[[#This Row],[4Age]],NA())</f>
        <v>#N/A</v>
      </c>
      <c r="K314" t="e">
        <f>IF(Tabela4[[#This Row],[4Income]]="&lt;=50K",Tabela4[[#This Row],[4hours-per-week]],NA())</f>
        <v>#N/A</v>
      </c>
      <c r="L314">
        <f>IF(Tabela4[[#This Row],[4Income]]="&gt;50K",Tabela4[[#This Row],[4Age]],NA())</f>
        <v>51</v>
      </c>
      <c r="M314">
        <f>IF(Tabela4[[#This Row],[4Income]]="&gt;50K",Tabela4[[#This Row],[4hours-per-week]],NA())</f>
        <v>47</v>
      </c>
    </row>
    <row r="315" spans="1:13">
      <c r="A315">
        <v>51</v>
      </c>
      <c r="B315">
        <v>30</v>
      </c>
      <c r="C315">
        <v>12</v>
      </c>
      <c r="D315">
        <v>30</v>
      </c>
      <c r="E315">
        <v>51</v>
      </c>
      <c r="F315">
        <v>12</v>
      </c>
      <c r="G315">
        <v>51</v>
      </c>
      <c r="H315">
        <v>30</v>
      </c>
      <c r="I315" t="s">
        <v>8</v>
      </c>
      <c r="J315">
        <f>IF(Tabela4[[#This Row],[4Income]]="&lt;=50K",Tabela4[[#This Row],[4Age]],NA())</f>
        <v>51</v>
      </c>
      <c r="K315">
        <f>IF(Tabela4[[#This Row],[4Income]]="&lt;=50K",Tabela4[[#This Row],[4hours-per-week]],NA())</f>
        <v>30</v>
      </c>
      <c r="L315" t="e">
        <f>IF(Tabela4[[#This Row],[4Income]]="&gt;50K",Tabela4[[#This Row],[4Age]],NA())</f>
        <v>#N/A</v>
      </c>
      <c r="M315" t="e">
        <f>IF(Tabela4[[#This Row],[4Income]]="&gt;50K",Tabela4[[#This Row],[4hours-per-week]],NA())</f>
        <v>#N/A</v>
      </c>
    </row>
    <row r="316" spans="1:13">
      <c r="A316">
        <v>42</v>
      </c>
      <c r="B316">
        <v>15</v>
      </c>
      <c r="C316">
        <v>9</v>
      </c>
      <c r="D316">
        <v>15</v>
      </c>
      <c r="E316">
        <v>42</v>
      </c>
      <c r="F316">
        <v>9</v>
      </c>
      <c r="G316">
        <v>42</v>
      </c>
      <c r="H316">
        <v>15</v>
      </c>
      <c r="I316" t="s">
        <v>8</v>
      </c>
      <c r="J316">
        <f>IF(Tabela4[[#This Row],[4Income]]="&lt;=50K",Tabela4[[#This Row],[4Age]],NA())</f>
        <v>42</v>
      </c>
      <c r="K316">
        <f>IF(Tabela4[[#This Row],[4Income]]="&lt;=50K",Tabela4[[#This Row],[4hours-per-week]],NA())</f>
        <v>15</v>
      </c>
      <c r="L316" t="e">
        <f>IF(Tabela4[[#This Row],[4Income]]="&gt;50K",Tabela4[[#This Row],[4Age]],NA())</f>
        <v>#N/A</v>
      </c>
      <c r="M316" t="e">
        <f>IF(Tabela4[[#This Row],[4Income]]="&gt;50K",Tabela4[[#This Row],[4hours-per-week]],NA())</f>
        <v>#N/A</v>
      </c>
    </row>
    <row r="317" spans="1:13">
      <c r="A317">
        <v>36</v>
      </c>
      <c r="B317">
        <v>40</v>
      </c>
      <c r="C317">
        <v>9</v>
      </c>
      <c r="D317">
        <v>40</v>
      </c>
      <c r="E317">
        <v>36</v>
      </c>
      <c r="F317">
        <v>9</v>
      </c>
      <c r="G317">
        <v>36</v>
      </c>
      <c r="H317">
        <v>40</v>
      </c>
      <c r="I317" t="s">
        <v>8</v>
      </c>
      <c r="J317">
        <f>IF(Tabela4[[#This Row],[4Income]]="&lt;=50K",Tabela4[[#This Row],[4Age]],NA())</f>
        <v>36</v>
      </c>
      <c r="K317">
        <f>IF(Tabela4[[#This Row],[4Income]]="&lt;=50K",Tabela4[[#This Row],[4hours-per-week]],NA())</f>
        <v>40</v>
      </c>
      <c r="L317" t="e">
        <f>IF(Tabela4[[#This Row],[4Income]]="&gt;50K",Tabela4[[#This Row],[4Age]],NA())</f>
        <v>#N/A</v>
      </c>
      <c r="M317" t="e">
        <f>IF(Tabela4[[#This Row],[4Income]]="&gt;50K",Tabela4[[#This Row],[4hours-per-week]],NA())</f>
        <v>#N/A</v>
      </c>
    </row>
    <row r="318" spans="1:13">
      <c r="A318">
        <v>57</v>
      </c>
      <c r="B318">
        <v>35</v>
      </c>
      <c r="C318">
        <v>13</v>
      </c>
      <c r="D318">
        <v>35</v>
      </c>
      <c r="E318">
        <v>57</v>
      </c>
      <c r="F318">
        <v>13</v>
      </c>
      <c r="G318">
        <v>57</v>
      </c>
      <c r="H318">
        <v>35</v>
      </c>
      <c r="I318" t="s">
        <v>8</v>
      </c>
      <c r="J318">
        <f>IF(Tabela4[[#This Row],[4Income]]="&lt;=50K",Tabela4[[#This Row],[4Age]],NA())</f>
        <v>57</v>
      </c>
      <c r="K318">
        <f>IF(Tabela4[[#This Row],[4Income]]="&lt;=50K",Tabela4[[#This Row],[4hours-per-week]],NA())</f>
        <v>35</v>
      </c>
      <c r="L318" t="e">
        <f>IF(Tabela4[[#This Row],[4Income]]="&gt;50K",Tabela4[[#This Row],[4Age]],NA())</f>
        <v>#N/A</v>
      </c>
      <c r="M318" t="e">
        <f>IF(Tabela4[[#This Row],[4Income]]="&gt;50K",Tabela4[[#This Row],[4hours-per-week]],NA())</f>
        <v>#N/A</v>
      </c>
    </row>
    <row r="319" spans="1:13">
      <c r="A319">
        <v>71</v>
      </c>
      <c r="B319">
        <v>33</v>
      </c>
      <c r="C319">
        <v>9</v>
      </c>
      <c r="D319">
        <v>33</v>
      </c>
      <c r="E319">
        <v>71</v>
      </c>
      <c r="F319">
        <v>9</v>
      </c>
      <c r="G319">
        <v>71</v>
      </c>
      <c r="H319">
        <v>33</v>
      </c>
      <c r="I319" t="s">
        <v>8</v>
      </c>
      <c r="J319">
        <f>IF(Tabela4[[#This Row],[4Income]]="&lt;=50K",Tabela4[[#This Row],[4Age]],NA())</f>
        <v>71</v>
      </c>
      <c r="K319">
        <f>IF(Tabela4[[#This Row],[4Income]]="&lt;=50K",Tabela4[[#This Row],[4hours-per-week]],NA())</f>
        <v>33</v>
      </c>
      <c r="L319" t="e">
        <f>IF(Tabela4[[#This Row],[4Income]]="&gt;50K",Tabela4[[#This Row],[4Age]],NA())</f>
        <v>#N/A</v>
      </c>
      <c r="M319" t="e">
        <f>IF(Tabela4[[#This Row],[4Income]]="&gt;50K",Tabela4[[#This Row],[4hours-per-week]],NA())</f>
        <v>#N/A</v>
      </c>
    </row>
    <row r="320" spans="1:13">
      <c r="A320">
        <v>53</v>
      </c>
      <c r="B320">
        <v>30</v>
      </c>
      <c r="C320">
        <v>9</v>
      </c>
      <c r="D320">
        <v>30</v>
      </c>
      <c r="E320">
        <v>53</v>
      </c>
      <c r="F320">
        <v>9</v>
      </c>
      <c r="G320">
        <v>53</v>
      </c>
      <c r="H320">
        <v>30</v>
      </c>
      <c r="I320" t="s">
        <v>8</v>
      </c>
      <c r="J320">
        <f>IF(Tabela4[[#This Row],[4Income]]="&lt;=50K",Tabela4[[#This Row],[4Age]],NA())</f>
        <v>53</v>
      </c>
      <c r="K320">
        <f>IF(Tabela4[[#This Row],[4Income]]="&lt;=50K",Tabela4[[#This Row],[4hours-per-week]],NA())</f>
        <v>30</v>
      </c>
      <c r="L320" t="e">
        <f>IF(Tabela4[[#This Row],[4Income]]="&gt;50K",Tabela4[[#This Row],[4Age]],NA())</f>
        <v>#N/A</v>
      </c>
      <c r="M320" t="e">
        <f>IF(Tabela4[[#This Row],[4Income]]="&gt;50K",Tabela4[[#This Row],[4hours-per-week]],NA())</f>
        <v>#N/A</v>
      </c>
    </row>
    <row r="321" spans="1:13">
      <c r="A321">
        <v>23</v>
      </c>
      <c r="B321">
        <v>38</v>
      </c>
      <c r="C321">
        <v>9</v>
      </c>
      <c r="D321">
        <v>38</v>
      </c>
      <c r="E321">
        <v>23</v>
      </c>
      <c r="F321">
        <v>9</v>
      </c>
      <c r="G321">
        <v>23</v>
      </c>
      <c r="H321">
        <v>38</v>
      </c>
      <c r="I321" t="s">
        <v>8</v>
      </c>
      <c r="J321">
        <f>IF(Tabela4[[#This Row],[4Income]]="&lt;=50K",Tabela4[[#This Row],[4Age]],NA())</f>
        <v>23</v>
      </c>
      <c r="K321">
        <f>IF(Tabela4[[#This Row],[4Income]]="&lt;=50K",Tabela4[[#This Row],[4hours-per-week]],NA())</f>
        <v>38</v>
      </c>
      <c r="L321" t="e">
        <f>IF(Tabela4[[#This Row],[4Income]]="&gt;50K",Tabela4[[#This Row],[4Age]],NA())</f>
        <v>#N/A</v>
      </c>
      <c r="M321" t="e">
        <f>IF(Tabela4[[#This Row],[4Income]]="&gt;50K",Tabela4[[#This Row],[4hours-per-week]],NA())</f>
        <v>#N/A</v>
      </c>
    </row>
    <row r="322" spans="1:13">
      <c r="A322">
        <v>45</v>
      </c>
      <c r="B322">
        <v>40</v>
      </c>
      <c r="C322">
        <v>9</v>
      </c>
      <c r="D322">
        <v>40</v>
      </c>
      <c r="E322">
        <v>45</v>
      </c>
      <c r="F322">
        <v>9</v>
      </c>
      <c r="G322">
        <v>45</v>
      </c>
      <c r="H322">
        <v>40</v>
      </c>
      <c r="I322" t="s">
        <v>8</v>
      </c>
      <c r="J322">
        <f>IF(Tabela4[[#This Row],[4Income]]="&lt;=50K",Tabela4[[#This Row],[4Age]],NA())</f>
        <v>45</v>
      </c>
      <c r="K322">
        <f>IF(Tabela4[[#This Row],[4Income]]="&lt;=50K",Tabela4[[#This Row],[4hours-per-week]],NA())</f>
        <v>40</v>
      </c>
      <c r="L322" t="e">
        <f>IF(Tabela4[[#This Row],[4Income]]="&gt;50K",Tabela4[[#This Row],[4Age]],NA())</f>
        <v>#N/A</v>
      </c>
      <c r="M322" t="e">
        <f>IF(Tabela4[[#This Row],[4Income]]="&gt;50K",Tabela4[[#This Row],[4hours-per-week]],NA())</f>
        <v>#N/A</v>
      </c>
    </row>
    <row r="323" spans="1:13">
      <c r="A323">
        <v>19</v>
      </c>
      <c r="B323">
        <v>40</v>
      </c>
      <c r="C323">
        <v>10</v>
      </c>
      <c r="D323">
        <v>40</v>
      </c>
      <c r="E323">
        <v>19</v>
      </c>
      <c r="F323">
        <v>10</v>
      </c>
      <c r="G323">
        <v>19</v>
      </c>
      <c r="H323">
        <v>40</v>
      </c>
      <c r="I323" t="s">
        <v>8</v>
      </c>
      <c r="J323">
        <f>IF(Tabela4[[#This Row],[4Income]]="&lt;=50K",Tabela4[[#This Row],[4Age]],NA())</f>
        <v>19</v>
      </c>
      <c r="K323">
        <f>IF(Tabela4[[#This Row],[4Income]]="&lt;=50K",Tabela4[[#This Row],[4hours-per-week]],NA())</f>
        <v>40</v>
      </c>
      <c r="L323" t="e">
        <f>IF(Tabela4[[#This Row],[4Income]]="&gt;50K",Tabela4[[#This Row],[4Age]],NA())</f>
        <v>#N/A</v>
      </c>
      <c r="M323" t="e">
        <f>IF(Tabela4[[#This Row],[4Income]]="&gt;50K",Tabela4[[#This Row],[4hours-per-week]],NA())</f>
        <v>#N/A</v>
      </c>
    </row>
    <row r="324" spans="1:13">
      <c r="A324">
        <v>49</v>
      </c>
      <c r="B324">
        <v>40</v>
      </c>
      <c r="C324">
        <v>13</v>
      </c>
      <c r="D324">
        <v>40</v>
      </c>
      <c r="E324">
        <v>49</v>
      </c>
      <c r="F324">
        <v>13</v>
      </c>
      <c r="G324">
        <v>49</v>
      </c>
      <c r="H324">
        <v>40</v>
      </c>
      <c r="I324" t="s">
        <v>19</v>
      </c>
      <c r="J324" t="e">
        <f>IF(Tabela4[[#This Row],[4Income]]="&lt;=50K",Tabela4[[#This Row],[4Age]],NA())</f>
        <v>#N/A</v>
      </c>
      <c r="K324" t="e">
        <f>IF(Tabela4[[#This Row],[4Income]]="&lt;=50K",Tabela4[[#This Row],[4hours-per-week]],NA())</f>
        <v>#N/A</v>
      </c>
      <c r="L324">
        <f>IF(Tabela4[[#This Row],[4Income]]="&gt;50K",Tabela4[[#This Row],[4Age]],NA())</f>
        <v>49</v>
      </c>
      <c r="M324">
        <f>IF(Tabela4[[#This Row],[4Income]]="&gt;50K",Tabela4[[#This Row],[4hours-per-week]],NA())</f>
        <v>40</v>
      </c>
    </row>
    <row r="325" spans="1:13">
      <c r="A325">
        <v>36</v>
      </c>
      <c r="B325">
        <v>40</v>
      </c>
      <c r="C325">
        <v>9</v>
      </c>
      <c r="D325">
        <v>40</v>
      </c>
      <c r="E325">
        <v>36</v>
      </c>
      <c r="F325">
        <v>9</v>
      </c>
      <c r="G325">
        <v>36</v>
      </c>
      <c r="H325">
        <v>40</v>
      </c>
      <c r="I325" t="s">
        <v>19</v>
      </c>
      <c r="J325" t="e">
        <f>IF(Tabela4[[#This Row],[4Income]]="&lt;=50K",Tabela4[[#This Row],[4Age]],NA())</f>
        <v>#N/A</v>
      </c>
      <c r="K325" t="e">
        <f>IF(Tabela4[[#This Row],[4Income]]="&lt;=50K",Tabela4[[#This Row],[4hours-per-week]],NA())</f>
        <v>#N/A</v>
      </c>
      <c r="L325">
        <f>IF(Tabela4[[#This Row],[4Income]]="&gt;50K",Tabela4[[#This Row],[4Age]],NA())</f>
        <v>36</v>
      </c>
      <c r="M325">
        <f>IF(Tabela4[[#This Row],[4Income]]="&gt;50K",Tabela4[[#This Row],[4hours-per-week]],NA())</f>
        <v>40</v>
      </c>
    </row>
    <row r="326" spans="1:13">
      <c r="A326">
        <v>32</v>
      </c>
      <c r="B326">
        <v>40</v>
      </c>
      <c r="C326">
        <v>8</v>
      </c>
      <c r="D326">
        <v>40</v>
      </c>
      <c r="E326">
        <v>32</v>
      </c>
      <c r="F326">
        <v>8</v>
      </c>
      <c r="G326">
        <v>32</v>
      </c>
      <c r="H326">
        <v>40</v>
      </c>
      <c r="I326" t="s">
        <v>8</v>
      </c>
      <c r="J326">
        <f>IF(Tabela4[[#This Row],[4Income]]="&lt;=50K",Tabela4[[#This Row],[4Age]],NA())</f>
        <v>32</v>
      </c>
      <c r="K326">
        <f>IF(Tabela4[[#This Row],[4Income]]="&lt;=50K",Tabela4[[#This Row],[4hours-per-week]],NA())</f>
        <v>40</v>
      </c>
      <c r="L326" t="e">
        <f>IF(Tabela4[[#This Row],[4Income]]="&gt;50K",Tabela4[[#This Row],[4Age]],NA())</f>
        <v>#N/A</v>
      </c>
      <c r="M326" t="e">
        <f>IF(Tabela4[[#This Row],[4Income]]="&gt;50K",Tabela4[[#This Row],[4hours-per-week]],NA())</f>
        <v>#N/A</v>
      </c>
    </row>
    <row r="327" spans="1:13">
      <c r="A327">
        <v>43</v>
      </c>
      <c r="B327">
        <v>50</v>
      </c>
      <c r="C327">
        <v>14</v>
      </c>
      <c r="D327">
        <v>50</v>
      </c>
      <c r="E327">
        <v>43</v>
      </c>
      <c r="F327">
        <v>14</v>
      </c>
      <c r="G327">
        <v>43</v>
      </c>
      <c r="H327">
        <v>50</v>
      </c>
      <c r="I327" t="s">
        <v>19</v>
      </c>
      <c r="J327" t="e">
        <f>IF(Tabela4[[#This Row],[4Income]]="&lt;=50K",Tabela4[[#This Row],[4Age]],NA())</f>
        <v>#N/A</v>
      </c>
      <c r="K327" t="e">
        <f>IF(Tabela4[[#This Row],[4Income]]="&lt;=50K",Tabela4[[#This Row],[4hours-per-week]],NA())</f>
        <v>#N/A</v>
      </c>
      <c r="L327">
        <f>IF(Tabela4[[#This Row],[4Income]]="&gt;50K",Tabela4[[#This Row],[4Age]],NA())</f>
        <v>43</v>
      </c>
      <c r="M327">
        <f>IF(Tabela4[[#This Row],[4Income]]="&gt;50K",Tabela4[[#This Row],[4hours-per-week]],NA())</f>
        <v>50</v>
      </c>
    </row>
    <row r="328" spans="1:13">
      <c r="A328">
        <v>23</v>
      </c>
      <c r="B328">
        <v>40</v>
      </c>
      <c r="C328">
        <v>9</v>
      </c>
      <c r="D328">
        <v>40</v>
      </c>
      <c r="E328">
        <v>23</v>
      </c>
      <c r="F328">
        <v>9</v>
      </c>
      <c r="G328">
        <v>23</v>
      </c>
      <c r="H328">
        <v>40</v>
      </c>
      <c r="I328" t="s">
        <v>8</v>
      </c>
      <c r="J328">
        <f>IF(Tabela4[[#This Row],[4Income]]="&lt;=50K",Tabela4[[#This Row],[4Age]],NA())</f>
        <v>23</v>
      </c>
      <c r="K328">
        <f>IF(Tabela4[[#This Row],[4Income]]="&lt;=50K",Tabela4[[#This Row],[4hours-per-week]],NA())</f>
        <v>40</v>
      </c>
      <c r="L328" t="e">
        <f>IF(Tabela4[[#This Row],[4Income]]="&gt;50K",Tabela4[[#This Row],[4Age]],NA())</f>
        <v>#N/A</v>
      </c>
      <c r="M328" t="e">
        <f>IF(Tabela4[[#This Row],[4Income]]="&gt;50K",Tabela4[[#This Row],[4hours-per-week]],NA())</f>
        <v>#N/A</v>
      </c>
    </row>
    <row r="329" spans="1:13">
      <c r="A329">
        <v>32</v>
      </c>
      <c r="B329">
        <v>50</v>
      </c>
      <c r="C329">
        <v>9</v>
      </c>
      <c r="D329">
        <v>50</v>
      </c>
      <c r="E329">
        <v>32</v>
      </c>
      <c r="F329">
        <v>9</v>
      </c>
      <c r="G329">
        <v>32</v>
      </c>
      <c r="H329">
        <v>50</v>
      </c>
      <c r="I329" t="s">
        <v>8</v>
      </c>
      <c r="J329">
        <f>IF(Tabela4[[#This Row],[4Income]]="&lt;=50K",Tabela4[[#This Row],[4Age]],NA())</f>
        <v>32</v>
      </c>
      <c r="K329">
        <f>IF(Tabela4[[#This Row],[4Income]]="&lt;=50K",Tabela4[[#This Row],[4hours-per-week]],NA())</f>
        <v>50</v>
      </c>
      <c r="L329" t="e">
        <f>IF(Tabela4[[#This Row],[4Income]]="&gt;50K",Tabela4[[#This Row],[4Age]],NA())</f>
        <v>#N/A</v>
      </c>
      <c r="M329" t="e">
        <f>IF(Tabela4[[#This Row],[4Income]]="&gt;50K",Tabela4[[#This Row],[4hours-per-week]],NA())</f>
        <v>#N/A</v>
      </c>
    </row>
    <row r="330" spans="1:13">
      <c r="A330">
        <v>35</v>
      </c>
      <c r="B330">
        <v>20</v>
      </c>
      <c r="C330">
        <v>9</v>
      </c>
      <c r="D330">
        <v>20</v>
      </c>
      <c r="E330">
        <v>35</v>
      </c>
      <c r="F330">
        <v>9</v>
      </c>
      <c r="G330">
        <v>35</v>
      </c>
      <c r="H330">
        <v>20</v>
      </c>
      <c r="I330" t="s">
        <v>8</v>
      </c>
      <c r="J330">
        <f>IF(Tabela4[[#This Row],[4Income]]="&lt;=50K",Tabela4[[#This Row],[4Age]],NA())</f>
        <v>35</v>
      </c>
      <c r="K330">
        <f>IF(Tabela4[[#This Row],[4Income]]="&lt;=50K",Tabela4[[#This Row],[4hours-per-week]],NA())</f>
        <v>20</v>
      </c>
      <c r="L330" t="e">
        <f>IF(Tabela4[[#This Row],[4Income]]="&gt;50K",Tabela4[[#This Row],[4Age]],NA())</f>
        <v>#N/A</v>
      </c>
      <c r="M330" t="e">
        <f>IF(Tabela4[[#This Row],[4Income]]="&gt;50K",Tabela4[[#This Row],[4hours-per-week]],NA())</f>
        <v>#N/A</v>
      </c>
    </row>
    <row r="331" spans="1:13">
      <c r="A331">
        <v>30</v>
      </c>
      <c r="B331">
        <v>40</v>
      </c>
      <c r="C331">
        <v>9</v>
      </c>
      <c r="D331">
        <v>40</v>
      </c>
      <c r="E331">
        <v>30</v>
      </c>
      <c r="F331">
        <v>9</v>
      </c>
      <c r="G331">
        <v>30</v>
      </c>
      <c r="H331">
        <v>40</v>
      </c>
      <c r="I331" t="s">
        <v>8</v>
      </c>
      <c r="J331">
        <f>IF(Tabela4[[#This Row],[4Income]]="&lt;=50K",Tabela4[[#This Row],[4Age]],NA())</f>
        <v>30</v>
      </c>
      <c r="K331">
        <f>IF(Tabela4[[#This Row],[4Income]]="&lt;=50K",Tabela4[[#This Row],[4hours-per-week]],NA())</f>
        <v>40</v>
      </c>
      <c r="L331" t="e">
        <f>IF(Tabela4[[#This Row],[4Income]]="&gt;50K",Tabela4[[#This Row],[4Age]],NA())</f>
        <v>#N/A</v>
      </c>
      <c r="M331" t="e">
        <f>IF(Tabela4[[#This Row],[4Income]]="&gt;50K",Tabela4[[#This Row],[4hours-per-week]],NA())</f>
        <v>#N/A</v>
      </c>
    </row>
    <row r="332" spans="1:13">
      <c r="A332">
        <v>59</v>
      </c>
      <c r="B332">
        <v>50</v>
      </c>
      <c r="C332">
        <v>5</v>
      </c>
      <c r="D332">
        <v>50</v>
      </c>
      <c r="E332">
        <v>59</v>
      </c>
      <c r="F332">
        <v>5</v>
      </c>
      <c r="G332">
        <v>59</v>
      </c>
      <c r="H332">
        <v>50</v>
      </c>
      <c r="I332" t="s">
        <v>8</v>
      </c>
      <c r="J332">
        <f>IF(Tabela4[[#This Row],[4Income]]="&lt;=50K",Tabela4[[#This Row],[4Age]],NA())</f>
        <v>59</v>
      </c>
      <c r="K332">
        <f>IF(Tabela4[[#This Row],[4Income]]="&lt;=50K",Tabela4[[#This Row],[4hours-per-week]],NA())</f>
        <v>50</v>
      </c>
      <c r="L332" t="e">
        <f>IF(Tabela4[[#This Row],[4Income]]="&gt;50K",Tabela4[[#This Row],[4Age]],NA())</f>
        <v>#N/A</v>
      </c>
      <c r="M332" t="e">
        <f>IF(Tabela4[[#This Row],[4Income]]="&gt;50K",Tabela4[[#This Row],[4hours-per-week]],NA())</f>
        <v>#N/A</v>
      </c>
    </row>
    <row r="333" spans="1:13">
      <c r="A333">
        <v>37</v>
      </c>
      <c r="B333">
        <v>40</v>
      </c>
      <c r="C333">
        <v>12</v>
      </c>
      <c r="D333">
        <v>40</v>
      </c>
      <c r="E333">
        <v>37</v>
      </c>
      <c r="F333">
        <v>12</v>
      </c>
      <c r="G333">
        <v>37</v>
      </c>
      <c r="H333">
        <v>40</v>
      </c>
      <c r="I333" t="s">
        <v>8</v>
      </c>
      <c r="J333">
        <f>IF(Tabela4[[#This Row],[4Income]]="&lt;=50K",Tabela4[[#This Row],[4Age]],NA())</f>
        <v>37</v>
      </c>
      <c r="K333">
        <f>IF(Tabela4[[#This Row],[4Income]]="&lt;=50K",Tabela4[[#This Row],[4hours-per-week]],NA())</f>
        <v>40</v>
      </c>
      <c r="L333" t="e">
        <f>IF(Tabela4[[#This Row],[4Income]]="&gt;50K",Tabela4[[#This Row],[4Age]],NA())</f>
        <v>#N/A</v>
      </c>
      <c r="M333" t="e">
        <f>IF(Tabela4[[#This Row],[4Income]]="&gt;50K",Tabela4[[#This Row],[4hours-per-week]],NA())</f>
        <v>#N/A</v>
      </c>
    </row>
    <row r="334" spans="1:13">
      <c r="A334">
        <v>36</v>
      </c>
      <c r="B334">
        <v>40</v>
      </c>
      <c r="C334">
        <v>9</v>
      </c>
      <c r="D334">
        <v>40</v>
      </c>
      <c r="E334">
        <v>36</v>
      </c>
      <c r="F334">
        <v>9</v>
      </c>
      <c r="G334">
        <v>36</v>
      </c>
      <c r="H334">
        <v>40</v>
      </c>
      <c r="I334" t="s">
        <v>8</v>
      </c>
      <c r="J334">
        <f>IF(Tabela4[[#This Row],[4Income]]="&lt;=50K",Tabela4[[#This Row],[4Age]],NA())</f>
        <v>36</v>
      </c>
      <c r="K334">
        <f>IF(Tabela4[[#This Row],[4Income]]="&lt;=50K",Tabela4[[#This Row],[4hours-per-week]],NA())</f>
        <v>40</v>
      </c>
      <c r="L334" t="e">
        <f>IF(Tabela4[[#This Row],[4Income]]="&gt;50K",Tabela4[[#This Row],[4Age]],NA())</f>
        <v>#N/A</v>
      </c>
      <c r="M334" t="e">
        <f>IF(Tabela4[[#This Row],[4Income]]="&gt;50K",Tabela4[[#This Row],[4hours-per-week]],NA())</f>
        <v>#N/A</v>
      </c>
    </row>
    <row r="335" spans="1:13">
      <c r="A335">
        <v>34</v>
      </c>
      <c r="B335">
        <v>80</v>
      </c>
      <c r="C335">
        <v>9</v>
      </c>
      <c r="D335">
        <v>80</v>
      </c>
      <c r="E335">
        <v>34</v>
      </c>
      <c r="F335">
        <v>9</v>
      </c>
      <c r="G335">
        <v>34</v>
      </c>
      <c r="H335">
        <v>80</v>
      </c>
      <c r="I335" t="s">
        <v>8</v>
      </c>
      <c r="J335">
        <f>IF(Tabela4[[#This Row],[4Income]]="&lt;=50K",Tabela4[[#This Row],[4Age]],NA())</f>
        <v>34</v>
      </c>
      <c r="K335">
        <f>IF(Tabela4[[#This Row],[4Income]]="&lt;=50K",Tabela4[[#This Row],[4hours-per-week]],NA())</f>
        <v>80</v>
      </c>
      <c r="L335" t="e">
        <f>IF(Tabela4[[#This Row],[4Income]]="&gt;50K",Tabela4[[#This Row],[4Age]],NA())</f>
        <v>#N/A</v>
      </c>
      <c r="M335" t="e">
        <f>IF(Tabela4[[#This Row],[4Income]]="&gt;50K",Tabela4[[#This Row],[4hours-per-week]],NA())</f>
        <v>#N/A</v>
      </c>
    </row>
    <row r="336" spans="1:13">
      <c r="A336">
        <v>25</v>
      </c>
      <c r="B336">
        <v>15</v>
      </c>
      <c r="C336">
        <v>13</v>
      </c>
      <c r="D336">
        <v>15</v>
      </c>
      <c r="E336">
        <v>25</v>
      </c>
      <c r="F336">
        <v>13</v>
      </c>
      <c r="G336">
        <v>25</v>
      </c>
      <c r="H336">
        <v>15</v>
      </c>
      <c r="I336" t="s">
        <v>8</v>
      </c>
      <c r="J336">
        <f>IF(Tabela4[[#This Row],[4Income]]="&lt;=50K",Tabela4[[#This Row],[4Age]],NA())</f>
        <v>25</v>
      </c>
      <c r="K336">
        <f>IF(Tabela4[[#This Row],[4Income]]="&lt;=50K",Tabela4[[#This Row],[4hours-per-week]],NA())</f>
        <v>15</v>
      </c>
      <c r="L336" t="e">
        <f>IF(Tabela4[[#This Row],[4Income]]="&gt;50K",Tabela4[[#This Row],[4Age]],NA())</f>
        <v>#N/A</v>
      </c>
      <c r="M336" t="e">
        <f>IF(Tabela4[[#This Row],[4Income]]="&gt;50K",Tabela4[[#This Row],[4hours-per-week]],NA())</f>
        <v>#N/A</v>
      </c>
    </row>
    <row r="337" spans="1:13">
      <c r="A337">
        <v>32</v>
      </c>
      <c r="B337">
        <v>40</v>
      </c>
      <c r="C337">
        <v>11</v>
      </c>
      <c r="D337">
        <v>40</v>
      </c>
      <c r="E337">
        <v>32</v>
      </c>
      <c r="F337">
        <v>11</v>
      </c>
      <c r="G337">
        <v>32</v>
      </c>
      <c r="H337">
        <v>40</v>
      </c>
      <c r="I337" t="s">
        <v>19</v>
      </c>
      <c r="J337" t="e">
        <f>IF(Tabela4[[#This Row],[4Income]]="&lt;=50K",Tabela4[[#This Row],[4Age]],NA())</f>
        <v>#N/A</v>
      </c>
      <c r="K337" t="e">
        <f>IF(Tabela4[[#This Row],[4Income]]="&lt;=50K",Tabela4[[#This Row],[4hours-per-week]],NA())</f>
        <v>#N/A</v>
      </c>
      <c r="L337">
        <f>IF(Tabela4[[#This Row],[4Income]]="&gt;50K",Tabela4[[#This Row],[4Age]],NA())</f>
        <v>32</v>
      </c>
      <c r="M337">
        <f>IF(Tabela4[[#This Row],[4Income]]="&gt;50K",Tabela4[[#This Row],[4hours-per-week]],NA())</f>
        <v>40</v>
      </c>
    </row>
    <row r="338" spans="1:13">
      <c r="A338">
        <v>43</v>
      </c>
      <c r="B338">
        <v>38</v>
      </c>
      <c r="C338">
        <v>13</v>
      </c>
      <c r="D338">
        <v>38</v>
      </c>
      <c r="E338">
        <v>43</v>
      </c>
      <c r="F338">
        <v>13</v>
      </c>
      <c r="G338">
        <v>43</v>
      </c>
      <c r="H338">
        <v>38</v>
      </c>
      <c r="I338" t="s">
        <v>19</v>
      </c>
      <c r="J338" t="e">
        <f>IF(Tabela4[[#This Row],[4Income]]="&lt;=50K",Tabela4[[#This Row],[4Age]],NA())</f>
        <v>#N/A</v>
      </c>
      <c r="K338" t="e">
        <f>IF(Tabela4[[#This Row],[4Income]]="&lt;=50K",Tabela4[[#This Row],[4hours-per-week]],NA())</f>
        <v>#N/A</v>
      </c>
      <c r="L338">
        <f>IF(Tabela4[[#This Row],[4Income]]="&gt;50K",Tabela4[[#This Row],[4Age]],NA())</f>
        <v>43</v>
      </c>
      <c r="M338">
        <f>IF(Tabela4[[#This Row],[4Income]]="&gt;50K",Tabela4[[#This Row],[4hours-per-week]],NA())</f>
        <v>38</v>
      </c>
    </row>
    <row r="339" spans="1:13">
      <c r="A339">
        <v>58</v>
      </c>
      <c r="B339">
        <v>42</v>
      </c>
      <c r="C339">
        <v>10</v>
      </c>
      <c r="D339">
        <v>42</v>
      </c>
      <c r="E339">
        <v>58</v>
      </c>
      <c r="F339">
        <v>10</v>
      </c>
      <c r="G339">
        <v>58</v>
      </c>
      <c r="H339">
        <v>42</v>
      </c>
      <c r="I339" t="s">
        <v>8</v>
      </c>
      <c r="J339">
        <f>IF(Tabela4[[#This Row],[4Income]]="&lt;=50K",Tabela4[[#This Row],[4Age]],NA())</f>
        <v>58</v>
      </c>
      <c r="K339">
        <f>IF(Tabela4[[#This Row],[4Income]]="&lt;=50K",Tabela4[[#This Row],[4hours-per-week]],NA())</f>
        <v>42</v>
      </c>
      <c r="L339" t="e">
        <f>IF(Tabela4[[#This Row],[4Income]]="&gt;50K",Tabela4[[#This Row],[4Age]],NA())</f>
        <v>#N/A</v>
      </c>
      <c r="M339" t="e">
        <f>IF(Tabela4[[#This Row],[4Income]]="&gt;50K",Tabela4[[#This Row],[4hours-per-week]],NA())</f>
        <v>#N/A</v>
      </c>
    </row>
    <row r="340" spans="1:13">
      <c r="A340">
        <v>23</v>
      </c>
      <c r="B340">
        <v>38</v>
      </c>
      <c r="C340">
        <v>8</v>
      </c>
      <c r="D340">
        <v>38</v>
      </c>
      <c r="E340">
        <v>23</v>
      </c>
      <c r="F340">
        <v>8</v>
      </c>
      <c r="G340">
        <v>23</v>
      </c>
      <c r="H340">
        <v>38</v>
      </c>
      <c r="I340" t="s">
        <v>8</v>
      </c>
      <c r="J340">
        <f>IF(Tabela4[[#This Row],[4Income]]="&lt;=50K",Tabela4[[#This Row],[4Age]],NA())</f>
        <v>23</v>
      </c>
      <c r="K340">
        <f>IF(Tabela4[[#This Row],[4Income]]="&lt;=50K",Tabela4[[#This Row],[4hours-per-week]],NA())</f>
        <v>38</v>
      </c>
      <c r="L340" t="e">
        <f>IF(Tabela4[[#This Row],[4Income]]="&gt;50K",Tabela4[[#This Row],[4Age]],NA())</f>
        <v>#N/A</v>
      </c>
      <c r="M340" t="e">
        <f>IF(Tabela4[[#This Row],[4Income]]="&gt;50K",Tabela4[[#This Row],[4hours-per-week]],NA())</f>
        <v>#N/A</v>
      </c>
    </row>
    <row r="341" spans="1:13">
      <c r="A341">
        <v>25</v>
      </c>
      <c r="B341">
        <v>40</v>
      </c>
      <c r="C341">
        <v>4</v>
      </c>
      <c r="D341">
        <v>40</v>
      </c>
      <c r="E341">
        <v>25</v>
      </c>
      <c r="F341">
        <v>4</v>
      </c>
      <c r="G341">
        <v>25</v>
      </c>
      <c r="H341">
        <v>40</v>
      </c>
      <c r="I341" t="s">
        <v>8</v>
      </c>
      <c r="J341">
        <f>IF(Tabela4[[#This Row],[4Income]]="&lt;=50K",Tabela4[[#This Row],[4Age]],NA())</f>
        <v>25</v>
      </c>
      <c r="K341">
        <f>IF(Tabela4[[#This Row],[4Income]]="&lt;=50K",Tabela4[[#This Row],[4hours-per-week]],NA())</f>
        <v>40</v>
      </c>
      <c r="L341" t="e">
        <f>IF(Tabela4[[#This Row],[4Income]]="&gt;50K",Tabela4[[#This Row],[4Age]],NA())</f>
        <v>#N/A</v>
      </c>
      <c r="M341" t="e">
        <f>IF(Tabela4[[#This Row],[4Income]]="&gt;50K",Tabela4[[#This Row],[4hours-per-week]],NA())</f>
        <v>#N/A</v>
      </c>
    </row>
    <row r="342" spans="1:13">
      <c r="A342">
        <v>28</v>
      </c>
      <c r="B342">
        <v>40</v>
      </c>
      <c r="C342">
        <v>12</v>
      </c>
      <c r="D342">
        <v>40</v>
      </c>
      <c r="E342">
        <v>28</v>
      </c>
      <c r="F342">
        <v>12</v>
      </c>
      <c r="G342">
        <v>28</v>
      </c>
      <c r="H342">
        <v>40</v>
      </c>
      <c r="I342" t="s">
        <v>8</v>
      </c>
      <c r="J342">
        <f>IF(Tabela4[[#This Row],[4Income]]="&lt;=50K",Tabela4[[#This Row],[4Age]],NA())</f>
        <v>28</v>
      </c>
      <c r="K342">
        <f>IF(Tabela4[[#This Row],[4Income]]="&lt;=50K",Tabela4[[#This Row],[4hours-per-week]],NA())</f>
        <v>40</v>
      </c>
      <c r="L342" t="e">
        <f>IF(Tabela4[[#This Row],[4Income]]="&gt;50K",Tabela4[[#This Row],[4Age]],NA())</f>
        <v>#N/A</v>
      </c>
      <c r="M342" t="e">
        <f>IF(Tabela4[[#This Row],[4Income]]="&gt;50K",Tabela4[[#This Row],[4hours-per-week]],NA())</f>
        <v>#N/A</v>
      </c>
    </row>
    <row r="343" spans="1:13">
      <c r="A343">
        <v>34</v>
      </c>
      <c r="B343">
        <v>50</v>
      </c>
      <c r="C343">
        <v>16</v>
      </c>
      <c r="D343">
        <v>50</v>
      </c>
      <c r="E343">
        <v>34</v>
      </c>
      <c r="F343">
        <v>16</v>
      </c>
      <c r="G343">
        <v>34</v>
      </c>
      <c r="H343">
        <v>50</v>
      </c>
      <c r="I343" t="s">
        <v>19</v>
      </c>
      <c r="J343" t="e">
        <f>IF(Tabela4[[#This Row],[4Income]]="&lt;=50K",Tabela4[[#This Row],[4Age]],NA())</f>
        <v>#N/A</v>
      </c>
      <c r="K343" t="e">
        <f>IF(Tabela4[[#This Row],[4Income]]="&lt;=50K",Tabela4[[#This Row],[4hours-per-week]],NA())</f>
        <v>#N/A</v>
      </c>
      <c r="L343">
        <f>IF(Tabela4[[#This Row],[4Income]]="&gt;50K",Tabela4[[#This Row],[4Age]],NA())</f>
        <v>34</v>
      </c>
      <c r="M343">
        <f>IF(Tabela4[[#This Row],[4Income]]="&gt;50K",Tabela4[[#This Row],[4hours-per-week]],NA())</f>
        <v>50</v>
      </c>
    </row>
    <row r="344" spans="1:13">
      <c r="A344">
        <v>44</v>
      </c>
      <c r="B344">
        <v>40</v>
      </c>
      <c r="C344">
        <v>11</v>
      </c>
      <c r="D344">
        <v>40</v>
      </c>
      <c r="E344">
        <v>44</v>
      </c>
      <c r="F344">
        <v>11</v>
      </c>
      <c r="G344">
        <v>44</v>
      </c>
      <c r="H344">
        <v>40</v>
      </c>
      <c r="I344" t="s">
        <v>8</v>
      </c>
      <c r="J344">
        <f>IF(Tabela4[[#This Row],[4Income]]="&lt;=50K",Tabela4[[#This Row],[4Age]],NA())</f>
        <v>44</v>
      </c>
      <c r="K344">
        <f>IF(Tabela4[[#This Row],[4Income]]="&lt;=50K",Tabela4[[#This Row],[4hours-per-week]],NA())</f>
        <v>40</v>
      </c>
      <c r="L344" t="e">
        <f>IF(Tabela4[[#This Row],[4Income]]="&gt;50K",Tabela4[[#This Row],[4Age]],NA())</f>
        <v>#N/A</v>
      </c>
      <c r="M344" t="e">
        <f>IF(Tabela4[[#This Row],[4Income]]="&gt;50K",Tabela4[[#This Row],[4hours-per-week]],NA())</f>
        <v>#N/A</v>
      </c>
    </row>
    <row r="345" spans="1:13">
      <c r="A345">
        <v>22</v>
      </c>
      <c r="B345">
        <v>40</v>
      </c>
      <c r="C345">
        <v>9</v>
      </c>
      <c r="D345">
        <v>40</v>
      </c>
      <c r="E345">
        <v>22</v>
      </c>
      <c r="F345">
        <v>9</v>
      </c>
      <c r="G345">
        <v>22</v>
      </c>
      <c r="H345">
        <v>40</v>
      </c>
      <c r="I345" t="s">
        <v>8</v>
      </c>
      <c r="J345">
        <f>IF(Tabela4[[#This Row],[4Income]]="&lt;=50K",Tabela4[[#This Row],[4Age]],NA())</f>
        <v>22</v>
      </c>
      <c r="K345">
        <f>IF(Tabela4[[#This Row],[4Income]]="&lt;=50K",Tabela4[[#This Row],[4hours-per-week]],NA())</f>
        <v>40</v>
      </c>
      <c r="L345" t="e">
        <f>IF(Tabela4[[#This Row],[4Income]]="&gt;50K",Tabela4[[#This Row],[4Age]],NA())</f>
        <v>#N/A</v>
      </c>
      <c r="M345" t="e">
        <f>IF(Tabela4[[#This Row],[4Income]]="&gt;50K",Tabela4[[#This Row],[4hours-per-week]],NA())</f>
        <v>#N/A</v>
      </c>
    </row>
    <row r="346" spans="1:13">
      <c r="A346">
        <v>25</v>
      </c>
      <c r="B346">
        <v>40</v>
      </c>
      <c r="C346">
        <v>9</v>
      </c>
      <c r="D346">
        <v>40</v>
      </c>
      <c r="E346">
        <v>25</v>
      </c>
      <c r="F346">
        <v>9</v>
      </c>
      <c r="G346">
        <v>25</v>
      </c>
      <c r="H346">
        <v>40</v>
      </c>
      <c r="I346" t="s">
        <v>8</v>
      </c>
      <c r="J346">
        <f>IF(Tabela4[[#This Row],[4Income]]="&lt;=50K",Tabela4[[#This Row],[4Age]],NA())</f>
        <v>25</v>
      </c>
      <c r="K346">
        <f>IF(Tabela4[[#This Row],[4Income]]="&lt;=50K",Tabela4[[#This Row],[4hours-per-week]],NA())</f>
        <v>40</v>
      </c>
      <c r="L346" t="e">
        <f>IF(Tabela4[[#This Row],[4Income]]="&gt;50K",Tabela4[[#This Row],[4Age]],NA())</f>
        <v>#N/A</v>
      </c>
      <c r="M346" t="e">
        <f>IF(Tabela4[[#This Row],[4Income]]="&gt;50K",Tabela4[[#This Row],[4hours-per-week]],NA())</f>
        <v>#N/A</v>
      </c>
    </row>
    <row r="347" spans="1:13">
      <c r="A347">
        <v>52</v>
      </c>
      <c r="B347">
        <v>45</v>
      </c>
      <c r="C347">
        <v>9</v>
      </c>
      <c r="D347">
        <v>45</v>
      </c>
      <c r="E347">
        <v>52</v>
      </c>
      <c r="F347">
        <v>9</v>
      </c>
      <c r="G347">
        <v>52</v>
      </c>
      <c r="H347">
        <v>45</v>
      </c>
      <c r="I347" t="s">
        <v>8</v>
      </c>
      <c r="J347">
        <f>IF(Tabela4[[#This Row],[4Income]]="&lt;=50K",Tabela4[[#This Row],[4Age]],NA())</f>
        <v>52</v>
      </c>
      <c r="K347">
        <f>IF(Tabela4[[#This Row],[4Income]]="&lt;=50K",Tabela4[[#This Row],[4hours-per-week]],NA())</f>
        <v>45</v>
      </c>
      <c r="L347" t="e">
        <f>IF(Tabela4[[#This Row],[4Income]]="&gt;50K",Tabela4[[#This Row],[4Age]],NA())</f>
        <v>#N/A</v>
      </c>
      <c r="M347" t="e">
        <f>IF(Tabela4[[#This Row],[4Income]]="&gt;50K",Tabela4[[#This Row],[4hours-per-week]],NA())</f>
        <v>#N/A</v>
      </c>
    </row>
    <row r="348" spans="1:13">
      <c r="A348">
        <v>32</v>
      </c>
      <c r="B348">
        <v>42</v>
      </c>
      <c r="C348">
        <v>12</v>
      </c>
      <c r="D348">
        <v>42</v>
      </c>
      <c r="E348">
        <v>32</v>
      </c>
      <c r="F348">
        <v>12</v>
      </c>
      <c r="G348">
        <v>32</v>
      </c>
      <c r="H348">
        <v>42</v>
      </c>
      <c r="I348" t="s">
        <v>19</v>
      </c>
      <c r="J348" t="e">
        <f>IF(Tabela4[[#This Row],[4Income]]="&lt;=50K",Tabela4[[#This Row],[4Age]],NA())</f>
        <v>#N/A</v>
      </c>
      <c r="K348" t="e">
        <f>IF(Tabela4[[#This Row],[4Income]]="&lt;=50K",Tabela4[[#This Row],[4hours-per-week]],NA())</f>
        <v>#N/A</v>
      </c>
      <c r="L348">
        <f>IF(Tabela4[[#This Row],[4Income]]="&gt;50K",Tabela4[[#This Row],[4Age]],NA())</f>
        <v>32</v>
      </c>
      <c r="M348">
        <f>IF(Tabela4[[#This Row],[4Income]]="&gt;50K",Tabela4[[#This Row],[4hours-per-week]],NA())</f>
        <v>42</v>
      </c>
    </row>
    <row r="349" spans="1:13">
      <c r="A349">
        <v>41</v>
      </c>
      <c r="B349">
        <v>40</v>
      </c>
      <c r="C349">
        <v>10</v>
      </c>
      <c r="D349">
        <v>40</v>
      </c>
      <c r="E349">
        <v>41</v>
      </c>
      <c r="F349">
        <v>10</v>
      </c>
      <c r="G349">
        <v>41</v>
      </c>
      <c r="H349">
        <v>40</v>
      </c>
      <c r="I349" t="s">
        <v>8</v>
      </c>
      <c r="J349">
        <f>IF(Tabela4[[#This Row],[4Income]]="&lt;=50K",Tabela4[[#This Row],[4Age]],NA())</f>
        <v>41</v>
      </c>
      <c r="K349">
        <f>IF(Tabela4[[#This Row],[4Income]]="&lt;=50K",Tabela4[[#This Row],[4hours-per-week]],NA())</f>
        <v>40</v>
      </c>
      <c r="L349" t="e">
        <f>IF(Tabela4[[#This Row],[4Income]]="&gt;50K",Tabela4[[#This Row],[4Age]],NA())</f>
        <v>#N/A</v>
      </c>
      <c r="M349" t="e">
        <f>IF(Tabela4[[#This Row],[4Income]]="&gt;50K",Tabela4[[#This Row],[4hours-per-week]],NA())</f>
        <v>#N/A</v>
      </c>
    </row>
    <row r="350" spans="1:13">
      <c r="A350">
        <v>18</v>
      </c>
      <c r="B350">
        <v>28</v>
      </c>
      <c r="C350">
        <v>9</v>
      </c>
      <c r="D350">
        <v>28</v>
      </c>
      <c r="E350">
        <v>18</v>
      </c>
      <c r="F350">
        <v>9</v>
      </c>
      <c r="G350">
        <v>18</v>
      </c>
      <c r="H350">
        <v>28</v>
      </c>
      <c r="I350" t="s">
        <v>8</v>
      </c>
      <c r="J350">
        <f>IF(Tabela4[[#This Row],[4Income]]="&lt;=50K",Tabela4[[#This Row],[4Age]],NA())</f>
        <v>18</v>
      </c>
      <c r="K350">
        <f>IF(Tabela4[[#This Row],[4Income]]="&lt;=50K",Tabela4[[#This Row],[4hours-per-week]],NA())</f>
        <v>28</v>
      </c>
      <c r="L350" t="e">
        <f>IF(Tabela4[[#This Row],[4Income]]="&gt;50K",Tabela4[[#This Row],[4Age]],NA())</f>
        <v>#N/A</v>
      </c>
      <c r="M350" t="e">
        <f>IF(Tabela4[[#This Row],[4Income]]="&gt;50K",Tabela4[[#This Row],[4hours-per-week]],NA())</f>
        <v>#N/A</v>
      </c>
    </row>
    <row r="351" spans="1:13">
      <c r="A351">
        <v>37</v>
      </c>
      <c r="B351">
        <v>50</v>
      </c>
      <c r="C351">
        <v>13</v>
      </c>
      <c r="D351">
        <v>50</v>
      </c>
      <c r="E351">
        <v>37</v>
      </c>
      <c r="F351">
        <v>13</v>
      </c>
      <c r="G351">
        <v>37</v>
      </c>
      <c r="H351">
        <v>50</v>
      </c>
      <c r="I351" t="s">
        <v>8</v>
      </c>
      <c r="J351">
        <f>IF(Tabela4[[#This Row],[4Income]]="&lt;=50K",Tabela4[[#This Row],[4Age]],NA())</f>
        <v>37</v>
      </c>
      <c r="K351">
        <f>IF(Tabela4[[#This Row],[4Income]]="&lt;=50K",Tabela4[[#This Row],[4hours-per-week]],NA())</f>
        <v>50</v>
      </c>
      <c r="L351" t="e">
        <f>IF(Tabela4[[#This Row],[4Income]]="&gt;50K",Tabela4[[#This Row],[4Age]],NA())</f>
        <v>#N/A</v>
      </c>
      <c r="M351" t="e">
        <f>IF(Tabela4[[#This Row],[4Income]]="&gt;50K",Tabela4[[#This Row],[4hours-per-week]],NA())</f>
        <v>#N/A</v>
      </c>
    </row>
    <row r="352" spans="1:13">
      <c r="A352">
        <v>41</v>
      </c>
      <c r="B352">
        <v>45</v>
      </c>
      <c r="C352">
        <v>10</v>
      </c>
      <c r="D352">
        <v>45</v>
      </c>
      <c r="E352">
        <v>41</v>
      </c>
      <c r="F352">
        <v>10</v>
      </c>
      <c r="G352">
        <v>41</v>
      </c>
      <c r="H352">
        <v>45</v>
      </c>
      <c r="I352" t="s">
        <v>19</v>
      </c>
      <c r="J352" t="e">
        <f>IF(Tabela4[[#This Row],[4Income]]="&lt;=50K",Tabela4[[#This Row],[4Age]],NA())</f>
        <v>#N/A</v>
      </c>
      <c r="K352" t="e">
        <f>IF(Tabela4[[#This Row],[4Income]]="&lt;=50K",Tabela4[[#This Row],[4hours-per-week]],NA())</f>
        <v>#N/A</v>
      </c>
      <c r="L352">
        <f>IF(Tabela4[[#This Row],[4Income]]="&gt;50K",Tabela4[[#This Row],[4Age]],NA())</f>
        <v>41</v>
      </c>
      <c r="M352">
        <f>IF(Tabela4[[#This Row],[4Income]]="&gt;50K",Tabela4[[#This Row],[4hours-per-week]],NA())</f>
        <v>45</v>
      </c>
    </row>
    <row r="353" spans="1:13">
      <c r="A353">
        <v>28</v>
      </c>
      <c r="B353">
        <v>65</v>
      </c>
      <c r="C353">
        <v>12</v>
      </c>
      <c r="D353">
        <v>65</v>
      </c>
      <c r="E353">
        <v>28</v>
      </c>
      <c r="F353">
        <v>12</v>
      </c>
      <c r="G353">
        <v>28</v>
      </c>
      <c r="H353">
        <v>65</v>
      </c>
      <c r="I353" t="s">
        <v>19</v>
      </c>
      <c r="J353" t="e">
        <f>IF(Tabela4[[#This Row],[4Income]]="&lt;=50K",Tabela4[[#This Row],[4Age]],NA())</f>
        <v>#N/A</v>
      </c>
      <c r="K353" t="e">
        <f>IF(Tabela4[[#This Row],[4Income]]="&lt;=50K",Tabela4[[#This Row],[4hours-per-week]],NA())</f>
        <v>#N/A</v>
      </c>
      <c r="L353">
        <f>IF(Tabela4[[#This Row],[4Income]]="&gt;50K",Tabela4[[#This Row],[4Age]],NA())</f>
        <v>28</v>
      </c>
      <c r="M353">
        <f>IF(Tabela4[[#This Row],[4Income]]="&gt;50K",Tabela4[[#This Row],[4hours-per-week]],NA())</f>
        <v>65</v>
      </c>
    </row>
    <row r="354" spans="1:13">
      <c r="A354">
        <v>40</v>
      </c>
      <c r="B354">
        <v>44</v>
      </c>
      <c r="C354">
        <v>11</v>
      </c>
      <c r="D354">
        <v>44</v>
      </c>
      <c r="E354">
        <v>40</v>
      </c>
      <c r="F354">
        <v>11</v>
      </c>
      <c r="G354">
        <v>40</v>
      </c>
      <c r="H354">
        <v>44</v>
      </c>
      <c r="I354" t="s">
        <v>8</v>
      </c>
      <c r="J354">
        <f>IF(Tabela4[[#This Row],[4Income]]="&lt;=50K",Tabela4[[#This Row],[4Age]],NA())</f>
        <v>40</v>
      </c>
      <c r="K354">
        <f>IF(Tabela4[[#This Row],[4Income]]="&lt;=50K",Tabela4[[#This Row],[4hours-per-week]],NA())</f>
        <v>44</v>
      </c>
      <c r="L354" t="e">
        <f>IF(Tabela4[[#This Row],[4Income]]="&gt;50K",Tabela4[[#This Row],[4Age]],NA())</f>
        <v>#N/A</v>
      </c>
      <c r="M354" t="e">
        <f>IF(Tabela4[[#This Row],[4Income]]="&gt;50K",Tabela4[[#This Row],[4hours-per-week]],NA())</f>
        <v>#N/A</v>
      </c>
    </row>
    <row r="355" spans="1:13">
      <c r="A355">
        <v>44</v>
      </c>
      <c r="B355">
        <v>36</v>
      </c>
      <c r="C355">
        <v>7</v>
      </c>
      <c r="D355">
        <v>36</v>
      </c>
      <c r="E355">
        <v>44</v>
      </c>
      <c r="F355">
        <v>7</v>
      </c>
      <c r="G355">
        <v>44</v>
      </c>
      <c r="H355">
        <v>36</v>
      </c>
      <c r="I355" t="s">
        <v>19</v>
      </c>
      <c r="J355" t="e">
        <f>IF(Tabela4[[#This Row],[4Income]]="&lt;=50K",Tabela4[[#This Row],[4Age]],NA())</f>
        <v>#N/A</v>
      </c>
      <c r="K355" t="e">
        <f>IF(Tabela4[[#This Row],[4Income]]="&lt;=50K",Tabela4[[#This Row],[4hours-per-week]],NA())</f>
        <v>#N/A</v>
      </c>
      <c r="L355">
        <f>IF(Tabela4[[#This Row],[4Income]]="&gt;50K",Tabela4[[#This Row],[4Age]],NA())</f>
        <v>44</v>
      </c>
      <c r="M355">
        <f>IF(Tabela4[[#This Row],[4Income]]="&gt;50K",Tabela4[[#This Row],[4hours-per-week]],NA())</f>
        <v>36</v>
      </c>
    </row>
    <row r="356" spans="1:13">
      <c r="A356">
        <v>48</v>
      </c>
      <c r="B356">
        <v>25</v>
      </c>
      <c r="C356">
        <v>9</v>
      </c>
      <c r="D356">
        <v>25</v>
      </c>
      <c r="E356">
        <v>48</v>
      </c>
      <c r="F356">
        <v>9</v>
      </c>
      <c r="G356">
        <v>48</v>
      </c>
      <c r="H356">
        <v>25</v>
      </c>
      <c r="I356" t="s">
        <v>8</v>
      </c>
      <c r="J356">
        <f>IF(Tabela4[[#This Row],[4Income]]="&lt;=50K",Tabela4[[#This Row],[4Age]],NA())</f>
        <v>48</v>
      </c>
      <c r="K356">
        <f>IF(Tabela4[[#This Row],[4Income]]="&lt;=50K",Tabela4[[#This Row],[4hours-per-week]],NA())</f>
        <v>25</v>
      </c>
      <c r="L356" t="e">
        <f>IF(Tabela4[[#This Row],[4Income]]="&gt;50K",Tabela4[[#This Row],[4Age]],NA())</f>
        <v>#N/A</v>
      </c>
      <c r="M356" t="e">
        <f>IF(Tabela4[[#This Row],[4Income]]="&gt;50K",Tabela4[[#This Row],[4hours-per-week]],NA())</f>
        <v>#N/A</v>
      </c>
    </row>
    <row r="357" spans="1:13">
      <c r="A357">
        <v>38</v>
      </c>
      <c r="B357">
        <v>50</v>
      </c>
      <c r="C357">
        <v>9</v>
      </c>
      <c r="D357">
        <v>50</v>
      </c>
      <c r="E357">
        <v>38</v>
      </c>
      <c r="F357">
        <v>9</v>
      </c>
      <c r="G357">
        <v>38</v>
      </c>
      <c r="H357">
        <v>50</v>
      </c>
      <c r="I357" t="s">
        <v>8</v>
      </c>
      <c r="J357">
        <f>IF(Tabela4[[#This Row],[4Income]]="&lt;=50K",Tabela4[[#This Row],[4Age]],NA())</f>
        <v>38</v>
      </c>
      <c r="K357">
        <f>IF(Tabela4[[#This Row],[4Income]]="&lt;=50K",Tabela4[[#This Row],[4hours-per-week]],NA())</f>
        <v>50</v>
      </c>
      <c r="L357" t="e">
        <f>IF(Tabela4[[#This Row],[4Income]]="&gt;50K",Tabela4[[#This Row],[4Age]],NA())</f>
        <v>#N/A</v>
      </c>
      <c r="M357" t="e">
        <f>IF(Tabela4[[#This Row],[4Income]]="&gt;50K",Tabela4[[#This Row],[4hours-per-week]],NA())</f>
        <v>#N/A</v>
      </c>
    </row>
    <row r="358" spans="1:13">
      <c r="A358">
        <v>35</v>
      </c>
      <c r="B358">
        <v>50</v>
      </c>
      <c r="C358">
        <v>9</v>
      </c>
      <c r="D358">
        <v>50</v>
      </c>
      <c r="E358">
        <v>35</v>
      </c>
      <c r="F358">
        <v>9</v>
      </c>
      <c r="G358">
        <v>35</v>
      </c>
      <c r="H358">
        <v>50</v>
      </c>
      <c r="I358" t="s">
        <v>8</v>
      </c>
      <c r="J358">
        <f>IF(Tabela4[[#This Row],[4Income]]="&lt;=50K",Tabela4[[#This Row],[4Age]],NA())</f>
        <v>35</v>
      </c>
      <c r="K358">
        <f>IF(Tabela4[[#This Row],[4Income]]="&lt;=50K",Tabela4[[#This Row],[4hours-per-week]],NA())</f>
        <v>50</v>
      </c>
      <c r="L358" t="e">
        <f>IF(Tabela4[[#This Row],[4Income]]="&gt;50K",Tabela4[[#This Row],[4Age]],NA())</f>
        <v>#N/A</v>
      </c>
      <c r="M358" t="e">
        <f>IF(Tabela4[[#This Row],[4Income]]="&gt;50K",Tabela4[[#This Row],[4hours-per-week]],NA())</f>
        <v>#N/A</v>
      </c>
    </row>
    <row r="359" spans="1:13">
      <c r="A359">
        <v>22</v>
      </c>
      <c r="B359">
        <v>40</v>
      </c>
      <c r="C359">
        <v>13</v>
      </c>
      <c r="D359">
        <v>40</v>
      </c>
      <c r="E359">
        <v>22</v>
      </c>
      <c r="F359">
        <v>13</v>
      </c>
      <c r="G359">
        <v>22</v>
      </c>
      <c r="H359">
        <v>40</v>
      </c>
      <c r="I359" t="s">
        <v>8</v>
      </c>
      <c r="J359">
        <f>IF(Tabela4[[#This Row],[4Income]]="&lt;=50K",Tabela4[[#This Row],[4Age]],NA())</f>
        <v>22</v>
      </c>
      <c r="K359">
        <f>IF(Tabela4[[#This Row],[4Income]]="&lt;=50K",Tabela4[[#This Row],[4hours-per-week]],NA())</f>
        <v>40</v>
      </c>
      <c r="L359" t="e">
        <f>IF(Tabela4[[#This Row],[4Income]]="&gt;50K",Tabela4[[#This Row],[4Age]],NA())</f>
        <v>#N/A</v>
      </c>
      <c r="M359" t="e">
        <f>IF(Tabela4[[#This Row],[4Income]]="&gt;50K",Tabela4[[#This Row],[4hours-per-week]],NA())</f>
        <v>#N/A</v>
      </c>
    </row>
    <row r="360" spans="1:13">
      <c r="A360">
        <v>35</v>
      </c>
      <c r="B360">
        <v>40</v>
      </c>
      <c r="C360">
        <v>13</v>
      </c>
      <c r="D360">
        <v>40</v>
      </c>
      <c r="E360">
        <v>35</v>
      </c>
      <c r="F360">
        <v>13</v>
      </c>
      <c r="G360">
        <v>35</v>
      </c>
      <c r="H360">
        <v>40</v>
      </c>
      <c r="I360" t="s">
        <v>8</v>
      </c>
      <c r="J360">
        <f>IF(Tabela4[[#This Row],[4Income]]="&lt;=50K",Tabela4[[#This Row],[4Age]],NA())</f>
        <v>35</v>
      </c>
      <c r="K360">
        <f>IF(Tabela4[[#This Row],[4Income]]="&lt;=50K",Tabela4[[#This Row],[4hours-per-week]],NA())</f>
        <v>40</v>
      </c>
      <c r="L360" t="e">
        <f>IF(Tabela4[[#This Row],[4Income]]="&gt;50K",Tabela4[[#This Row],[4Age]],NA())</f>
        <v>#N/A</v>
      </c>
      <c r="M360" t="e">
        <f>IF(Tabela4[[#This Row],[4Income]]="&gt;50K",Tabela4[[#This Row],[4hours-per-week]],NA())</f>
        <v>#N/A</v>
      </c>
    </row>
    <row r="361" spans="1:13">
      <c r="A361">
        <v>28</v>
      </c>
      <c r="B361">
        <v>40</v>
      </c>
      <c r="C361">
        <v>13</v>
      </c>
      <c r="D361">
        <v>40</v>
      </c>
      <c r="E361">
        <v>28</v>
      </c>
      <c r="F361">
        <v>13</v>
      </c>
      <c r="G361">
        <v>28</v>
      </c>
      <c r="H361">
        <v>40</v>
      </c>
      <c r="I361" t="s">
        <v>8</v>
      </c>
      <c r="J361">
        <f>IF(Tabela4[[#This Row],[4Income]]="&lt;=50K",Tabela4[[#This Row],[4Age]],NA())</f>
        <v>28</v>
      </c>
      <c r="K361">
        <f>IF(Tabela4[[#This Row],[4Income]]="&lt;=50K",Tabela4[[#This Row],[4hours-per-week]],NA())</f>
        <v>40</v>
      </c>
      <c r="L361" t="e">
        <f>IF(Tabela4[[#This Row],[4Income]]="&gt;50K",Tabela4[[#This Row],[4Age]],NA())</f>
        <v>#N/A</v>
      </c>
      <c r="M361" t="e">
        <f>IF(Tabela4[[#This Row],[4Income]]="&gt;50K",Tabela4[[#This Row],[4hours-per-week]],NA())</f>
        <v>#N/A</v>
      </c>
    </row>
    <row r="362" spans="1:13">
      <c r="A362">
        <v>61</v>
      </c>
      <c r="B362">
        <v>30</v>
      </c>
      <c r="C362">
        <v>10</v>
      </c>
      <c r="D362">
        <v>30</v>
      </c>
      <c r="E362">
        <v>61</v>
      </c>
      <c r="F362">
        <v>10</v>
      </c>
      <c r="G362">
        <v>61</v>
      </c>
      <c r="H362">
        <v>30</v>
      </c>
      <c r="I362" t="s">
        <v>19</v>
      </c>
      <c r="J362" t="e">
        <f>IF(Tabela4[[#This Row],[4Income]]="&lt;=50K",Tabela4[[#This Row],[4Age]],NA())</f>
        <v>#N/A</v>
      </c>
      <c r="K362" t="e">
        <f>IF(Tabela4[[#This Row],[4Income]]="&lt;=50K",Tabela4[[#This Row],[4hours-per-week]],NA())</f>
        <v>#N/A</v>
      </c>
      <c r="L362">
        <f>IF(Tabela4[[#This Row],[4Income]]="&gt;50K",Tabela4[[#This Row],[4Age]],NA())</f>
        <v>61</v>
      </c>
      <c r="M362">
        <f>IF(Tabela4[[#This Row],[4Income]]="&gt;50K",Tabela4[[#This Row],[4hours-per-week]],NA())</f>
        <v>30</v>
      </c>
    </row>
    <row r="363" spans="1:13">
      <c r="A363">
        <v>39</v>
      </c>
      <c r="B363">
        <v>35</v>
      </c>
      <c r="C363">
        <v>12</v>
      </c>
      <c r="D363">
        <v>35</v>
      </c>
      <c r="E363">
        <v>39</v>
      </c>
      <c r="F363">
        <v>12</v>
      </c>
      <c r="G363">
        <v>39</v>
      </c>
      <c r="H363">
        <v>35</v>
      </c>
      <c r="I363" t="s">
        <v>8</v>
      </c>
      <c r="J363">
        <f>IF(Tabela4[[#This Row],[4Income]]="&lt;=50K",Tabela4[[#This Row],[4Age]],NA())</f>
        <v>39</v>
      </c>
      <c r="K363">
        <f>IF(Tabela4[[#This Row],[4Income]]="&lt;=50K",Tabela4[[#This Row],[4hours-per-week]],NA())</f>
        <v>35</v>
      </c>
      <c r="L363" t="e">
        <f>IF(Tabela4[[#This Row],[4Income]]="&gt;50K",Tabela4[[#This Row],[4Age]],NA())</f>
        <v>#N/A</v>
      </c>
      <c r="M363" t="e">
        <f>IF(Tabela4[[#This Row],[4Income]]="&gt;50K",Tabela4[[#This Row],[4hours-per-week]],NA())</f>
        <v>#N/A</v>
      </c>
    </row>
    <row r="364" spans="1:13">
      <c r="A364">
        <v>18</v>
      </c>
      <c r="B364">
        <v>18</v>
      </c>
      <c r="C364">
        <v>7</v>
      </c>
      <c r="D364">
        <v>18</v>
      </c>
      <c r="E364">
        <v>18</v>
      </c>
      <c r="F364">
        <v>7</v>
      </c>
      <c r="G364">
        <v>18</v>
      </c>
      <c r="H364">
        <v>18</v>
      </c>
      <c r="I364" t="s">
        <v>8</v>
      </c>
      <c r="J364">
        <f>IF(Tabela4[[#This Row],[4Income]]="&lt;=50K",Tabela4[[#This Row],[4Age]],NA())</f>
        <v>18</v>
      </c>
      <c r="K364">
        <f>IF(Tabela4[[#This Row],[4Income]]="&lt;=50K",Tabela4[[#This Row],[4hours-per-week]],NA())</f>
        <v>18</v>
      </c>
      <c r="L364" t="e">
        <f>IF(Tabela4[[#This Row],[4Income]]="&gt;50K",Tabela4[[#This Row],[4Age]],NA())</f>
        <v>#N/A</v>
      </c>
      <c r="M364" t="e">
        <f>IF(Tabela4[[#This Row],[4Income]]="&gt;50K",Tabela4[[#This Row],[4hours-per-week]],NA())</f>
        <v>#N/A</v>
      </c>
    </row>
    <row r="365" spans="1:13">
      <c r="A365">
        <v>57</v>
      </c>
      <c r="B365">
        <v>40</v>
      </c>
      <c r="C365">
        <v>9</v>
      </c>
      <c r="D365">
        <v>40</v>
      </c>
      <c r="E365">
        <v>57</v>
      </c>
      <c r="F365">
        <v>9</v>
      </c>
      <c r="G365">
        <v>57</v>
      </c>
      <c r="H365">
        <v>40</v>
      </c>
      <c r="I365" t="s">
        <v>8</v>
      </c>
      <c r="J365">
        <f>IF(Tabela4[[#This Row],[4Income]]="&lt;=50K",Tabela4[[#This Row],[4Age]],NA())</f>
        <v>57</v>
      </c>
      <c r="K365">
        <f>IF(Tabela4[[#This Row],[4Income]]="&lt;=50K",Tabela4[[#This Row],[4hours-per-week]],NA())</f>
        <v>40</v>
      </c>
      <c r="L365" t="e">
        <f>IF(Tabela4[[#This Row],[4Income]]="&gt;50K",Tabela4[[#This Row],[4Age]],NA())</f>
        <v>#N/A</v>
      </c>
      <c r="M365" t="e">
        <f>IF(Tabela4[[#This Row],[4Income]]="&gt;50K",Tabela4[[#This Row],[4hours-per-week]],NA())</f>
        <v>#N/A</v>
      </c>
    </row>
    <row r="366" spans="1:13">
      <c r="A366">
        <v>37</v>
      </c>
      <c r="B366">
        <v>30</v>
      </c>
      <c r="C366">
        <v>9</v>
      </c>
      <c r="D366">
        <v>30</v>
      </c>
      <c r="E366">
        <v>37</v>
      </c>
      <c r="F366">
        <v>9</v>
      </c>
      <c r="G366">
        <v>37</v>
      </c>
      <c r="H366">
        <v>30</v>
      </c>
      <c r="I366" t="s">
        <v>8</v>
      </c>
      <c r="J366">
        <f>IF(Tabela4[[#This Row],[4Income]]="&lt;=50K",Tabela4[[#This Row],[4Age]],NA())</f>
        <v>37</v>
      </c>
      <c r="K366">
        <f>IF(Tabela4[[#This Row],[4Income]]="&lt;=50K",Tabela4[[#This Row],[4hours-per-week]],NA())</f>
        <v>30</v>
      </c>
      <c r="L366" t="e">
        <f>IF(Tabela4[[#This Row],[4Income]]="&gt;50K",Tabela4[[#This Row],[4Age]],NA())</f>
        <v>#N/A</v>
      </c>
      <c r="M366" t="e">
        <f>IF(Tabela4[[#This Row],[4Income]]="&gt;50K",Tabela4[[#This Row],[4hours-per-week]],NA())</f>
        <v>#N/A</v>
      </c>
    </row>
    <row r="367" spans="1:13">
      <c r="A367">
        <v>33</v>
      </c>
      <c r="B367">
        <v>35</v>
      </c>
      <c r="C367">
        <v>6</v>
      </c>
      <c r="D367">
        <v>35</v>
      </c>
      <c r="E367">
        <v>33</v>
      </c>
      <c r="F367">
        <v>6</v>
      </c>
      <c r="G367">
        <v>33</v>
      </c>
      <c r="H367">
        <v>35</v>
      </c>
      <c r="I367" t="s">
        <v>8</v>
      </c>
      <c r="J367">
        <f>IF(Tabela4[[#This Row],[4Income]]="&lt;=50K",Tabela4[[#This Row],[4Age]],NA())</f>
        <v>33</v>
      </c>
      <c r="K367">
        <f>IF(Tabela4[[#This Row],[4Income]]="&lt;=50K",Tabela4[[#This Row],[4hours-per-week]],NA())</f>
        <v>35</v>
      </c>
      <c r="L367" t="e">
        <f>IF(Tabela4[[#This Row],[4Income]]="&gt;50K",Tabela4[[#This Row],[4Age]],NA())</f>
        <v>#N/A</v>
      </c>
      <c r="M367" t="e">
        <f>IF(Tabela4[[#This Row],[4Income]]="&gt;50K",Tabela4[[#This Row],[4hours-per-week]],NA())</f>
        <v>#N/A</v>
      </c>
    </row>
    <row r="368" spans="1:13">
      <c r="A368">
        <v>17</v>
      </c>
      <c r="B368">
        <v>18</v>
      </c>
      <c r="C368">
        <v>7</v>
      </c>
      <c r="D368">
        <v>18</v>
      </c>
      <c r="E368">
        <v>17</v>
      </c>
      <c r="F368">
        <v>7</v>
      </c>
      <c r="G368">
        <v>17</v>
      </c>
      <c r="H368">
        <v>18</v>
      </c>
      <c r="I368" t="s">
        <v>8</v>
      </c>
      <c r="J368">
        <f>IF(Tabela4[[#This Row],[4Income]]="&lt;=50K",Tabela4[[#This Row],[4Age]],NA())</f>
        <v>17</v>
      </c>
      <c r="K368">
        <f>IF(Tabela4[[#This Row],[4Income]]="&lt;=50K",Tabela4[[#This Row],[4hours-per-week]],NA())</f>
        <v>18</v>
      </c>
      <c r="L368" t="e">
        <f>IF(Tabela4[[#This Row],[4Income]]="&gt;50K",Tabela4[[#This Row],[4Age]],NA())</f>
        <v>#N/A</v>
      </c>
      <c r="M368" t="e">
        <f>IF(Tabela4[[#This Row],[4Income]]="&gt;50K",Tabela4[[#This Row],[4hours-per-week]],NA())</f>
        <v>#N/A</v>
      </c>
    </row>
    <row r="369" spans="1:13">
      <c r="A369">
        <v>64</v>
      </c>
      <c r="B369">
        <v>30</v>
      </c>
      <c r="C369">
        <v>13</v>
      </c>
      <c r="D369">
        <v>30</v>
      </c>
      <c r="E369">
        <v>64</v>
      </c>
      <c r="F369">
        <v>13</v>
      </c>
      <c r="G369">
        <v>64</v>
      </c>
      <c r="H369">
        <v>30</v>
      </c>
      <c r="I369" t="s">
        <v>8</v>
      </c>
      <c r="J369">
        <f>IF(Tabela4[[#This Row],[4Income]]="&lt;=50K",Tabela4[[#This Row],[4Age]],NA())</f>
        <v>64</v>
      </c>
      <c r="K369">
        <f>IF(Tabela4[[#This Row],[4Income]]="&lt;=50K",Tabela4[[#This Row],[4hours-per-week]],NA())</f>
        <v>30</v>
      </c>
      <c r="L369" t="e">
        <f>IF(Tabela4[[#This Row],[4Income]]="&gt;50K",Tabela4[[#This Row],[4Age]],NA())</f>
        <v>#N/A</v>
      </c>
      <c r="M369" t="e">
        <f>IF(Tabela4[[#This Row],[4Income]]="&gt;50K",Tabela4[[#This Row],[4hours-per-week]],NA())</f>
        <v>#N/A</v>
      </c>
    </row>
    <row r="370" spans="1:13">
      <c r="A370">
        <v>33</v>
      </c>
      <c r="B370">
        <v>40</v>
      </c>
      <c r="C370">
        <v>14</v>
      </c>
      <c r="D370">
        <v>40</v>
      </c>
      <c r="E370">
        <v>33</v>
      </c>
      <c r="F370">
        <v>14</v>
      </c>
      <c r="G370">
        <v>33</v>
      </c>
      <c r="H370">
        <v>40</v>
      </c>
      <c r="I370" t="s">
        <v>8</v>
      </c>
      <c r="J370">
        <f>IF(Tabela4[[#This Row],[4Income]]="&lt;=50K",Tabela4[[#This Row],[4Age]],NA())</f>
        <v>33</v>
      </c>
      <c r="K370">
        <f>IF(Tabela4[[#This Row],[4Income]]="&lt;=50K",Tabela4[[#This Row],[4hours-per-week]],NA())</f>
        <v>40</v>
      </c>
      <c r="L370" t="e">
        <f>IF(Tabela4[[#This Row],[4Income]]="&gt;50K",Tabela4[[#This Row],[4Age]],NA())</f>
        <v>#N/A</v>
      </c>
      <c r="M370" t="e">
        <f>IF(Tabela4[[#This Row],[4Income]]="&gt;50K",Tabela4[[#This Row],[4hours-per-week]],NA())</f>
        <v>#N/A</v>
      </c>
    </row>
    <row r="371" spans="1:13">
      <c r="A371">
        <v>20</v>
      </c>
      <c r="B371">
        <v>40</v>
      </c>
      <c r="C371">
        <v>10</v>
      </c>
      <c r="D371">
        <v>40</v>
      </c>
      <c r="E371">
        <v>20</v>
      </c>
      <c r="F371">
        <v>10</v>
      </c>
      <c r="G371">
        <v>20</v>
      </c>
      <c r="H371">
        <v>40</v>
      </c>
      <c r="I371" t="s">
        <v>8</v>
      </c>
      <c r="J371">
        <f>IF(Tabela4[[#This Row],[4Income]]="&lt;=50K",Tabela4[[#This Row],[4Age]],NA())</f>
        <v>20</v>
      </c>
      <c r="K371">
        <f>IF(Tabela4[[#This Row],[4Income]]="&lt;=50K",Tabela4[[#This Row],[4hours-per-week]],NA())</f>
        <v>40</v>
      </c>
      <c r="L371" t="e">
        <f>IF(Tabela4[[#This Row],[4Income]]="&gt;50K",Tabela4[[#This Row],[4Age]],NA())</f>
        <v>#N/A</v>
      </c>
      <c r="M371" t="e">
        <f>IF(Tabela4[[#This Row],[4Income]]="&gt;50K",Tabela4[[#This Row],[4hours-per-week]],NA())</f>
        <v>#N/A</v>
      </c>
    </row>
    <row r="372" spans="1:13">
      <c r="A372">
        <v>44</v>
      </c>
      <c r="B372">
        <v>37</v>
      </c>
      <c r="C372">
        <v>10</v>
      </c>
      <c r="D372">
        <v>37</v>
      </c>
      <c r="E372">
        <v>44</v>
      </c>
      <c r="F372">
        <v>10</v>
      </c>
      <c r="G372">
        <v>44</v>
      </c>
      <c r="H372">
        <v>37</v>
      </c>
      <c r="I372" t="s">
        <v>8</v>
      </c>
      <c r="J372">
        <f>IF(Tabela4[[#This Row],[4Income]]="&lt;=50K",Tabela4[[#This Row],[4Age]],NA())</f>
        <v>44</v>
      </c>
      <c r="K372">
        <f>IF(Tabela4[[#This Row],[4Income]]="&lt;=50K",Tabela4[[#This Row],[4hours-per-week]],NA())</f>
        <v>37</v>
      </c>
      <c r="L372" t="e">
        <f>IF(Tabela4[[#This Row],[4Income]]="&gt;50K",Tabela4[[#This Row],[4Age]],NA())</f>
        <v>#N/A</v>
      </c>
      <c r="M372" t="e">
        <f>IF(Tabela4[[#This Row],[4Income]]="&gt;50K",Tabela4[[#This Row],[4hours-per-week]],NA())</f>
        <v>#N/A</v>
      </c>
    </row>
    <row r="373" spans="1:13">
      <c r="A373">
        <v>42</v>
      </c>
      <c r="B373">
        <v>65</v>
      </c>
      <c r="C373">
        <v>13</v>
      </c>
      <c r="D373">
        <v>65</v>
      </c>
      <c r="E373">
        <v>42</v>
      </c>
      <c r="F373">
        <v>13</v>
      </c>
      <c r="G373">
        <v>42</v>
      </c>
      <c r="H373">
        <v>65</v>
      </c>
      <c r="I373" t="s">
        <v>8</v>
      </c>
      <c r="J373">
        <f>IF(Tabela4[[#This Row],[4Income]]="&lt;=50K",Tabela4[[#This Row],[4Age]],NA())</f>
        <v>42</v>
      </c>
      <c r="K373">
        <f>IF(Tabela4[[#This Row],[4Income]]="&lt;=50K",Tabela4[[#This Row],[4hours-per-week]],NA())</f>
        <v>65</v>
      </c>
      <c r="L373" t="e">
        <f>IF(Tabela4[[#This Row],[4Income]]="&gt;50K",Tabela4[[#This Row],[4Age]],NA())</f>
        <v>#N/A</v>
      </c>
      <c r="M373" t="e">
        <f>IF(Tabela4[[#This Row],[4Income]]="&gt;50K",Tabela4[[#This Row],[4hours-per-week]],NA())</f>
        <v>#N/A</v>
      </c>
    </row>
    <row r="374" spans="1:13">
      <c r="A374">
        <v>28</v>
      </c>
      <c r="B374">
        <v>40</v>
      </c>
      <c r="C374">
        <v>13</v>
      </c>
      <c r="D374">
        <v>40</v>
      </c>
      <c r="E374">
        <v>28</v>
      </c>
      <c r="F374">
        <v>13</v>
      </c>
      <c r="G374">
        <v>28</v>
      </c>
      <c r="H374">
        <v>40</v>
      </c>
      <c r="I374" t="s">
        <v>8</v>
      </c>
      <c r="J374">
        <f>IF(Tabela4[[#This Row],[4Income]]="&lt;=50K",Tabela4[[#This Row],[4Age]],NA())</f>
        <v>28</v>
      </c>
      <c r="K374">
        <f>IF(Tabela4[[#This Row],[4Income]]="&lt;=50K",Tabela4[[#This Row],[4hours-per-week]],NA())</f>
        <v>40</v>
      </c>
      <c r="L374" t="e">
        <f>IF(Tabela4[[#This Row],[4Income]]="&gt;50K",Tabela4[[#This Row],[4Age]],NA())</f>
        <v>#N/A</v>
      </c>
      <c r="M374" t="e">
        <f>IF(Tabela4[[#This Row],[4Income]]="&gt;50K",Tabela4[[#This Row],[4hours-per-week]],NA())</f>
        <v>#N/A</v>
      </c>
    </row>
    <row r="375" spans="1:13">
      <c r="A375">
        <v>39</v>
      </c>
      <c r="B375">
        <v>40</v>
      </c>
      <c r="C375">
        <v>9</v>
      </c>
      <c r="D375">
        <v>40</v>
      </c>
      <c r="E375">
        <v>39</v>
      </c>
      <c r="F375">
        <v>9</v>
      </c>
      <c r="G375">
        <v>39</v>
      </c>
      <c r="H375">
        <v>40</v>
      </c>
      <c r="I375" t="s">
        <v>8</v>
      </c>
      <c r="J375">
        <f>IF(Tabela4[[#This Row],[4Income]]="&lt;=50K",Tabela4[[#This Row],[4Age]],NA())</f>
        <v>39</v>
      </c>
      <c r="K375">
        <f>IF(Tabela4[[#This Row],[4Income]]="&lt;=50K",Tabela4[[#This Row],[4hours-per-week]],NA())</f>
        <v>40</v>
      </c>
      <c r="L375" t="e">
        <f>IF(Tabela4[[#This Row],[4Income]]="&gt;50K",Tabela4[[#This Row],[4Age]],NA())</f>
        <v>#N/A</v>
      </c>
      <c r="M375" t="e">
        <f>IF(Tabela4[[#This Row],[4Income]]="&gt;50K",Tabela4[[#This Row],[4hours-per-week]],NA())</f>
        <v>#N/A</v>
      </c>
    </row>
    <row r="376" spans="1:13">
      <c r="A376">
        <v>32</v>
      </c>
      <c r="B376">
        <v>60</v>
      </c>
      <c r="C376">
        <v>3</v>
      </c>
      <c r="D376">
        <v>60</v>
      </c>
      <c r="E376">
        <v>32</v>
      </c>
      <c r="F376">
        <v>3</v>
      </c>
      <c r="G376">
        <v>32</v>
      </c>
      <c r="H376">
        <v>60</v>
      </c>
      <c r="I376" t="s">
        <v>8</v>
      </c>
      <c r="J376">
        <f>IF(Tabela4[[#This Row],[4Income]]="&lt;=50K",Tabela4[[#This Row],[4Age]],NA())</f>
        <v>32</v>
      </c>
      <c r="K376">
        <f>IF(Tabela4[[#This Row],[4Income]]="&lt;=50K",Tabela4[[#This Row],[4hours-per-week]],NA())</f>
        <v>60</v>
      </c>
      <c r="L376" t="e">
        <f>IF(Tabela4[[#This Row],[4Income]]="&gt;50K",Tabela4[[#This Row],[4Age]],NA())</f>
        <v>#N/A</v>
      </c>
      <c r="M376" t="e">
        <f>IF(Tabela4[[#This Row],[4Income]]="&gt;50K",Tabela4[[#This Row],[4hours-per-week]],NA())</f>
        <v>#N/A</v>
      </c>
    </row>
    <row r="377" spans="1:13">
      <c r="A377">
        <v>22</v>
      </c>
      <c r="B377">
        <v>37</v>
      </c>
      <c r="C377">
        <v>10</v>
      </c>
      <c r="D377">
        <v>37</v>
      </c>
      <c r="E377">
        <v>22</v>
      </c>
      <c r="F377">
        <v>10</v>
      </c>
      <c r="G377">
        <v>22</v>
      </c>
      <c r="H377">
        <v>37</v>
      </c>
      <c r="I377" t="s">
        <v>8</v>
      </c>
      <c r="J377">
        <f>IF(Tabela4[[#This Row],[4Income]]="&lt;=50K",Tabela4[[#This Row],[4Age]],NA())</f>
        <v>22</v>
      </c>
      <c r="K377">
        <f>IF(Tabela4[[#This Row],[4Income]]="&lt;=50K",Tabela4[[#This Row],[4hours-per-week]],NA())</f>
        <v>37</v>
      </c>
      <c r="L377" t="e">
        <f>IF(Tabela4[[#This Row],[4Income]]="&gt;50K",Tabela4[[#This Row],[4Age]],NA())</f>
        <v>#N/A</v>
      </c>
      <c r="M377" t="e">
        <f>IF(Tabela4[[#This Row],[4Income]]="&gt;50K",Tabela4[[#This Row],[4hours-per-week]],NA())</f>
        <v>#N/A</v>
      </c>
    </row>
    <row r="378" spans="1:13">
      <c r="A378">
        <v>54</v>
      </c>
      <c r="B378">
        <v>45</v>
      </c>
      <c r="C378">
        <v>6</v>
      </c>
      <c r="D378">
        <v>45</v>
      </c>
      <c r="E378">
        <v>54</v>
      </c>
      <c r="F378">
        <v>6</v>
      </c>
      <c r="G378">
        <v>54</v>
      </c>
      <c r="H378">
        <v>45</v>
      </c>
      <c r="I378" t="s">
        <v>19</v>
      </c>
      <c r="J378" t="e">
        <f>IF(Tabela4[[#This Row],[4Income]]="&lt;=50K",Tabela4[[#This Row],[4Age]],NA())</f>
        <v>#N/A</v>
      </c>
      <c r="K378" t="e">
        <f>IF(Tabela4[[#This Row],[4Income]]="&lt;=50K",Tabela4[[#This Row],[4hours-per-week]],NA())</f>
        <v>#N/A</v>
      </c>
      <c r="L378">
        <f>IF(Tabela4[[#This Row],[4Income]]="&gt;50K",Tabela4[[#This Row],[4Age]],NA())</f>
        <v>54</v>
      </c>
      <c r="M378">
        <f>IF(Tabela4[[#This Row],[4Income]]="&gt;50K",Tabela4[[#This Row],[4hours-per-week]],NA())</f>
        <v>45</v>
      </c>
    </row>
    <row r="379" spans="1:13">
      <c r="A379">
        <v>44</v>
      </c>
      <c r="B379">
        <v>30</v>
      </c>
      <c r="C379">
        <v>7</v>
      </c>
      <c r="D379">
        <v>30</v>
      </c>
      <c r="E379">
        <v>44</v>
      </c>
      <c r="F379">
        <v>7</v>
      </c>
      <c r="G379">
        <v>44</v>
      </c>
      <c r="H379">
        <v>30</v>
      </c>
      <c r="I379" t="s">
        <v>8</v>
      </c>
      <c r="J379">
        <f>IF(Tabela4[[#This Row],[4Income]]="&lt;=50K",Tabela4[[#This Row],[4Age]],NA())</f>
        <v>44</v>
      </c>
      <c r="K379">
        <f>IF(Tabela4[[#This Row],[4Income]]="&lt;=50K",Tabela4[[#This Row],[4hours-per-week]],NA())</f>
        <v>30</v>
      </c>
      <c r="L379" t="e">
        <f>IF(Tabela4[[#This Row],[4Income]]="&gt;50K",Tabela4[[#This Row],[4Age]],NA())</f>
        <v>#N/A</v>
      </c>
      <c r="M379" t="e">
        <f>IF(Tabela4[[#This Row],[4Income]]="&gt;50K",Tabela4[[#This Row],[4hours-per-week]],NA())</f>
        <v>#N/A</v>
      </c>
    </row>
    <row r="380" spans="1:13">
      <c r="A380">
        <v>62</v>
      </c>
      <c r="B380">
        <v>25</v>
      </c>
      <c r="C380">
        <v>5</v>
      </c>
      <c r="D380">
        <v>25</v>
      </c>
      <c r="E380">
        <v>62</v>
      </c>
      <c r="F380">
        <v>5</v>
      </c>
      <c r="G380">
        <v>62</v>
      </c>
      <c r="H380">
        <v>25</v>
      </c>
      <c r="I380" t="s">
        <v>8</v>
      </c>
      <c r="J380">
        <f>IF(Tabela4[[#This Row],[4Income]]="&lt;=50K",Tabela4[[#This Row],[4Age]],NA())</f>
        <v>62</v>
      </c>
      <c r="K380">
        <f>IF(Tabela4[[#This Row],[4Income]]="&lt;=50K",Tabela4[[#This Row],[4hours-per-week]],NA())</f>
        <v>25</v>
      </c>
      <c r="L380" t="e">
        <f>IF(Tabela4[[#This Row],[4Income]]="&gt;50K",Tabela4[[#This Row],[4Age]],NA())</f>
        <v>#N/A</v>
      </c>
      <c r="M380" t="e">
        <f>IF(Tabela4[[#This Row],[4Income]]="&gt;50K",Tabela4[[#This Row],[4hours-per-week]],NA())</f>
        <v>#N/A</v>
      </c>
    </row>
    <row r="381" spans="1:13">
      <c r="A381">
        <v>29</v>
      </c>
      <c r="B381">
        <v>40</v>
      </c>
      <c r="C381">
        <v>13</v>
      </c>
      <c r="D381">
        <v>40</v>
      </c>
      <c r="E381">
        <v>29</v>
      </c>
      <c r="F381">
        <v>13</v>
      </c>
      <c r="G381">
        <v>29</v>
      </c>
      <c r="H381">
        <v>40</v>
      </c>
      <c r="I381" t="s">
        <v>8</v>
      </c>
      <c r="J381">
        <f>IF(Tabela4[[#This Row],[4Income]]="&lt;=50K",Tabela4[[#This Row],[4Age]],NA())</f>
        <v>29</v>
      </c>
      <c r="K381">
        <f>IF(Tabela4[[#This Row],[4Income]]="&lt;=50K",Tabela4[[#This Row],[4hours-per-week]],NA())</f>
        <v>40</v>
      </c>
      <c r="L381" t="e">
        <f>IF(Tabela4[[#This Row],[4Income]]="&gt;50K",Tabela4[[#This Row],[4Age]],NA())</f>
        <v>#N/A</v>
      </c>
      <c r="M381" t="e">
        <f>IF(Tabela4[[#This Row],[4Income]]="&gt;50K",Tabela4[[#This Row],[4hours-per-week]],NA())</f>
        <v>#N/A</v>
      </c>
    </row>
    <row r="382" spans="1:13">
      <c r="A382">
        <v>31</v>
      </c>
      <c r="B382">
        <v>40</v>
      </c>
      <c r="C382">
        <v>9</v>
      </c>
      <c r="D382">
        <v>40</v>
      </c>
      <c r="E382">
        <v>31</v>
      </c>
      <c r="F382">
        <v>9</v>
      </c>
      <c r="G382">
        <v>31</v>
      </c>
      <c r="H382">
        <v>40</v>
      </c>
      <c r="I382" t="s">
        <v>8</v>
      </c>
      <c r="J382">
        <f>IF(Tabela4[[#This Row],[4Income]]="&lt;=50K",Tabela4[[#This Row],[4Age]],NA())</f>
        <v>31</v>
      </c>
      <c r="K382">
        <f>IF(Tabela4[[#This Row],[4Income]]="&lt;=50K",Tabela4[[#This Row],[4hours-per-week]],NA())</f>
        <v>40</v>
      </c>
      <c r="L382" t="e">
        <f>IF(Tabela4[[#This Row],[4Income]]="&gt;50K",Tabela4[[#This Row],[4Age]],NA())</f>
        <v>#N/A</v>
      </c>
      <c r="M382" t="e">
        <f>IF(Tabela4[[#This Row],[4Income]]="&gt;50K",Tabela4[[#This Row],[4hours-per-week]],NA())</f>
        <v>#N/A</v>
      </c>
    </row>
    <row r="383" spans="1:13">
      <c r="A383">
        <v>33</v>
      </c>
      <c r="B383">
        <v>99</v>
      </c>
      <c r="C383">
        <v>11</v>
      </c>
      <c r="D383">
        <v>99</v>
      </c>
      <c r="E383">
        <v>33</v>
      </c>
      <c r="F383">
        <v>11</v>
      </c>
      <c r="G383">
        <v>33</v>
      </c>
      <c r="H383">
        <v>99</v>
      </c>
      <c r="I383" t="s">
        <v>8</v>
      </c>
      <c r="J383">
        <f>IF(Tabela4[[#This Row],[4Income]]="&lt;=50K",Tabela4[[#This Row],[4Age]],NA())</f>
        <v>33</v>
      </c>
      <c r="K383">
        <f>IF(Tabela4[[#This Row],[4Income]]="&lt;=50K",Tabela4[[#This Row],[4hours-per-week]],NA())</f>
        <v>99</v>
      </c>
      <c r="L383" t="e">
        <f>IF(Tabela4[[#This Row],[4Income]]="&gt;50K",Tabela4[[#This Row],[4Age]],NA())</f>
        <v>#N/A</v>
      </c>
      <c r="M383" t="e">
        <f>IF(Tabela4[[#This Row],[4Income]]="&gt;50K",Tabela4[[#This Row],[4hours-per-week]],NA())</f>
        <v>#N/A</v>
      </c>
    </row>
    <row r="384" spans="1:13">
      <c r="A384">
        <v>33</v>
      </c>
      <c r="B384">
        <v>50</v>
      </c>
      <c r="C384">
        <v>11</v>
      </c>
      <c r="D384">
        <v>50</v>
      </c>
      <c r="E384">
        <v>33</v>
      </c>
      <c r="F384">
        <v>11</v>
      </c>
      <c r="G384">
        <v>33</v>
      </c>
      <c r="H384">
        <v>50</v>
      </c>
      <c r="I384" t="s">
        <v>8</v>
      </c>
      <c r="J384">
        <f>IF(Tabela4[[#This Row],[4Income]]="&lt;=50K",Tabela4[[#This Row],[4Age]],NA())</f>
        <v>33</v>
      </c>
      <c r="K384">
        <f>IF(Tabela4[[#This Row],[4Income]]="&lt;=50K",Tabela4[[#This Row],[4hours-per-week]],NA())</f>
        <v>50</v>
      </c>
      <c r="L384" t="e">
        <f>IF(Tabela4[[#This Row],[4Income]]="&gt;50K",Tabela4[[#This Row],[4Age]],NA())</f>
        <v>#N/A</v>
      </c>
      <c r="M384" t="e">
        <f>IF(Tabela4[[#This Row],[4Income]]="&gt;50K",Tabela4[[#This Row],[4hours-per-week]],NA())</f>
        <v>#N/A</v>
      </c>
    </row>
    <row r="385" spans="1:13">
      <c r="A385">
        <v>21</v>
      </c>
      <c r="B385">
        <v>10</v>
      </c>
      <c r="C385">
        <v>10</v>
      </c>
      <c r="D385">
        <v>10</v>
      </c>
      <c r="E385">
        <v>21</v>
      </c>
      <c r="F385">
        <v>10</v>
      </c>
      <c r="G385">
        <v>21</v>
      </c>
      <c r="H385">
        <v>10</v>
      </c>
      <c r="I385" t="s">
        <v>8</v>
      </c>
      <c r="J385">
        <f>IF(Tabela4[[#This Row],[4Income]]="&lt;=50K",Tabela4[[#This Row],[4Age]],NA())</f>
        <v>21</v>
      </c>
      <c r="K385">
        <f>IF(Tabela4[[#This Row],[4Income]]="&lt;=50K",Tabela4[[#This Row],[4hours-per-week]],NA())</f>
        <v>10</v>
      </c>
      <c r="L385" t="e">
        <f>IF(Tabela4[[#This Row],[4Income]]="&gt;50K",Tabela4[[#This Row],[4Age]],NA())</f>
        <v>#N/A</v>
      </c>
      <c r="M385" t="e">
        <f>IF(Tabela4[[#This Row],[4Income]]="&gt;50K",Tabela4[[#This Row],[4hours-per-week]],NA())</f>
        <v>#N/A</v>
      </c>
    </row>
    <row r="386" spans="1:13">
      <c r="A386">
        <v>44</v>
      </c>
      <c r="B386">
        <v>40</v>
      </c>
      <c r="C386">
        <v>9</v>
      </c>
      <c r="D386">
        <v>40</v>
      </c>
      <c r="E386">
        <v>44</v>
      </c>
      <c r="F386">
        <v>9</v>
      </c>
      <c r="G386">
        <v>44</v>
      </c>
      <c r="H386">
        <v>40</v>
      </c>
      <c r="I386" t="s">
        <v>8</v>
      </c>
      <c r="J386">
        <f>IF(Tabela4[[#This Row],[4Income]]="&lt;=50K",Tabela4[[#This Row],[4Age]],NA())</f>
        <v>44</v>
      </c>
      <c r="K386">
        <f>IF(Tabela4[[#This Row],[4Income]]="&lt;=50K",Tabela4[[#This Row],[4hours-per-week]],NA())</f>
        <v>40</v>
      </c>
      <c r="L386" t="e">
        <f>IF(Tabela4[[#This Row],[4Income]]="&gt;50K",Tabela4[[#This Row],[4Age]],NA())</f>
        <v>#N/A</v>
      </c>
      <c r="M386" t="e">
        <f>IF(Tabela4[[#This Row],[4Income]]="&gt;50K",Tabela4[[#This Row],[4hours-per-week]],NA())</f>
        <v>#N/A</v>
      </c>
    </row>
    <row r="387" spans="1:13">
      <c r="A387">
        <v>37</v>
      </c>
      <c r="B387">
        <v>25</v>
      </c>
      <c r="C387">
        <v>4</v>
      </c>
      <c r="D387">
        <v>25</v>
      </c>
      <c r="E387">
        <v>37</v>
      </c>
      <c r="F387">
        <v>4</v>
      </c>
      <c r="G387">
        <v>37</v>
      </c>
      <c r="H387">
        <v>25</v>
      </c>
      <c r="I387" t="s">
        <v>8</v>
      </c>
      <c r="J387">
        <f>IF(Tabela4[[#This Row],[4Income]]="&lt;=50K",Tabela4[[#This Row],[4Age]],NA())</f>
        <v>37</v>
      </c>
      <c r="K387">
        <f>IF(Tabela4[[#This Row],[4Income]]="&lt;=50K",Tabela4[[#This Row],[4hours-per-week]],NA())</f>
        <v>25</v>
      </c>
      <c r="L387" t="e">
        <f>IF(Tabela4[[#This Row],[4Income]]="&gt;50K",Tabela4[[#This Row],[4Age]],NA())</f>
        <v>#N/A</v>
      </c>
      <c r="M387" t="e">
        <f>IF(Tabela4[[#This Row],[4Income]]="&gt;50K",Tabela4[[#This Row],[4hours-per-week]],NA())</f>
        <v>#N/A</v>
      </c>
    </row>
    <row r="388" spans="1:13">
      <c r="A388">
        <v>19</v>
      </c>
      <c r="B388">
        <v>20</v>
      </c>
      <c r="C388">
        <v>10</v>
      </c>
      <c r="D388">
        <v>20</v>
      </c>
      <c r="E388">
        <v>19</v>
      </c>
      <c r="F388">
        <v>10</v>
      </c>
      <c r="G388">
        <v>19</v>
      </c>
      <c r="H388">
        <v>20</v>
      </c>
      <c r="I388" t="s">
        <v>8</v>
      </c>
      <c r="J388">
        <f>IF(Tabela4[[#This Row],[4Income]]="&lt;=50K",Tabela4[[#This Row],[4Age]],NA())</f>
        <v>19</v>
      </c>
      <c r="K388">
        <f>IF(Tabela4[[#This Row],[4Income]]="&lt;=50K",Tabela4[[#This Row],[4hours-per-week]],NA())</f>
        <v>20</v>
      </c>
      <c r="L388" t="e">
        <f>IF(Tabela4[[#This Row],[4Income]]="&gt;50K",Tabela4[[#This Row],[4Age]],NA())</f>
        <v>#N/A</v>
      </c>
      <c r="M388" t="e">
        <f>IF(Tabela4[[#This Row],[4Income]]="&gt;50K",Tabela4[[#This Row],[4hours-per-week]],NA())</f>
        <v>#N/A</v>
      </c>
    </row>
    <row r="389" spans="1:13">
      <c r="A389">
        <v>32</v>
      </c>
      <c r="B389">
        <v>40</v>
      </c>
      <c r="C389">
        <v>9</v>
      </c>
      <c r="D389">
        <v>40</v>
      </c>
      <c r="E389">
        <v>32</v>
      </c>
      <c r="F389">
        <v>9</v>
      </c>
      <c r="G389">
        <v>32</v>
      </c>
      <c r="H389">
        <v>40</v>
      </c>
      <c r="I389" t="s">
        <v>8</v>
      </c>
      <c r="J389">
        <f>IF(Tabela4[[#This Row],[4Income]]="&lt;=50K",Tabela4[[#This Row],[4Age]],NA())</f>
        <v>32</v>
      </c>
      <c r="K389">
        <f>IF(Tabela4[[#This Row],[4Income]]="&lt;=50K",Tabela4[[#This Row],[4hours-per-week]],NA())</f>
        <v>40</v>
      </c>
      <c r="L389" t="e">
        <f>IF(Tabela4[[#This Row],[4Income]]="&gt;50K",Tabela4[[#This Row],[4Age]],NA())</f>
        <v>#N/A</v>
      </c>
      <c r="M389" t="e">
        <f>IF(Tabela4[[#This Row],[4Income]]="&gt;50K",Tabela4[[#This Row],[4hours-per-week]],NA())</f>
        <v>#N/A</v>
      </c>
    </row>
    <row r="390" spans="1:13">
      <c r="A390">
        <v>58</v>
      </c>
      <c r="B390">
        <v>50</v>
      </c>
      <c r="C390">
        <v>13</v>
      </c>
      <c r="D390">
        <v>50</v>
      </c>
      <c r="E390">
        <v>58</v>
      </c>
      <c r="F390">
        <v>13</v>
      </c>
      <c r="G390">
        <v>58</v>
      </c>
      <c r="H390">
        <v>50</v>
      </c>
      <c r="I390" t="s">
        <v>8</v>
      </c>
      <c r="J390">
        <f>IF(Tabela4[[#This Row],[4Income]]="&lt;=50K",Tabela4[[#This Row],[4Age]],NA())</f>
        <v>58</v>
      </c>
      <c r="K390">
        <f>IF(Tabela4[[#This Row],[4Income]]="&lt;=50K",Tabela4[[#This Row],[4hours-per-week]],NA())</f>
        <v>50</v>
      </c>
      <c r="L390" t="e">
        <f>IF(Tabela4[[#This Row],[4Income]]="&gt;50K",Tabela4[[#This Row],[4Age]],NA())</f>
        <v>#N/A</v>
      </c>
      <c r="M390" t="e">
        <f>IF(Tabela4[[#This Row],[4Income]]="&gt;50K",Tabela4[[#This Row],[4hours-per-week]],NA())</f>
        <v>#N/A</v>
      </c>
    </row>
    <row r="391" spans="1:13">
      <c r="A391">
        <v>44</v>
      </c>
      <c r="B391">
        <v>60</v>
      </c>
      <c r="C391">
        <v>9</v>
      </c>
      <c r="D391">
        <v>60</v>
      </c>
      <c r="E391">
        <v>44</v>
      </c>
      <c r="F391">
        <v>9</v>
      </c>
      <c r="G391">
        <v>44</v>
      </c>
      <c r="H391">
        <v>60</v>
      </c>
      <c r="I391" t="s">
        <v>8</v>
      </c>
      <c r="J391">
        <f>IF(Tabela4[[#This Row],[4Income]]="&lt;=50K",Tabela4[[#This Row],[4Age]],NA())</f>
        <v>44</v>
      </c>
      <c r="K391">
        <f>IF(Tabela4[[#This Row],[4Income]]="&lt;=50K",Tabela4[[#This Row],[4hours-per-week]],NA())</f>
        <v>60</v>
      </c>
      <c r="L391" t="e">
        <f>IF(Tabela4[[#This Row],[4Income]]="&gt;50K",Tabela4[[#This Row],[4Age]],NA())</f>
        <v>#N/A</v>
      </c>
      <c r="M391" t="e">
        <f>IF(Tabela4[[#This Row],[4Income]]="&gt;50K",Tabela4[[#This Row],[4hours-per-week]],NA())</f>
        <v>#N/A</v>
      </c>
    </row>
    <row r="392" spans="1:13">
      <c r="A392">
        <v>25</v>
      </c>
      <c r="B392">
        <v>40</v>
      </c>
      <c r="C392">
        <v>9</v>
      </c>
      <c r="D392">
        <v>40</v>
      </c>
      <c r="E392">
        <v>25</v>
      </c>
      <c r="F392">
        <v>9</v>
      </c>
      <c r="G392">
        <v>25</v>
      </c>
      <c r="H392">
        <v>40</v>
      </c>
      <c r="I392" t="s">
        <v>8</v>
      </c>
      <c r="J392">
        <f>IF(Tabela4[[#This Row],[4Income]]="&lt;=50K",Tabela4[[#This Row],[4Age]],NA())</f>
        <v>25</v>
      </c>
      <c r="K392">
        <f>IF(Tabela4[[#This Row],[4Income]]="&lt;=50K",Tabela4[[#This Row],[4hours-per-week]],NA())</f>
        <v>40</v>
      </c>
      <c r="L392" t="e">
        <f>IF(Tabela4[[#This Row],[4Income]]="&gt;50K",Tabela4[[#This Row],[4Age]],NA())</f>
        <v>#N/A</v>
      </c>
      <c r="M392" t="e">
        <f>IF(Tabela4[[#This Row],[4Income]]="&gt;50K",Tabela4[[#This Row],[4hours-per-week]],NA())</f>
        <v>#N/A</v>
      </c>
    </row>
    <row r="393" spans="1:13">
      <c r="A393">
        <v>45</v>
      </c>
      <c r="B393">
        <v>60</v>
      </c>
      <c r="C393">
        <v>13</v>
      </c>
      <c r="D393">
        <v>60</v>
      </c>
      <c r="E393">
        <v>45</v>
      </c>
      <c r="F393">
        <v>13</v>
      </c>
      <c r="G393">
        <v>45</v>
      </c>
      <c r="H393">
        <v>60</v>
      </c>
      <c r="I393" t="s">
        <v>19</v>
      </c>
      <c r="J393" t="e">
        <f>IF(Tabela4[[#This Row],[4Income]]="&lt;=50K",Tabela4[[#This Row],[4Age]],NA())</f>
        <v>#N/A</v>
      </c>
      <c r="K393" t="e">
        <f>IF(Tabela4[[#This Row],[4Income]]="&lt;=50K",Tabela4[[#This Row],[4hours-per-week]],NA())</f>
        <v>#N/A</v>
      </c>
      <c r="L393">
        <f>IF(Tabela4[[#This Row],[4Income]]="&gt;50K",Tabela4[[#This Row],[4Age]],NA())</f>
        <v>45</v>
      </c>
      <c r="M393">
        <f>IF(Tabela4[[#This Row],[4Income]]="&gt;50K",Tabela4[[#This Row],[4hours-per-week]],NA())</f>
        <v>60</v>
      </c>
    </row>
    <row r="394" spans="1:13">
      <c r="A394">
        <v>46</v>
      </c>
      <c r="B394">
        <v>55</v>
      </c>
      <c r="C394">
        <v>14</v>
      </c>
      <c r="D394">
        <v>55</v>
      </c>
      <c r="E394">
        <v>46</v>
      </c>
      <c r="F394">
        <v>14</v>
      </c>
      <c r="G394">
        <v>46</v>
      </c>
      <c r="H394">
        <v>55</v>
      </c>
      <c r="I394" t="s">
        <v>19</v>
      </c>
      <c r="J394" t="e">
        <f>IF(Tabela4[[#This Row],[4Income]]="&lt;=50K",Tabela4[[#This Row],[4Age]],NA())</f>
        <v>#N/A</v>
      </c>
      <c r="K394" t="e">
        <f>IF(Tabela4[[#This Row],[4Income]]="&lt;=50K",Tabela4[[#This Row],[4hours-per-week]],NA())</f>
        <v>#N/A</v>
      </c>
      <c r="L394">
        <f>IF(Tabela4[[#This Row],[4Income]]="&gt;50K",Tabela4[[#This Row],[4Age]],NA())</f>
        <v>46</v>
      </c>
      <c r="M394">
        <f>IF(Tabela4[[#This Row],[4Income]]="&gt;50K",Tabela4[[#This Row],[4hours-per-week]],NA())</f>
        <v>55</v>
      </c>
    </row>
    <row r="395" spans="1:13">
      <c r="A395">
        <v>38</v>
      </c>
      <c r="B395">
        <v>45</v>
      </c>
      <c r="C395">
        <v>10</v>
      </c>
      <c r="D395">
        <v>45</v>
      </c>
      <c r="E395">
        <v>38</v>
      </c>
      <c r="F395">
        <v>10</v>
      </c>
      <c r="G395">
        <v>38</v>
      </c>
      <c r="H395">
        <v>45</v>
      </c>
      <c r="I395" t="s">
        <v>8</v>
      </c>
      <c r="J395">
        <f>IF(Tabela4[[#This Row],[4Income]]="&lt;=50K",Tabela4[[#This Row],[4Age]],NA())</f>
        <v>38</v>
      </c>
      <c r="K395">
        <f>IF(Tabela4[[#This Row],[4Income]]="&lt;=50K",Tabela4[[#This Row],[4hours-per-week]],NA())</f>
        <v>45</v>
      </c>
      <c r="L395" t="e">
        <f>IF(Tabela4[[#This Row],[4Income]]="&gt;50K",Tabela4[[#This Row],[4Age]],NA())</f>
        <v>#N/A</v>
      </c>
      <c r="M395" t="e">
        <f>IF(Tabela4[[#This Row],[4Income]]="&gt;50K",Tabela4[[#This Row],[4hours-per-week]],NA())</f>
        <v>#N/A</v>
      </c>
    </row>
    <row r="396" spans="1:13">
      <c r="A396">
        <v>47</v>
      </c>
      <c r="B396">
        <v>40</v>
      </c>
      <c r="C396">
        <v>9</v>
      </c>
      <c r="D396">
        <v>40</v>
      </c>
      <c r="E396">
        <v>47</v>
      </c>
      <c r="F396">
        <v>9</v>
      </c>
      <c r="G396">
        <v>47</v>
      </c>
      <c r="H396">
        <v>40</v>
      </c>
      <c r="I396" t="s">
        <v>19</v>
      </c>
      <c r="J396" t="e">
        <f>IF(Tabela4[[#This Row],[4Income]]="&lt;=50K",Tabela4[[#This Row],[4Age]],NA())</f>
        <v>#N/A</v>
      </c>
      <c r="K396" t="e">
        <f>IF(Tabela4[[#This Row],[4Income]]="&lt;=50K",Tabela4[[#This Row],[4hours-per-week]],NA())</f>
        <v>#N/A</v>
      </c>
      <c r="L396">
        <f>IF(Tabela4[[#This Row],[4Income]]="&gt;50K",Tabela4[[#This Row],[4Age]],NA())</f>
        <v>47</v>
      </c>
      <c r="M396">
        <f>IF(Tabela4[[#This Row],[4Income]]="&gt;50K",Tabela4[[#This Row],[4hours-per-week]],NA())</f>
        <v>40</v>
      </c>
    </row>
    <row r="397" spans="1:13">
      <c r="A397">
        <v>39</v>
      </c>
      <c r="B397">
        <v>40</v>
      </c>
      <c r="C397">
        <v>10</v>
      </c>
      <c r="D397">
        <v>40</v>
      </c>
      <c r="E397">
        <v>39</v>
      </c>
      <c r="F397">
        <v>10</v>
      </c>
      <c r="G397">
        <v>39</v>
      </c>
      <c r="H397">
        <v>40</v>
      </c>
      <c r="I397" t="s">
        <v>19</v>
      </c>
      <c r="J397" t="e">
        <f>IF(Tabela4[[#This Row],[4Income]]="&lt;=50K",Tabela4[[#This Row],[4Age]],NA())</f>
        <v>#N/A</v>
      </c>
      <c r="K397" t="e">
        <f>IF(Tabela4[[#This Row],[4Income]]="&lt;=50K",Tabela4[[#This Row],[4hours-per-week]],NA())</f>
        <v>#N/A</v>
      </c>
      <c r="L397">
        <f>IF(Tabela4[[#This Row],[4Income]]="&gt;50K",Tabela4[[#This Row],[4Age]],NA())</f>
        <v>39</v>
      </c>
      <c r="M397">
        <f>IF(Tabela4[[#This Row],[4Income]]="&gt;50K",Tabela4[[#This Row],[4hours-per-week]],NA())</f>
        <v>40</v>
      </c>
    </row>
    <row r="398" spans="1:13">
      <c r="A398">
        <v>28</v>
      </c>
      <c r="B398">
        <v>40</v>
      </c>
      <c r="C398">
        <v>9</v>
      </c>
      <c r="D398">
        <v>40</v>
      </c>
      <c r="E398">
        <v>28</v>
      </c>
      <c r="F398">
        <v>9</v>
      </c>
      <c r="G398">
        <v>28</v>
      </c>
      <c r="H398">
        <v>40</v>
      </c>
      <c r="I398" t="s">
        <v>8</v>
      </c>
      <c r="J398">
        <f>IF(Tabela4[[#This Row],[4Income]]="&lt;=50K",Tabela4[[#This Row],[4Age]],NA())</f>
        <v>28</v>
      </c>
      <c r="K398">
        <f>IF(Tabela4[[#This Row],[4Income]]="&lt;=50K",Tabela4[[#This Row],[4hours-per-week]],NA())</f>
        <v>40</v>
      </c>
      <c r="L398" t="e">
        <f>IF(Tabela4[[#This Row],[4Income]]="&gt;50K",Tabela4[[#This Row],[4Age]],NA())</f>
        <v>#N/A</v>
      </c>
      <c r="M398" t="e">
        <f>IF(Tabela4[[#This Row],[4Income]]="&gt;50K",Tabela4[[#This Row],[4hours-per-week]],NA())</f>
        <v>#N/A</v>
      </c>
    </row>
    <row r="399" spans="1:13">
      <c r="A399">
        <v>41</v>
      </c>
      <c r="B399">
        <v>40</v>
      </c>
      <c r="C399">
        <v>9</v>
      </c>
      <c r="D399">
        <v>40</v>
      </c>
      <c r="E399">
        <v>41</v>
      </c>
      <c r="F399">
        <v>9</v>
      </c>
      <c r="G399">
        <v>41</v>
      </c>
      <c r="H399">
        <v>40</v>
      </c>
      <c r="I399" t="s">
        <v>8</v>
      </c>
      <c r="J399">
        <f>IF(Tabela4[[#This Row],[4Income]]="&lt;=50K",Tabela4[[#This Row],[4Age]],NA())</f>
        <v>41</v>
      </c>
      <c r="K399">
        <f>IF(Tabela4[[#This Row],[4Income]]="&lt;=50K",Tabela4[[#This Row],[4hours-per-week]],NA())</f>
        <v>40</v>
      </c>
      <c r="L399" t="e">
        <f>IF(Tabela4[[#This Row],[4Income]]="&gt;50K",Tabela4[[#This Row],[4Age]],NA())</f>
        <v>#N/A</v>
      </c>
      <c r="M399" t="e">
        <f>IF(Tabela4[[#This Row],[4Income]]="&gt;50K",Tabela4[[#This Row],[4hours-per-week]],NA())</f>
        <v>#N/A</v>
      </c>
    </row>
    <row r="400" spans="1:13">
      <c r="A400">
        <v>23</v>
      </c>
      <c r="B400">
        <v>32</v>
      </c>
      <c r="C400">
        <v>12</v>
      </c>
      <c r="D400">
        <v>32</v>
      </c>
      <c r="E400">
        <v>23</v>
      </c>
      <c r="F400">
        <v>12</v>
      </c>
      <c r="G400">
        <v>23</v>
      </c>
      <c r="H400">
        <v>32</v>
      </c>
      <c r="I400" t="s">
        <v>8</v>
      </c>
      <c r="J400">
        <f>IF(Tabela4[[#This Row],[4Income]]="&lt;=50K",Tabela4[[#This Row],[4Age]],NA())</f>
        <v>23</v>
      </c>
      <c r="K400">
        <f>IF(Tabela4[[#This Row],[4Income]]="&lt;=50K",Tabela4[[#This Row],[4hours-per-week]],NA())</f>
        <v>32</v>
      </c>
      <c r="L400" t="e">
        <f>IF(Tabela4[[#This Row],[4Income]]="&gt;50K",Tabela4[[#This Row],[4Age]],NA())</f>
        <v>#N/A</v>
      </c>
      <c r="M400" t="e">
        <f>IF(Tabela4[[#This Row],[4Income]]="&gt;50K",Tabela4[[#This Row],[4hours-per-week]],NA())</f>
        <v>#N/A</v>
      </c>
    </row>
    <row r="401" spans="1:13">
      <c r="A401">
        <v>37</v>
      </c>
      <c r="B401">
        <v>40</v>
      </c>
      <c r="C401">
        <v>9</v>
      </c>
      <c r="D401">
        <v>40</v>
      </c>
      <c r="E401">
        <v>37</v>
      </c>
      <c r="F401">
        <v>9</v>
      </c>
      <c r="G401">
        <v>37</v>
      </c>
      <c r="H401">
        <v>40</v>
      </c>
      <c r="I401" t="s">
        <v>8</v>
      </c>
      <c r="J401">
        <f>IF(Tabela4[[#This Row],[4Income]]="&lt;=50K",Tabela4[[#This Row],[4Age]],NA())</f>
        <v>37</v>
      </c>
      <c r="K401">
        <f>IF(Tabela4[[#This Row],[4Income]]="&lt;=50K",Tabela4[[#This Row],[4hours-per-week]],NA())</f>
        <v>40</v>
      </c>
      <c r="L401" t="e">
        <f>IF(Tabela4[[#This Row],[4Income]]="&gt;50K",Tabela4[[#This Row],[4Age]],NA())</f>
        <v>#N/A</v>
      </c>
      <c r="M401" t="e">
        <f>IF(Tabela4[[#This Row],[4Income]]="&gt;50K",Tabela4[[#This Row],[4hours-per-week]],NA())</f>
        <v>#N/A</v>
      </c>
    </row>
    <row r="402" spans="1:13">
      <c r="A402">
        <v>34</v>
      </c>
      <c r="B402">
        <v>40</v>
      </c>
      <c r="C402">
        <v>13</v>
      </c>
      <c r="D402">
        <v>40</v>
      </c>
      <c r="E402">
        <v>34</v>
      </c>
      <c r="F402">
        <v>13</v>
      </c>
      <c r="G402">
        <v>34</v>
      </c>
      <c r="H402">
        <v>40</v>
      </c>
      <c r="I402" t="s">
        <v>8</v>
      </c>
      <c r="J402">
        <f>IF(Tabela4[[#This Row],[4Income]]="&lt;=50K",Tabela4[[#This Row],[4Age]],NA())</f>
        <v>34</v>
      </c>
      <c r="K402">
        <f>IF(Tabela4[[#This Row],[4Income]]="&lt;=50K",Tabela4[[#This Row],[4hours-per-week]],NA())</f>
        <v>40</v>
      </c>
      <c r="L402" t="e">
        <f>IF(Tabela4[[#This Row],[4Income]]="&gt;50K",Tabela4[[#This Row],[4Age]],NA())</f>
        <v>#N/A</v>
      </c>
      <c r="M402" t="e">
        <f>IF(Tabela4[[#This Row],[4Income]]="&gt;50K",Tabela4[[#This Row],[4hours-per-week]],NA())</f>
        <v>#N/A</v>
      </c>
    </row>
    <row r="403" spans="1:13">
      <c r="A403">
        <v>46</v>
      </c>
      <c r="B403">
        <v>40</v>
      </c>
      <c r="C403">
        <v>2</v>
      </c>
      <c r="D403">
        <v>40</v>
      </c>
      <c r="E403">
        <v>46</v>
      </c>
      <c r="F403">
        <v>2</v>
      </c>
      <c r="G403">
        <v>46</v>
      </c>
      <c r="H403">
        <v>40</v>
      </c>
      <c r="I403" t="s">
        <v>8</v>
      </c>
      <c r="J403">
        <f>IF(Tabela4[[#This Row],[4Income]]="&lt;=50K",Tabela4[[#This Row],[4Age]],NA())</f>
        <v>46</v>
      </c>
      <c r="K403">
        <f>IF(Tabela4[[#This Row],[4Income]]="&lt;=50K",Tabela4[[#This Row],[4hours-per-week]],NA())</f>
        <v>40</v>
      </c>
      <c r="L403" t="e">
        <f>IF(Tabela4[[#This Row],[4Income]]="&gt;50K",Tabela4[[#This Row],[4Age]],NA())</f>
        <v>#N/A</v>
      </c>
      <c r="M403" t="e">
        <f>IF(Tabela4[[#This Row],[4Income]]="&gt;50K",Tabela4[[#This Row],[4hours-per-week]],NA())</f>
        <v>#N/A</v>
      </c>
    </row>
    <row r="404" spans="1:13">
      <c r="A404">
        <v>30</v>
      </c>
      <c r="B404">
        <v>48</v>
      </c>
      <c r="C404">
        <v>10</v>
      </c>
      <c r="D404">
        <v>48</v>
      </c>
      <c r="E404">
        <v>30</v>
      </c>
      <c r="F404">
        <v>10</v>
      </c>
      <c r="G404">
        <v>30</v>
      </c>
      <c r="H404">
        <v>48</v>
      </c>
      <c r="I404" t="s">
        <v>19</v>
      </c>
      <c r="J404" t="e">
        <f>IF(Tabela4[[#This Row],[4Income]]="&lt;=50K",Tabela4[[#This Row],[4Age]],NA())</f>
        <v>#N/A</v>
      </c>
      <c r="K404" t="e">
        <f>IF(Tabela4[[#This Row],[4Income]]="&lt;=50K",Tabela4[[#This Row],[4hours-per-week]],NA())</f>
        <v>#N/A</v>
      </c>
      <c r="L404">
        <f>IF(Tabela4[[#This Row],[4Income]]="&gt;50K",Tabela4[[#This Row],[4Age]],NA())</f>
        <v>30</v>
      </c>
      <c r="M404">
        <f>IF(Tabela4[[#This Row],[4Income]]="&gt;50K",Tabela4[[#This Row],[4hours-per-week]],NA())</f>
        <v>48</v>
      </c>
    </row>
    <row r="405" spans="1:13">
      <c r="A405">
        <v>30</v>
      </c>
      <c r="B405">
        <v>44</v>
      </c>
      <c r="C405">
        <v>9</v>
      </c>
      <c r="D405">
        <v>44</v>
      </c>
      <c r="E405">
        <v>30</v>
      </c>
      <c r="F405">
        <v>9</v>
      </c>
      <c r="G405">
        <v>30</v>
      </c>
      <c r="H405">
        <v>44</v>
      </c>
      <c r="I405" t="s">
        <v>8</v>
      </c>
      <c r="J405">
        <f>IF(Tabela4[[#This Row],[4Income]]="&lt;=50K",Tabela4[[#This Row],[4Age]],NA())</f>
        <v>30</v>
      </c>
      <c r="K405">
        <f>IF(Tabela4[[#This Row],[4Income]]="&lt;=50K",Tabela4[[#This Row],[4hours-per-week]],NA())</f>
        <v>44</v>
      </c>
      <c r="L405" t="e">
        <f>IF(Tabela4[[#This Row],[4Income]]="&gt;50K",Tabela4[[#This Row],[4Age]],NA())</f>
        <v>#N/A</v>
      </c>
      <c r="M405" t="e">
        <f>IF(Tabela4[[#This Row],[4Income]]="&gt;50K",Tabela4[[#This Row],[4hours-per-week]],NA())</f>
        <v>#N/A</v>
      </c>
    </row>
    <row r="406" spans="1:13">
      <c r="A406">
        <v>27</v>
      </c>
      <c r="B406">
        <v>40</v>
      </c>
      <c r="C406">
        <v>7</v>
      </c>
      <c r="D406">
        <v>40</v>
      </c>
      <c r="E406">
        <v>27</v>
      </c>
      <c r="F406">
        <v>7</v>
      </c>
      <c r="G406">
        <v>27</v>
      </c>
      <c r="H406">
        <v>40</v>
      </c>
      <c r="I406" t="s">
        <v>8</v>
      </c>
      <c r="J406">
        <f>IF(Tabela4[[#This Row],[4Income]]="&lt;=50K",Tabela4[[#This Row],[4Age]],NA())</f>
        <v>27</v>
      </c>
      <c r="K406">
        <f>IF(Tabela4[[#This Row],[4Income]]="&lt;=50K",Tabela4[[#This Row],[4hours-per-week]],NA())</f>
        <v>40</v>
      </c>
      <c r="L406" t="e">
        <f>IF(Tabela4[[#This Row],[4Income]]="&gt;50K",Tabela4[[#This Row],[4Age]],NA())</f>
        <v>#N/A</v>
      </c>
      <c r="M406" t="e">
        <f>IF(Tabela4[[#This Row],[4Income]]="&gt;50K",Tabela4[[#This Row],[4hours-per-week]],NA())</f>
        <v>#N/A</v>
      </c>
    </row>
    <row r="407" spans="1:13">
      <c r="A407">
        <v>29</v>
      </c>
      <c r="B407">
        <v>30</v>
      </c>
      <c r="C407">
        <v>10</v>
      </c>
      <c r="D407">
        <v>30</v>
      </c>
      <c r="E407">
        <v>29</v>
      </c>
      <c r="F407">
        <v>10</v>
      </c>
      <c r="G407">
        <v>29</v>
      </c>
      <c r="H407">
        <v>30</v>
      </c>
      <c r="I407" t="s">
        <v>8</v>
      </c>
      <c r="J407">
        <f>IF(Tabela4[[#This Row],[4Income]]="&lt;=50K",Tabela4[[#This Row],[4Age]],NA())</f>
        <v>29</v>
      </c>
      <c r="K407">
        <f>IF(Tabela4[[#This Row],[4Income]]="&lt;=50K",Tabela4[[#This Row],[4hours-per-week]],NA())</f>
        <v>30</v>
      </c>
      <c r="L407" t="e">
        <f>IF(Tabela4[[#This Row],[4Income]]="&gt;50K",Tabela4[[#This Row],[4Age]],NA())</f>
        <v>#N/A</v>
      </c>
      <c r="M407" t="e">
        <f>IF(Tabela4[[#This Row],[4Income]]="&gt;50K",Tabela4[[#This Row],[4hours-per-week]],NA())</f>
        <v>#N/A</v>
      </c>
    </row>
    <row r="408" spans="1:13">
      <c r="A408">
        <v>25</v>
      </c>
      <c r="B408">
        <v>24</v>
      </c>
      <c r="C408">
        <v>6</v>
      </c>
      <c r="D408">
        <v>24</v>
      </c>
      <c r="E408">
        <v>25</v>
      </c>
      <c r="F408">
        <v>6</v>
      </c>
      <c r="G408">
        <v>25</v>
      </c>
      <c r="H408">
        <v>24</v>
      </c>
      <c r="I408" t="s">
        <v>8</v>
      </c>
      <c r="J408">
        <f>IF(Tabela4[[#This Row],[4Income]]="&lt;=50K",Tabela4[[#This Row],[4Age]],NA())</f>
        <v>25</v>
      </c>
      <c r="K408">
        <f>IF(Tabela4[[#This Row],[4Income]]="&lt;=50K",Tabela4[[#This Row],[4hours-per-week]],NA())</f>
        <v>24</v>
      </c>
      <c r="L408" t="e">
        <f>IF(Tabela4[[#This Row],[4Income]]="&gt;50K",Tabela4[[#This Row],[4Age]],NA())</f>
        <v>#N/A</v>
      </c>
      <c r="M408" t="e">
        <f>IF(Tabela4[[#This Row],[4Income]]="&gt;50K",Tabela4[[#This Row],[4hours-per-week]],NA())</f>
        <v>#N/A</v>
      </c>
    </row>
    <row r="409" spans="1:13">
      <c r="A409">
        <v>23</v>
      </c>
      <c r="B409">
        <v>60</v>
      </c>
      <c r="C409">
        <v>6</v>
      </c>
      <c r="D409">
        <v>60</v>
      </c>
      <c r="E409">
        <v>23</v>
      </c>
      <c r="F409">
        <v>6</v>
      </c>
      <c r="G409">
        <v>23</v>
      </c>
      <c r="H409">
        <v>60</v>
      </c>
      <c r="I409" t="s">
        <v>8</v>
      </c>
      <c r="J409">
        <f>IF(Tabela4[[#This Row],[4Income]]="&lt;=50K",Tabela4[[#This Row],[4Age]],NA())</f>
        <v>23</v>
      </c>
      <c r="K409">
        <f>IF(Tabela4[[#This Row],[4Income]]="&lt;=50K",Tabela4[[#This Row],[4hours-per-week]],NA())</f>
        <v>60</v>
      </c>
      <c r="L409" t="e">
        <f>IF(Tabela4[[#This Row],[4Income]]="&gt;50K",Tabela4[[#This Row],[4Age]],NA())</f>
        <v>#N/A</v>
      </c>
      <c r="M409" t="e">
        <f>IF(Tabela4[[#This Row],[4Income]]="&gt;50K",Tabela4[[#This Row],[4hours-per-week]],NA())</f>
        <v>#N/A</v>
      </c>
    </row>
    <row r="410" spans="1:13">
      <c r="A410">
        <v>27</v>
      </c>
      <c r="B410">
        <v>40</v>
      </c>
      <c r="C410">
        <v>10</v>
      </c>
      <c r="D410">
        <v>40</v>
      </c>
      <c r="E410">
        <v>27</v>
      </c>
      <c r="F410">
        <v>10</v>
      </c>
      <c r="G410">
        <v>27</v>
      </c>
      <c r="H410">
        <v>40</v>
      </c>
      <c r="I410" t="s">
        <v>8</v>
      </c>
      <c r="J410">
        <f>IF(Tabela4[[#This Row],[4Income]]="&lt;=50K",Tabela4[[#This Row],[4Age]],NA())</f>
        <v>27</v>
      </c>
      <c r="K410">
        <f>IF(Tabela4[[#This Row],[4Income]]="&lt;=50K",Tabela4[[#This Row],[4hours-per-week]],NA())</f>
        <v>40</v>
      </c>
      <c r="L410" t="e">
        <f>IF(Tabela4[[#This Row],[4Income]]="&gt;50K",Tabela4[[#This Row],[4Age]],NA())</f>
        <v>#N/A</v>
      </c>
      <c r="M410" t="e">
        <f>IF(Tabela4[[#This Row],[4Income]]="&gt;50K",Tabela4[[#This Row],[4hours-per-week]],NA())</f>
        <v>#N/A</v>
      </c>
    </row>
    <row r="411" spans="1:13">
      <c r="A411">
        <v>40</v>
      </c>
      <c r="B411">
        <v>40</v>
      </c>
      <c r="C411">
        <v>12</v>
      </c>
      <c r="D411">
        <v>40</v>
      </c>
      <c r="E411">
        <v>40</v>
      </c>
      <c r="F411">
        <v>12</v>
      </c>
      <c r="G411">
        <v>40</v>
      </c>
      <c r="H411">
        <v>40</v>
      </c>
      <c r="I411" t="s">
        <v>19</v>
      </c>
      <c r="J411" t="e">
        <f>IF(Tabela4[[#This Row],[4Income]]="&lt;=50K",Tabela4[[#This Row],[4Age]],NA())</f>
        <v>#N/A</v>
      </c>
      <c r="K411" t="e">
        <f>IF(Tabela4[[#This Row],[4Income]]="&lt;=50K",Tabela4[[#This Row],[4hours-per-week]],NA())</f>
        <v>#N/A</v>
      </c>
      <c r="L411">
        <f>IF(Tabela4[[#This Row],[4Income]]="&gt;50K",Tabela4[[#This Row],[4Age]],NA())</f>
        <v>40</v>
      </c>
      <c r="M411">
        <f>IF(Tabela4[[#This Row],[4Income]]="&gt;50K",Tabela4[[#This Row],[4hours-per-week]],NA())</f>
        <v>40</v>
      </c>
    </row>
    <row r="412" spans="1:13">
      <c r="A412">
        <v>41</v>
      </c>
      <c r="B412">
        <v>40</v>
      </c>
      <c r="C412">
        <v>9</v>
      </c>
      <c r="D412">
        <v>40</v>
      </c>
      <c r="E412">
        <v>41</v>
      </c>
      <c r="F412">
        <v>9</v>
      </c>
      <c r="G412">
        <v>41</v>
      </c>
      <c r="H412">
        <v>40</v>
      </c>
      <c r="I412" t="s">
        <v>8</v>
      </c>
      <c r="J412">
        <f>IF(Tabela4[[#This Row],[4Income]]="&lt;=50K",Tabela4[[#This Row],[4Age]],NA())</f>
        <v>41</v>
      </c>
      <c r="K412">
        <f>IF(Tabela4[[#This Row],[4Income]]="&lt;=50K",Tabela4[[#This Row],[4hours-per-week]],NA())</f>
        <v>40</v>
      </c>
      <c r="L412" t="e">
        <f>IF(Tabela4[[#This Row],[4Income]]="&gt;50K",Tabela4[[#This Row],[4Age]],NA())</f>
        <v>#N/A</v>
      </c>
      <c r="M412" t="e">
        <f>IF(Tabela4[[#This Row],[4Income]]="&gt;50K",Tabela4[[#This Row],[4hours-per-week]],NA())</f>
        <v>#N/A</v>
      </c>
    </row>
    <row r="413" spans="1:13">
      <c r="A413">
        <v>56</v>
      </c>
      <c r="B413">
        <v>20</v>
      </c>
      <c r="C413">
        <v>10</v>
      </c>
      <c r="D413">
        <v>20</v>
      </c>
      <c r="E413">
        <v>56</v>
      </c>
      <c r="F413">
        <v>10</v>
      </c>
      <c r="G413">
        <v>56</v>
      </c>
      <c r="H413">
        <v>20</v>
      </c>
      <c r="I413" t="s">
        <v>19</v>
      </c>
      <c r="J413" t="e">
        <f>IF(Tabela4[[#This Row],[4Income]]="&lt;=50K",Tabela4[[#This Row],[4Age]],NA())</f>
        <v>#N/A</v>
      </c>
      <c r="K413" t="e">
        <f>IF(Tabela4[[#This Row],[4Income]]="&lt;=50K",Tabela4[[#This Row],[4hours-per-week]],NA())</f>
        <v>#N/A</v>
      </c>
      <c r="L413">
        <f>IF(Tabela4[[#This Row],[4Income]]="&gt;50K",Tabela4[[#This Row],[4Age]],NA())</f>
        <v>56</v>
      </c>
      <c r="M413">
        <f>IF(Tabela4[[#This Row],[4Income]]="&gt;50K",Tabela4[[#This Row],[4hours-per-week]],NA())</f>
        <v>20</v>
      </c>
    </row>
    <row r="414" spans="1:13">
      <c r="A414">
        <v>34</v>
      </c>
      <c r="B414">
        <v>50</v>
      </c>
      <c r="C414">
        <v>9</v>
      </c>
      <c r="D414">
        <v>50</v>
      </c>
      <c r="E414">
        <v>34</v>
      </c>
      <c r="F414">
        <v>9</v>
      </c>
      <c r="G414">
        <v>34</v>
      </c>
      <c r="H414">
        <v>50</v>
      </c>
      <c r="I414" t="s">
        <v>8</v>
      </c>
      <c r="J414">
        <f>IF(Tabela4[[#This Row],[4Income]]="&lt;=50K",Tabela4[[#This Row],[4Age]],NA())</f>
        <v>34</v>
      </c>
      <c r="K414">
        <f>IF(Tabela4[[#This Row],[4Income]]="&lt;=50K",Tabela4[[#This Row],[4hours-per-week]],NA())</f>
        <v>50</v>
      </c>
      <c r="L414" t="e">
        <f>IF(Tabela4[[#This Row],[4Income]]="&gt;50K",Tabela4[[#This Row],[4Age]],NA())</f>
        <v>#N/A</v>
      </c>
      <c r="M414" t="e">
        <f>IF(Tabela4[[#This Row],[4Income]]="&gt;50K",Tabela4[[#This Row],[4hours-per-week]],NA())</f>
        <v>#N/A</v>
      </c>
    </row>
    <row r="415" spans="1:13">
      <c r="A415">
        <v>23</v>
      </c>
      <c r="B415">
        <v>80</v>
      </c>
      <c r="C415">
        <v>9</v>
      </c>
      <c r="D415">
        <v>80</v>
      </c>
      <c r="E415">
        <v>23</v>
      </c>
      <c r="F415">
        <v>9</v>
      </c>
      <c r="G415">
        <v>23</v>
      </c>
      <c r="H415">
        <v>80</v>
      </c>
      <c r="I415" t="s">
        <v>8</v>
      </c>
      <c r="J415">
        <f>IF(Tabela4[[#This Row],[4Income]]="&lt;=50K",Tabela4[[#This Row],[4Age]],NA())</f>
        <v>23</v>
      </c>
      <c r="K415">
        <f>IF(Tabela4[[#This Row],[4Income]]="&lt;=50K",Tabela4[[#This Row],[4hours-per-week]],NA())</f>
        <v>80</v>
      </c>
      <c r="L415" t="e">
        <f>IF(Tabela4[[#This Row],[4Income]]="&gt;50K",Tabela4[[#This Row],[4Age]],NA())</f>
        <v>#N/A</v>
      </c>
      <c r="M415" t="e">
        <f>IF(Tabela4[[#This Row],[4Income]]="&gt;50K",Tabela4[[#This Row],[4hours-per-week]],NA())</f>
        <v>#N/A</v>
      </c>
    </row>
    <row r="416" spans="1:13">
      <c r="A416">
        <v>33</v>
      </c>
      <c r="B416">
        <v>50</v>
      </c>
      <c r="C416">
        <v>13</v>
      </c>
      <c r="D416">
        <v>50</v>
      </c>
      <c r="E416">
        <v>33</v>
      </c>
      <c r="F416">
        <v>13</v>
      </c>
      <c r="G416">
        <v>33</v>
      </c>
      <c r="H416">
        <v>50</v>
      </c>
      <c r="I416" t="s">
        <v>19</v>
      </c>
      <c r="J416" t="e">
        <f>IF(Tabela4[[#This Row],[4Income]]="&lt;=50K",Tabela4[[#This Row],[4Age]],NA())</f>
        <v>#N/A</v>
      </c>
      <c r="K416" t="e">
        <f>IF(Tabela4[[#This Row],[4Income]]="&lt;=50K",Tabela4[[#This Row],[4hours-per-week]],NA())</f>
        <v>#N/A</v>
      </c>
      <c r="L416">
        <f>IF(Tabela4[[#This Row],[4Income]]="&gt;50K",Tabela4[[#This Row],[4Age]],NA())</f>
        <v>33</v>
      </c>
      <c r="M416">
        <f>IF(Tabela4[[#This Row],[4Income]]="&gt;50K",Tabela4[[#This Row],[4hours-per-week]],NA())</f>
        <v>50</v>
      </c>
    </row>
    <row r="417" spans="1:13">
      <c r="A417">
        <v>64</v>
      </c>
      <c r="B417">
        <v>40</v>
      </c>
      <c r="C417">
        <v>15</v>
      </c>
      <c r="D417">
        <v>40</v>
      </c>
      <c r="E417">
        <v>64</v>
      </c>
      <c r="F417">
        <v>15</v>
      </c>
      <c r="G417">
        <v>64</v>
      </c>
      <c r="H417">
        <v>40</v>
      </c>
      <c r="I417" t="s">
        <v>19</v>
      </c>
      <c r="J417" t="e">
        <f>IF(Tabela4[[#This Row],[4Income]]="&lt;=50K",Tabela4[[#This Row],[4Age]],NA())</f>
        <v>#N/A</v>
      </c>
      <c r="K417" t="e">
        <f>IF(Tabela4[[#This Row],[4Income]]="&lt;=50K",Tabela4[[#This Row],[4hours-per-week]],NA())</f>
        <v>#N/A</v>
      </c>
      <c r="L417">
        <f>IF(Tabela4[[#This Row],[4Income]]="&gt;50K",Tabela4[[#This Row],[4Age]],NA())</f>
        <v>64</v>
      </c>
      <c r="M417">
        <f>IF(Tabela4[[#This Row],[4Income]]="&gt;50K",Tabela4[[#This Row],[4hours-per-week]],NA())</f>
        <v>40</v>
      </c>
    </row>
    <row r="418" spans="1:13">
      <c r="A418">
        <v>21</v>
      </c>
      <c r="B418">
        <v>15</v>
      </c>
      <c r="C418">
        <v>10</v>
      </c>
      <c r="D418">
        <v>15</v>
      </c>
      <c r="E418">
        <v>21</v>
      </c>
      <c r="F418">
        <v>10</v>
      </c>
      <c r="G418">
        <v>21</v>
      </c>
      <c r="H418">
        <v>15</v>
      </c>
      <c r="I418" t="s">
        <v>8</v>
      </c>
      <c r="J418">
        <f>IF(Tabela4[[#This Row],[4Income]]="&lt;=50K",Tabela4[[#This Row],[4Age]],NA())</f>
        <v>21</v>
      </c>
      <c r="K418">
        <f>IF(Tabela4[[#This Row],[4Income]]="&lt;=50K",Tabela4[[#This Row],[4hours-per-week]],NA())</f>
        <v>15</v>
      </c>
      <c r="L418" t="e">
        <f>IF(Tabela4[[#This Row],[4Income]]="&gt;50K",Tabela4[[#This Row],[4Age]],NA())</f>
        <v>#N/A</v>
      </c>
      <c r="M418" t="e">
        <f>IF(Tabela4[[#This Row],[4Income]]="&gt;50K",Tabela4[[#This Row],[4hours-per-week]],NA())</f>
        <v>#N/A</v>
      </c>
    </row>
    <row r="419" spans="1:13">
      <c r="A419">
        <v>59</v>
      </c>
      <c r="B419">
        <v>40</v>
      </c>
      <c r="C419">
        <v>6</v>
      </c>
      <c r="D419">
        <v>40</v>
      </c>
      <c r="E419">
        <v>59</v>
      </c>
      <c r="F419">
        <v>6</v>
      </c>
      <c r="G419">
        <v>59</v>
      </c>
      <c r="H419">
        <v>40</v>
      </c>
      <c r="I419" t="s">
        <v>8</v>
      </c>
      <c r="J419">
        <f>IF(Tabela4[[#This Row],[4Income]]="&lt;=50K",Tabela4[[#This Row],[4Age]],NA())</f>
        <v>59</v>
      </c>
      <c r="K419">
        <f>IF(Tabela4[[#This Row],[4Income]]="&lt;=50K",Tabela4[[#This Row],[4hours-per-week]],NA())</f>
        <v>40</v>
      </c>
      <c r="L419" t="e">
        <f>IF(Tabela4[[#This Row],[4Income]]="&gt;50K",Tabela4[[#This Row],[4Age]],NA())</f>
        <v>#N/A</v>
      </c>
      <c r="M419" t="e">
        <f>IF(Tabela4[[#This Row],[4Income]]="&gt;50K",Tabela4[[#This Row],[4hours-per-week]],NA())</f>
        <v>#N/A</v>
      </c>
    </row>
    <row r="420" spans="1:13">
      <c r="A420">
        <v>27</v>
      </c>
      <c r="B420">
        <v>40</v>
      </c>
      <c r="C420">
        <v>14</v>
      </c>
      <c r="D420">
        <v>40</v>
      </c>
      <c r="E420">
        <v>27</v>
      </c>
      <c r="F420">
        <v>14</v>
      </c>
      <c r="G420">
        <v>27</v>
      </c>
      <c r="H420">
        <v>40</v>
      </c>
      <c r="I420" t="s">
        <v>8</v>
      </c>
      <c r="J420">
        <f>IF(Tabela4[[#This Row],[4Income]]="&lt;=50K",Tabela4[[#This Row],[4Age]],NA())</f>
        <v>27</v>
      </c>
      <c r="K420">
        <f>IF(Tabela4[[#This Row],[4Income]]="&lt;=50K",Tabela4[[#This Row],[4hours-per-week]],NA())</f>
        <v>40</v>
      </c>
      <c r="L420" t="e">
        <f>IF(Tabela4[[#This Row],[4Income]]="&gt;50K",Tabela4[[#This Row],[4Age]],NA())</f>
        <v>#N/A</v>
      </c>
      <c r="M420" t="e">
        <f>IF(Tabela4[[#This Row],[4Income]]="&gt;50K",Tabela4[[#This Row],[4hours-per-week]],NA())</f>
        <v>#N/A</v>
      </c>
    </row>
    <row r="421" spans="1:13">
      <c r="A421">
        <v>40</v>
      </c>
      <c r="B421">
        <v>30</v>
      </c>
      <c r="C421">
        <v>15</v>
      </c>
      <c r="D421">
        <v>30</v>
      </c>
      <c r="E421">
        <v>40</v>
      </c>
      <c r="F421">
        <v>15</v>
      </c>
      <c r="G421">
        <v>40</v>
      </c>
      <c r="H421">
        <v>30</v>
      </c>
      <c r="I421" t="s">
        <v>19</v>
      </c>
      <c r="J421" t="e">
        <f>IF(Tabela4[[#This Row],[4Income]]="&lt;=50K",Tabela4[[#This Row],[4Age]],NA())</f>
        <v>#N/A</v>
      </c>
      <c r="K421" t="e">
        <f>IF(Tabela4[[#This Row],[4Income]]="&lt;=50K",Tabela4[[#This Row],[4hours-per-week]],NA())</f>
        <v>#N/A</v>
      </c>
      <c r="L421">
        <f>IF(Tabela4[[#This Row],[4Income]]="&gt;50K",Tabela4[[#This Row],[4Age]],NA())</f>
        <v>40</v>
      </c>
      <c r="M421">
        <f>IF(Tabela4[[#This Row],[4Income]]="&gt;50K",Tabela4[[#This Row],[4hours-per-week]],NA())</f>
        <v>30</v>
      </c>
    </row>
    <row r="422" spans="1:13">
      <c r="A422">
        <v>36</v>
      </c>
      <c r="B422">
        <v>40</v>
      </c>
      <c r="C422">
        <v>10</v>
      </c>
      <c r="D422">
        <v>40</v>
      </c>
      <c r="E422">
        <v>36</v>
      </c>
      <c r="F422">
        <v>10</v>
      </c>
      <c r="G422">
        <v>36</v>
      </c>
      <c r="H422">
        <v>40</v>
      </c>
      <c r="I422" t="s">
        <v>19</v>
      </c>
      <c r="J422" t="e">
        <f>IF(Tabela4[[#This Row],[4Income]]="&lt;=50K",Tabela4[[#This Row],[4Age]],NA())</f>
        <v>#N/A</v>
      </c>
      <c r="K422" t="e">
        <f>IF(Tabela4[[#This Row],[4Income]]="&lt;=50K",Tabela4[[#This Row],[4hours-per-week]],NA())</f>
        <v>#N/A</v>
      </c>
      <c r="L422">
        <f>IF(Tabela4[[#This Row],[4Income]]="&gt;50K",Tabela4[[#This Row],[4Age]],NA())</f>
        <v>36</v>
      </c>
      <c r="M422">
        <f>IF(Tabela4[[#This Row],[4Income]]="&gt;50K",Tabela4[[#This Row],[4hours-per-week]],NA())</f>
        <v>40</v>
      </c>
    </row>
    <row r="423" spans="1:13">
      <c r="A423">
        <v>49</v>
      </c>
      <c r="B423">
        <v>40</v>
      </c>
      <c r="C423">
        <v>9</v>
      </c>
      <c r="D423">
        <v>40</v>
      </c>
      <c r="E423">
        <v>49</v>
      </c>
      <c r="F423">
        <v>9</v>
      </c>
      <c r="G423">
        <v>49</v>
      </c>
      <c r="H423">
        <v>40</v>
      </c>
      <c r="I423" t="s">
        <v>8</v>
      </c>
      <c r="J423">
        <f>IF(Tabela4[[#This Row],[4Income]]="&lt;=50K",Tabela4[[#This Row],[4Age]],NA())</f>
        <v>49</v>
      </c>
      <c r="K423">
        <f>IF(Tabela4[[#This Row],[4Income]]="&lt;=50K",Tabela4[[#This Row],[4hours-per-week]],NA())</f>
        <v>40</v>
      </c>
      <c r="L423" t="e">
        <f>IF(Tabela4[[#This Row],[4Income]]="&gt;50K",Tabela4[[#This Row],[4Age]],NA())</f>
        <v>#N/A</v>
      </c>
      <c r="M423" t="e">
        <f>IF(Tabela4[[#This Row],[4Income]]="&gt;50K",Tabela4[[#This Row],[4hours-per-week]],NA())</f>
        <v>#N/A</v>
      </c>
    </row>
    <row r="424" spans="1:13">
      <c r="A424">
        <v>57</v>
      </c>
      <c r="B424">
        <v>40</v>
      </c>
      <c r="C424">
        <v>9</v>
      </c>
      <c r="D424">
        <v>40</v>
      </c>
      <c r="E424">
        <v>57</v>
      </c>
      <c r="F424">
        <v>9</v>
      </c>
      <c r="G424">
        <v>57</v>
      </c>
      <c r="H424">
        <v>40</v>
      </c>
      <c r="I424" t="s">
        <v>8</v>
      </c>
      <c r="J424">
        <f>IF(Tabela4[[#This Row],[4Income]]="&lt;=50K",Tabela4[[#This Row],[4Age]],NA())</f>
        <v>57</v>
      </c>
      <c r="K424">
        <f>IF(Tabela4[[#This Row],[4Income]]="&lt;=50K",Tabela4[[#This Row],[4hours-per-week]],NA())</f>
        <v>40</v>
      </c>
      <c r="L424" t="e">
        <f>IF(Tabela4[[#This Row],[4Income]]="&gt;50K",Tabela4[[#This Row],[4Age]],NA())</f>
        <v>#N/A</v>
      </c>
      <c r="M424" t="e">
        <f>IF(Tabela4[[#This Row],[4Income]]="&gt;50K",Tabela4[[#This Row],[4hours-per-week]],NA())</f>
        <v>#N/A</v>
      </c>
    </row>
    <row r="425" spans="1:13">
      <c r="A425">
        <v>55</v>
      </c>
      <c r="B425">
        <v>40</v>
      </c>
      <c r="C425">
        <v>4</v>
      </c>
      <c r="D425">
        <v>40</v>
      </c>
      <c r="E425">
        <v>55</v>
      </c>
      <c r="F425">
        <v>4</v>
      </c>
      <c r="G425">
        <v>55</v>
      </c>
      <c r="H425">
        <v>40</v>
      </c>
      <c r="I425" t="s">
        <v>8</v>
      </c>
      <c r="J425">
        <f>IF(Tabela4[[#This Row],[4Income]]="&lt;=50K",Tabela4[[#This Row],[4Age]],NA())</f>
        <v>55</v>
      </c>
      <c r="K425">
        <f>IF(Tabela4[[#This Row],[4Income]]="&lt;=50K",Tabela4[[#This Row],[4hours-per-week]],NA())</f>
        <v>40</v>
      </c>
      <c r="L425" t="e">
        <f>IF(Tabela4[[#This Row],[4Income]]="&gt;50K",Tabela4[[#This Row],[4Age]],NA())</f>
        <v>#N/A</v>
      </c>
      <c r="M425" t="e">
        <f>IF(Tabela4[[#This Row],[4Income]]="&gt;50K",Tabela4[[#This Row],[4hours-per-week]],NA())</f>
        <v>#N/A</v>
      </c>
    </row>
    <row r="426" spans="1:13">
      <c r="A426">
        <v>59</v>
      </c>
      <c r="B426">
        <v>45</v>
      </c>
      <c r="C426">
        <v>6</v>
      </c>
      <c r="D426">
        <v>45</v>
      </c>
      <c r="E426">
        <v>59</v>
      </c>
      <c r="F426">
        <v>6</v>
      </c>
      <c r="G426">
        <v>59</v>
      </c>
      <c r="H426">
        <v>45</v>
      </c>
      <c r="I426" t="s">
        <v>19</v>
      </c>
      <c r="J426" t="e">
        <f>IF(Tabela4[[#This Row],[4Income]]="&lt;=50K",Tabela4[[#This Row],[4Age]],NA())</f>
        <v>#N/A</v>
      </c>
      <c r="K426" t="e">
        <f>IF(Tabela4[[#This Row],[4Income]]="&lt;=50K",Tabela4[[#This Row],[4hours-per-week]],NA())</f>
        <v>#N/A</v>
      </c>
      <c r="L426">
        <f>IF(Tabela4[[#This Row],[4Income]]="&gt;50K",Tabela4[[#This Row],[4Age]],NA())</f>
        <v>59</v>
      </c>
      <c r="M426">
        <f>IF(Tabela4[[#This Row],[4Income]]="&gt;50K",Tabela4[[#This Row],[4hours-per-week]],NA())</f>
        <v>45</v>
      </c>
    </row>
    <row r="427" spans="1:13">
      <c r="A427">
        <v>35</v>
      </c>
      <c r="B427">
        <v>80</v>
      </c>
      <c r="C427">
        <v>9</v>
      </c>
      <c r="D427">
        <v>80</v>
      </c>
      <c r="E427">
        <v>35</v>
      </c>
      <c r="F427">
        <v>9</v>
      </c>
      <c r="G427">
        <v>35</v>
      </c>
      <c r="H427">
        <v>80</v>
      </c>
      <c r="I427" t="s">
        <v>19</v>
      </c>
      <c r="J427" t="e">
        <f>IF(Tabela4[[#This Row],[4Income]]="&lt;=50K",Tabela4[[#This Row],[4Age]],NA())</f>
        <v>#N/A</v>
      </c>
      <c r="K427" t="e">
        <f>IF(Tabela4[[#This Row],[4Income]]="&lt;=50K",Tabela4[[#This Row],[4hours-per-week]],NA())</f>
        <v>#N/A</v>
      </c>
      <c r="L427">
        <f>IF(Tabela4[[#This Row],[4Income]]="&gt;50K",Tabela4[[#This Row],[4Age]],NA())</f>
        <v>35</v>
      </c>
      <c r="M427">
        <f>IF(Tabela4[[#This Row],[4Income]]="&gt;50K",Tabela4[[#This Row],[4hours-per-week]],NA())</f>
        <v>80</v>
      </c>
    </row>
    <row r="428" spans="1:13">
      <c r="A428">
        <v>42</v>
      </c>
      <c r="B428">
        <v>40</v>
      </c>
      <c r="C428">
        <v>13</v>
      </c>
      <c r="D428">
        <v>40</v>
      </c>
      <c r="E428">
        <v>42</v>
      </c>
      <c r="F428">
        <v>13</v>
      </c>
      <c r="G428">
        <v>42</v>
      </c>
      <c r="H428">
        <v>40</v>
      </c>
      <c r="I428" t="s">
        <v>19</v>
      </c>
      <c r="J428" t="e">
        <f>IF(Tabela4[[#This Row],[4Income]]="&lt;=50K",Tabela4[[#This Row],[4Age]],NA())</f>
        <v>#N/A</v>
      </c>
      <c r="K428" t="e">
        <f>IF(Tabela4[[#This Row],[4Income]]="&lt;=50K",Tabela4[[#This Row],[4hours-per-week]],NA())</f>
        <v>#N/A</v>
      </c>
      <c r="L428">
        <f>IF(Tabela4[[#This Row],[4Income]]="&gt;50K",Tabela4[[#This Row],[4Age]],NA())</f>
        <v>42</v>
      </c>
      <c r="M428">
        <f>IF(Tabela4[[#This Row],[4Income]]="&gt;50K",Tabela4[[#This Row],[4hours-per-week]],NA())</f>
        <v>40</v>
      </c>
    </row>
    <row r="429" spans="1:13">
      <c r="A429">
        <v>42</v>
      </c>
      <c r="B429">
        <v>45</v>
      </c>
      <c r="C429">
        <v>10</v>
      </c>
      <c r="D429">
        <v>45</v>
      </c>
      <c r="E429">
        <v>42</v>
      </c>
      <c r="F429">
        <v>10</v>
      </c>
      <c r="G429">
        <v>42</v>
      </c>
      <c r="H429">
        <v>45</v>
      </c>
      <c r="I429" t="s">
        <v>8</v>
      </c>
      <c r="J429">
        <f>IF(Tabela4[[#This Row],[4Income]]="&lt;=50K",Tabela4[[#This Row],[4Age]],NA())</f>
        <v>42</v>
      </c>
      <c r="K429">
        <f>IF(Tabela4[[#This Row],[4Income]]="&lt;=50K",Tabela4[[#This Row],[4hours-per-week]],NA())</f>
        <v>45</v>
      </c>
      <c r="L429" t="e">
        <f>IF(Tabela4[[#This Row],[4Income]]="&gt;50K",Tabela4[[#This Row],[4Age]],NA())</f>
        <v>#N/A</v>
      </c>
      <c r="M429" t="e">
        <f>IF(Tabela4[[#This Row],[4Income]]="&gt;50K",Tabela4[[#This Row],[4hours-per-week]],NA())</f>
        <v>#N/A</v>
      </c>
    </row>
    <row r="430" spans="1:13">
      <c r="A430">
        <v>41</v>
      </c>
      <c r="B430">
        <v>50</v>
      </c>
      <c r="C430">
        <v>10</v>
      </c>
      <c r="D430">
        <v>50</v>
      </c>
      <c r="E430">
        <v>41</v>
      </c>
      <c r="F430">
        <v>10</v>
      </c>
      <c r="G430">
        <v>41</v>
      </c>
      <c r="H430">
        <v>50</v>
      </c>
      <c r="I430" t="s">
        <v>8</v>
      </c>
      <c r="J430">
        <f>IF(Tabela4[[#This Row],[4Income]]="&lt;=50K",Tabela4[[#This Row],[4Age]],NA())</f>
        <v>41</v>
      </c>
      <c r="K430">
        <f>IF(Tabela4[[#This Row],[4Income]]="&lt;=50K",Tabela4[[#This Row],[4hours-per-week]],NA())</f>
        <v>50</v>
      </c>
      <c r="L430" t="e">
        <f>IF(Tabela4[[#This Row],[4Income]]="&gt;50K",Tabela4[[#This Row],[4Age]],NA())</f>
        <v>#N/A</v>
      </c>
      <c r="M430" t="e">
        <f>IF(Tabela4[[#This Row],[4Income]]="&gt;50K",Tabela4[[#This Row],[4hours-per-week]],NA())</f>
        <v>#N/A</v>
      </c>
    </row>
    <row r="431" spans="1:13">
      <c r="A431">
        <v>43</v>
      </c>
      <c r="B431">
        <v>40</v>
      </c>
      <c r="C431">
        <v>9</v>
      </c>
      <c r="D431">
        <v>40</v>
      </c>
      <c r="E431">
        <v>43</v>
      </c>
      <c r="F431">
        <v>9</v>
      </c>
      <c r="G431">
        <v>43</v>
      </c>
      <c r="H431">
        <v>40</v>
      </c>
      <c r="I431" t="s">
        <v>8</v>
      </c>
      <c r="J431">
        <f>IF(Tabela4[[#This Row],[4Income]]="&lt;=50K",Tabela4[[#This Row],[4Age]],NA())</f>
        <v>43</v>
      </c>
      <c r="K431">
        <f>IF(Tabela4[[#This Row],[4Income]]="&lt;=50K",Tabela4[[#This Row],[4hours-per-week]],NA())</f>
        <v>40</v>
      </c>
      <c r="L431" t="e">
        <f>IF(Tabela4[[#This Row],[4Income]]="&gt;50K",Tabela4[[#This Row],[4Age]],NA())</f>
        <v>#N/A</v>
      </c>
      <c r="M431" t="e">
        <f>IF(Tabela4[[#This Row],[4Income]]="&gt;50K",Tabela4[[#This Row],[4hours-per-week]],NA())</f>
        <v>#N/A</v>
      </c>
    </row>
    <row r="432" spans="1:13">
      <c r="A432">
        <v>26</v>
      </c>
      <c r="B432">
        <v>50</v>
      </c>
      <c r="C432">
        <v>10</v>
      </c>
      <c r="D432">
        <v>50</v>
      </c>
      <c r="E432">
        <v>26</v>
      </c>
      <c r="F432">
        <v>10</v>
      </c>
      <c r="G432">
        <v>26</v>
      </c>
      <c r="H432">
        <v>50</v>
      </c>
      <c r="I432" t="s">
        <v>8</v>
      </c>
      <c r="J432">
        <f>IF(Tabela4[[#This Row],[4Income]]="&lt;=50K",Tabela4[[#This Row],[4Age]],NA())</f>
        <v>26</v>
      </c>
      <c r="K432">
        <f>IF(Tabela4[[#This Row],[4Income]]="&lt;=50K",Tabela4[[#This Row],[4hours-per-week]],NA())</f>
        <v>50</v>
      </c>
      <c r="L432" t="e">
        <f>IF(Tabela4[[#This Row],[4Income]]="&gt;50K",Tabela4[[#This Row],[4Age]],NA())</f>
        <v>#N/A</v>
      </c>
      <c r="M432" t="e">
        <f>IF(Tabela4[[#This Row],[4Income]]="&gt;50K",Tabela4[[#This Row],[4hours-per-week]],NA())</f>
        <v>#N/A</v>
      </c>
    </row>
    <row r="433" spans="1:13">
      <c r="A433">
        <v>27</v>
      </c>
      <c r="B433">
        <v>40</v>
      </c>
      <c r="C433">
        <v>10</v>
      </c>
      <c r="D433">
        <v>40</v>
      </c>
      <c r="E433">
        <v>27</v>
      </c>
      <c r="F433">
        <v>10</v>
      </c>
      <c r="G433">
        <v>27</v>
      </c>
      <c r="H433">
        <v>40</v>
      </c>
      <c r="I433" t="s">
        <v>8</v>
      </c>
      <c r="J433">
        <f>IF(Tabela4[[#This Row],[4Income]]="&lt;=50K",Tabela4[[#This Row],[4Age]],NA())</f>
        <v>27</v>
      </c>
      <c r="K433">
        <f>IF(Tabela4[[#This Row],[4Income]]="&lt;=50K",Tabela4[[#This Row],[4hours-per-week]],NA())</f>
        <v>40</v>
      </c>
      <c r="L433" t="e">
        <f>IF(Tabela4[[#This Row],[4Income]]="&gt;50K",Tabela4[[#This Row],[4Age]],NA())</f>
        <v>#N/A</v>
      </c>
      <c r="M433" t="e">
        <f>IF(Tabela4[[#This Row],[4Income]]="&gt;50K",Tabela4[[#This Row],[4hours-per-week]],NA())</f>
        <v>#N/A</v>
      </c>
    </row>
    <row r="434" spans="1:13">
      <c r="A434">
        <v>51</v>
      </c>
      <c r="B434">
        <v>40</v>
      </c>
      <c r="C434">
        <v>9</v>
      </c>
      <c r="D434">
        <v>40</v>
      </c>
      <c r="E434">
        <v>51</v>
      </c>
      <c r="F434">
        <v>9</v>
      </c>
      <c r="G434">
        <v>51</v>
      </c>
      <c r="H434">
        <v>40</v>
      </c>
      <c r="I434" t="s">
        <v>19</v>
      </c>
      <c r="J434" t="e">
        <f>IF(Tabela4[[#This Row],[4Income]]="&lt;=50K",Tabela4[[#This Row],[4Age]],NA())</f>
        <v>#N/A</v>
      </c>
      <c r="K434" t="e">
        <f>IF(Tabela4[[#This Row],[4Income]]="&lt;=50K",Tabela4[[#This Row],[4hours-per-week]],NA())</f>
        <v>#N/A</v>
      </c>
      <c r="L434">
        <f>IF(Tabela4[[#This Row],[4Income]]="&gt;50K",Tabela4[[#This Row],[4Age]],NA())</f>
        <v>51</v>
      </c>
      <c r="M434">
        <f>IF(Tabela4[[#This Row],[4Income]]="&gt;50K",Tabela4[[#This Row],[4hours-per-week]],NA())</f>
        <v>40</v>
      </c>
    </row>
    <row r="435" spans="1:13">
      <c r="A435">
        <v>19</v>
      </c>
      <c r="B435">
        <v>24</v>
      </c>
      <c r="C435">
        <v>7</v>
      </c>
      <c r="D435">
        <v>24</v>
      </c>
      <c r="E435">
        <v>19</v>
      </c>
      <c r="F435">
        <v>7</v>
      </c>
      <c r="G435">
        <v>19</v>
      </c>
      <c r="H435">
        <v>24</v>
      </c>
      <c r="I435" t="s">
        <v>8</v>
      </c>
      <c r="J435">
        <f>IF(Tabela4[[#This Row],[4Income]]="&lt;=50K",Tabela4[[#This Row],[4Age]],NA())</f>
        <v>19</v>
      </c>
      <c r="K435">
        <f>IF(Tabela4[[#This Row],[4Income]]="&lt;=50K",Tabela4[[#This Row],[4hours-per-week]],NA())</f>
        <v>24</v>
      </c>
      <c r="L435" t="e">
        <f>IF(Tabela4[[#This Row],[4Income]]="&gt;50K",Tabela4[[#This Row],[4Age]],NA())</f>
        <v>#N/A</v>
      </c>
      <c r="M435" t="e">
        <f>IF(Tabela4[[#This Row],[4Income]]="&gt;50K",Tabela4[[#This Row],[4hours-per-week]],NA())</f>
        <v>#N/A</v>
      </c>
    </row>
    <row r="436" spans="1:13">
      <c r="A436">
        <v>43</v>
      </c>
      <c r="B436">
        <v>40</v>
      </c>
      <c r="C436">
        <v>9</v>
      </c>
      <c r="D436">
        <v>40</v>
      </c>
      <c r="E436">
        <v>43</v>
      </c>
      <c r="F436">
        <v>9</v>
      </c>
      <c r="G436">
        <v>43</v>
      </c>
      <c r="H436">
        <v>40</v>
      </c>
      <c r="I436" t="s">
        <v>8</v>
      </c>
      <c r="J436">
        <f>IF(Tabela4[[#This Row],[4Income]]="&lt;=50K",Tabela4[[#This Row],[4Age]],NA())</f>
        <v>43</v>
      </c>
      <c r="K436">
        <f>IF(Tabela4[[#This Row],[4Income]]="&lt;=50K",Tabela4[[#This Row],[4hours-per-week]],NA())</f>
        <v>40</v>
      </c>
      <c r="L436" t="e">
        <f>IF(Tabela4[[#This Row],[4Income]]="&gt;50K",Tabela4[[#This Row],[4Age]],NA())</f>
        <v>#N/A</v>
      </c>
      <c r="M436" t="e">
        <f>IF(Tabela4[[#This Row],[4Income]]="&gt;50K",Tabela4[[#This Row],[4hours-per-week]],NA())</f>
        <v>#N/A</v>
      </c>
    </row>
    <row r="437" spans="1:13">
      <c r="A437">
        <v>33</v>
      </c>
      <c r="B437">
        <v>42</v>
      </c>
      <c r="C437">
        <v>8</v>
      </c>
      <c r="D437">
        <v>42</v>
      </c>
      <c r="E437">
        <v>33</v>
      </c>
      <c r="F437">
        <v>8</v>
      </c>
      <c r="G437">
        <v>33</v>
      </c>
      <c r="H437">
        <v>42</v>
      </c>
      <c r="I437" t="s">
        <v>8</v>
      </c>
      <c r="J437">
        <f>IF(Tabela4[[#This Row],[4Income]]="&lt;=50K",Tabela4[[#This Row],[4Age]],NA())</f>
        <v>33</v>
      </c>
      <c r="K437">
        <f>IF(Tabela4[[#This Row],[4Income]]="&lt;=50K",Tabela4[[#This Row],[4hours-per-week]],NA())</f>
        <v>42</v>
      </c>
      <c r="L437" t="e">
        <f>IF(Tabela4[[#This Row],[4Income]]="&gt;50K",Tabela4[[#This Row],[4Age]],NA())</f>
        <v>#N/A</v>
      </c>
      <c r="M437" t="e">
        <f>IF(Tabela4[[#This Row],[4Income]]="&gt;50K",Tabela4[[#This Row],[4hours-per-week]],NA())</f>
        <v>#N/A</v>
      </c>
    </row>
    <row r="438" spans="1:13">
      <c r="A438">
        <v>18</v>
      </c>
      <c r="B438">
        <v>20</v>
      </c>
      <c r="C438">
        <v>6</v>
      </c>
      <c r="D438">
        <v>20</v>
      </c>
      <c r="E438">
        <v>18</v>
      </c>
      <c r="F438">
        <v>6</v>
      </c>
      <c r="G438">
        <v>18</v>
      </c>
      <c r="H438">
        <v>20</v>
      </c>
      <c r="I438" t="s">
        <v>8</v>
      </c>
      <c r="J438">
        <f>IF(Tabela4[[#This Row],[4Income]]="&lt;=50K",Tabela4[[#This Row],[4Age]],NA())</f>
        <v>18</v>
      </c>
      <c r="K438">
        <f>IF(Tabela4[[#This Row],[4Income]]="&lt;=50K",Tabela4[[#This Row],[4hours-per-week]],NA())</f>
        <v>20</v>
      </c>
      <c r="L438" t="e">
        <f>IF(Tabela4[[#This Row],[4Income]]="&gt;50K",Tabela4[[#This Row],[4Age]],NA())</f>
        <v>#N/A</v>
      </c>
      <c r="M438" t="e">
        <f>IF(Tabela4[[#This Row],[4Income]]="&gt;50K",Tabela4[[#This Row],[4hours-per-week]],NA())</f>
        <v>#N/A</v>
      </c>
    </row>
    <row r="439" spans="1:13">
      <c r="A439">
        <v>45</v>
      </c>
      <c r="B439">
        <v>40</v>
      </c>
      <c r="C439">
        <v>16</v>
      </c>
      <c r="D439">
        <v>40</v>
      </c>
      <c r="E439">
        <v>45</v>
      </c>
      <c r="F439">
        <v>16</v>
      </c>
      <c r="G439">
        <v>45</v>
      </c>
      <c r="H439">
        <v>40</v>
      </c>
      <c r="I439" t="s">
        <v>19</v>
      </c>
      <c r="J439" t="e">
        <f>IF(Tabela4[[#This Row],[4Income]]="&lt;=50K",Tabela4[[#This Row],[4Age]],NA())</f>
        <v>#N/A</v>
      </c>
      <c r="K439" t="e">
        <f>IF(Tabela4[[#This Row],[4Income]]="&lt;=50K",Tabela4[[#This Row],[4hours-per-week]],NA())</f>
        <v>#N/A</v>
      </c>
      <c r="L439">
        <f>IF(Tabela4[[#This Row],[4Income]]="&gt;50K",Tabela4[[#This Row],[4Age]],NA())</f>
        <v>45</v>
      </c>
      <c r="M439">
        <f>IF(Tabela4[[#This Row],[4Income]]="&gt;50K",Tabela4[[#This Row],[4hours-per-week]],NA())</f>
        <v>40</v>
      </c>
    </row>
    <row r="440" spans="1:13">
      <c r="A440">
        <v>58</v>
      </c>
      <c r="B440">
        <v>60</v>
      </c>
      <c r="C440">
        <v>9</v>
      </c>
      <c r="D440">
        <v>60</v>
      </c>
      <c r="E440">
        <v>58</v>
      </c>
      <c r="F440">
        <v>9</v>
      </c>
      <c r="G440">
        <v>58</v>
      </c>
      <c r="H440">
        <v>60</v>
      </c>
      <c r="I440" t="s">
        <v>19</v>
      </c>
      <c r="J440" t="e">
        <f>IF(Tabela4[[#This Row],[4Income]]="&lt;=50K",Tabela4[[#This Row],[4Age]],NA())</f>
        <v>#N/A</v>
      </c>
      <c r="K440" t="e">
        <f>IF(Tabela4[[#This Row],[4Income]]="&lt;=50K",Tabela4[[#This Row],[4hours-per-week]],NA())</f>
        <v>#N/A</v>
      </c>
      <c r="L440">
        <f>IF(Tabela4[[#This Row],[4Income]]="&gt;50K",Tabela4[[#This Row],[4Age]],NA())</f>
        <v>58</v>
      </c>
      <c r="M440">
        <f>IF(Tabela4[[#This Row],[4Income]]="&gt;50K",Tabela4[[#This Row],[4hours-per-week]],NA())</f>
        <v>60</v>
      </c>
    </row>
    <row r="441" spans="1:13">
      <c r="A441">
        <v>47</v>
      </c>
      <c r="B441">
        <v>40</v>
      </c>
      <c r="C441">
        <v>4</v>
      </c>
      <c r="D441">
        <v>40</v>
      </c>
      <c r="E441">
        <v>47</v>
      </c>
      <c r="F441">
        <v>4</v>
      </c>
      <c r="G441">
        <v>47</v>
      </c>
      <c r="H441">
        <v>40</v>
      </c>
      <c r="I441" t="s">
        <v>8</v>
      </c>
      <c r="J441">
        <f>IF(Tabela4[[#This Row],[4Income]]="&lt;=50K",Tabela4[[#This Row],[4Age]],NA())</f>
        <v>47</v>
      </c>
      <c r="K441">
        <f>IF(Tabela4[[#This Row],[4Income]]="&lt;=50K",Tabela4[[#This Row],[4hours-per-week]],NA())</f>
        <v>40</v>
      </c>
      <c r="L441" t="e">
        <f>IF(Tabela4[[#This Row],[4Income]]="&gt;50K",Tabela4[[#This Row],[4Age]],NA())</f>
        <v>#N/A</v>
      </c>
      <c r="M441" t="e">
        <f>IF(Tabela4[[#This Row],[4Income]]="&gt;50K",Tabela4[[#This Row],[4hours-per-week]],NA())</f>
        <v>#N/A</v>
      </c>
    </row>
    <row r="442" spans="1:13">
      <c r="A442">
        <v>34</v>
      </c>
      <c r="B442">
        <v>55</v>
      </c>
      <c r="C442">
        <v>12</v>
      </c>
      <c r="D442">
        <v>55</v>
      </c>
      <c r="E442">
        <v>34</v>
      </c>
      <c r="F442">
        <v>12</v>
      </c>
      <c r="G442">
        <v>34</v>
      </c>
      <c r="H442">
        <v>55</v>
      </c>
      <c r="I442" t="s">
        <v>8</v>
      </c>
      <c r="J442">
        <f>IF(Tabela4[[#This Row],[4Income]]="&lt;=50K",Tabela4[[#This Row],[4Age]],NA())</f>
        <v>34</v>
      </c>
      <c r="K442">
        <f>IF(Tabela4[[#This Row],[4Income]]="&lt;=50K",Tabela4[[#This Row],[4hours-per-week]],NA())</f>
        <v>55</v>
      </c>
      <c r="L442" t="e">
        <f>IF(Tabela4[[#This Row],[4Income]]="&gt;50K",Tabela4[[#This Row],[4Age]],NA())</f>
        <v>#N/A</v>
      </c>
      <c r="M442" t="e">
        <f>IF(Tabela4[[#This Row],[4Income]]="&gt;50K",Tabela4[[#This Row],[4hours-per-week]],NA())</f>
        <v>#N/A</v>
      </c>
    </row>
    <row r="443" spans="1:13">
      <c r="A443">
        <v>34</v>
      </c>
      <c r="B443">
        <v>10</v>
      </c>
      <c r="C443">
        <v>13</v>
      </c>
      <c r="D443">
        <v>10</v>
      </c>
      <c r="E443">
        <v>34</v>
      </c>
      <c r="F443">
        <v>13</v>
      </c>
      <c r="G443">
        <v>34</v>
      </c>
      <c r="H443">
        <v>10</v>
      </c>
      <c r="I443" t="s">
        <v>19</v>
      </c>
      <c r="J443" t="e">
        <f>IF(Tabela4[[#This Row],[4Income]]="&lt;=50K",Tabela4[[#This Row],[4Age]],NA())</f>
        <v>#N/A</v>
      </c>
      <c r="K443" t="e">
        <f>IF(Tabela4[[#This Row],[4Income]]="&lt;=50K",Tabela4[[#This Row],[4hours-per-week]],NA())</f>
        <v>#N/A</v>
      </c>
      <c r="L443">
        <f>IF(Tabela4[[#This Row],[4Income]]="&gt;50K",Tabela4[[#This Row],[4Age]],NA())</f>
        <v>34</v>
      </c>
      <c r="M443">
        <f>IF(Tabela4[[#This Row],[4Income]]="&gt;50K",Tabela4[[#This Row],[4hours-per-week]],NA())</f>
        <v>10</v>
      </c>
    </row>
    <row r="444" spans="1:13">
      <c r="A444">
        <v>23</v>
      </c>
      <c r="B444">
        <v>35</v>
      </c>
      <c r="C444">
        <v>10</v>
      </c>
      <c r="D444">
        <v>35</v>
      </c>
      <c r="E444">
        <v>23</v>
      </c>
      <c r="F444">
        <v>10</v>
      </c>
      <c r="G444">
        <v>23</v>
      </c>
      <c r="H444">
        <v>35</v>
      </c>
      <c r="I444" t="s">
        <v>8</v>
      </c>
      <c r="J444">
        <f>IF(Tabela4[[#This Row],[4Income]]="&lt;=50K",Tabela4[[#This Row],[4Age]],NA())</f>
        <v>23</v>
      </c>
      <c r="K444">
        <f>IF(Tabela4[[#This Row],[4Income]]="&lt;=50K",Tabela4[[#This Row],[4hours-per-week]],NA())</f>
        <v>35</v>
      </c>
      <c r="L444" t="e">
        <f>IF(Tabela4[[#This Row],[4Income]]="&gt;50K",Tabela4[[#This Row],[4Age]],NA())</f>
        <v>#N/A</v>
      </c>
      <c r="M444" t="e">
        <f>IF(Tabela4[[#This Row],[4Income]]="&gt;50K",Tabela4[[#This Row],[4hours-per-week]],NA())</f>
        <v>#N/A</v>
      </c>
    </row>
    <row r="445" spans="1:13">
      <c r="A445">
        <v>25</v>
      </c>
      <c r="B445">
        <v>35</v>
      </c>
      <c r="C445">
        <v>10</v>
      </c>
      <c r="D445">
        <v>35</v>
      </c>
      <c r="E445">
        <v>25</v>
      </c>
      <c r="F445">
        <v>10</v>
      </c>
      <c r="G445">
        <v>25</v>
      </c>
      <c r="H445">
        <v>35</v>
      </c>
      <c r="I445" t="s">
        <v>8</v>
      </c>
      <c r="J445">
        <f>IF(Tabela4[[#This Row],[4Income]]="&lt;=50K",Tabela4[[#This Row],[4Age]],NA())</f>
        <v>25</v>
      </c>
      <c r="K445">
        <f>IF(Tabela4[[#This Row],[4Income]]="&lt;=50K",Tabela4[[#This Row],[4hours-per-week]],NA())</f>
        <v>35</v>
      </c>
      <c r="L445" t="e">
        <f>IF(Tabela4[[#This Row],[4Income]]="&gt;50K",Tabela4[[#This Row],[4Age]],NA())</f>
        <v>#N/A</v>
      </c>
      <c r="M445" t="e">
        <f>IF(Tabela4[[#This Row],[4Income]]="&gt;50K",Tabela4[[#This Row],[4hours-per-week]],NA())</f>
        <v>#N/A</v>
      </c>
    </row>
    <row r="446" spans="1:13">
      <c r="A446">
        <v>36</v>
      </c>
      <c r="B446">
        <v>65</v>
      </c>
      <c r="C446">
        <v>9</v>
      </c>
      <c r="D446">
        <v>65</v>
      </c>
      <c r="E446">
        <v>36</v>
      </c>
      <c r="F446">
        <v>9</v>
      </c>
      <c r="G446">
        <v>36</v>
      </c>
      <c r="H446">
        <v>65</v>
      </c>
      <c r="I446" t="s">
        <v>8</v>
      </c>
      <c r="J446">
        <f>IF(Tabela4[[#This Row],[4Income]]="&lt;=50K",Tabela4[[#This Row],[4Age]],NA())</f>
        <v>36</v>
      </c>
      <c r="K446">
        <f>IF(Tabela4[[#This Row],[4Income]]="&lt;=50K",Tabela4[[#This Row],[4hours-per-week]],NA())</f>
        <v>65</v>
      </c>
      <c r="L446" t="e">
        <f>IF(Tabela4[[#This Row],[4Income]]="&gt;50K",Tabela4[[#This Row],[4Age]],NA())</f>
        <v>#N/A</v>
      </c>
      <c r="M446" t="e">
        <f>IF(Tabela4[[#This Row],[4Income]]="&gt;50K",Tabela4[[#This Row],[4hours-per-week]],NA())</f>
        <v>#N/A</v>
      </c>
    </row>
    <row r="447" spans="1:13">
      <c r="A447">
        <v>25</v>
      </c>
      <c r="B447">
        <v>40</v>
      </c>
      <c r="C447">
        <v>13</v>
      </c>
      <c r="D447">
        <v>40</v>
      </c>
      <c r="E447">
        <v>25</v>
      </c>
      <c r="F447">
        <v>13</v>
      </c>
      <c r="G447">
        <v>25</v>
      </c>
      <c r="H447">
        <v>40</v>
      </c>
      <c r="I447" t="s">
        <v>8</v>
      </c>
      <c r="J447">
        <f>IF(Tabela4[[#This Row],[4Income]]="&lt;=50K",Tabela4[[#This Row],[4Age]],NA())</f>
        <v>25</v>
      </c>
      <c r="K447">
        <f>IF(Tabela4[[#This Row],[4Income]]="&lt;=50K",Tabela4[[#This Row],[4hours-per-week]],NA())</f>
        <v>40</v>
      </c>
      <c r="L447" t="e">
        <f>IF(Tabela4[[#This Row],[4Income]]="&gt;50K",Tabela4[[#This Row],[4Age]],NA())</f>
        <v>#N/A</v>
      </c>
      <c r="M447" t="e">
        <f>IF(Tabela4[[#This Row],[4Income]]="&gt;50K",Tabela4[[#This Row],[4hours-per-week]],NA())</f>
        <v>#N/A</v>
      </c>
    </row>
    <row r="448" spans="1:13">
      <c r="A448">
        <v>25</v>
      </c>
      <c r="B448">
        <v>40</v>
      </c>
      <c r="C448">
        <v>14</v>
      </c>
      <c r="D448">
        <v>40</v>
      </c>
      <c r="E448">
        <v>25</v>
      </c>
      <c r="F448">
        <v>14</v>
      </c>
      <c r="G448">
        <v>25</v>
      </c>
      <c r="H448">
        <v>40</v>
      </c>
      <c r="I448" t="s">
        <v>8</v>
      </c>
      <c r="J448">
        <f>IF(Tabela4[[#This Row],[4Income]]="&lt;=50K",Tabela4[[#This Row],[4Age]],NA())</f>
        <v>25</v>
      </c>
      <c r="K448">
        <f>IF(Tabela4[[#This Row],[4Income]]="&lt;=50K",Tabela4[[#This Row],[4hours-per-week]],NA())</f>
        <v>40</v>
      </c>
      <c r="L448" t="e">
        <f>IF(Tabela4[[#This Row],[4Income]]="&gt;50K",Tabela4[[#This Row],[4Age]],NA())</f>
        <v>#N/A</v>
      </c>
      <c r="M448" t="e">
        <f>IF(Tabela4[[#This Row],[4Income]]="&gt;50K",Tabela4[[#This Row],[4hours-per-week]],NA())</f>
        <v>#N/A</v>
      </c>
    </row>
    <row r="449" spans="1:13">
      <c r="A449">
        <v>38</v>
      </c>
      <c r="B449">
        <v>50</v>
      </c>
      <c r="C449">
        <v>13</v>
      </c>
      <c r="D449">
        <v>50</v>
      </c>
      <c r="E449">
        <v>38</v>
      </c>
      <c r="F449">
        <v>13</v>
      </c>
      <c r="G449">
        <v>38</v>
      </c>
      <c r="H449">
        <v>50</v>
      </c>
      <c r="I449" t="s">
        <v>19</v>
      </c>
      <c r="J449" t="e">
        <f>IF(Tabela4[[#This Row],[4Income]]="&lt;=50K",Tabela4[[#This Row],[4Age]],NA())</f>
        <v>#N/A</v>
      </c>
      <c r="K449" t="e">
        <f>IF(Tabela4[[#This Row],[4Income]]="&lt;=50K",Tabela4[[#This Row],[4hours-per-week]],NA())</f>
        <v>#N/A</v>
      </c>
      <c r="L449">
        <f>IF(Tabela4[[#This Row],[4Income]]="&gt;50K",Tabela4[[#This Row],[4Age]],NA())</f>
        <v>38</v>
      </c>
      <c r="M449">
        <f>IF(Tabela4[[#This Row],[4Income]]="&gt;50K",Tabela4[[#This Row],[4hours-per-week]],NA())</f>
        <v>50</v>
      </c>
    </row>
    <row r="450" spans="1:13">
      <c r="A450">
        <v>37</v>
      </c>
      <c r="B450">
        <v>55</v>
      </c>
      <c r="C450">
        <v>6</v>
      </c>
      <c r="D450">
        <v>55</v>
      </c>
      <c r="E450">
        <v>37</v>
      </c>
      <c r="F450">
        <v>6</v>
      </c>
      <c r="G450">
        <v>37</v>
      </c>
      <c r="H450">
        <v>55</v>
      </c>
      <c r="I450" t="s">
        <v>8</v>
      </c>
      <c r="J450">
        <f>IF(Tabela4[[#This Row],[4Income]]="&lt;=50K",Tabela4[[#This Row],[4Age]],NA())</f>
        <v>37</v>
      </c>
      <c r="K450">
        <f>IF(Tabela4[[#This Row],[4Income]]="&lt;=50K",Tabela4[[#This Row],[4hours-per-week]],NA())</f>
        <v>55</v>
      </c>
      <c r="L450" t="e">
        <f>IF(Tabela4[[#This Row],[4Income]]="&gt;50K",Tabela4[[#This Row],[4Age]],NA())</f>
        <v>#N/A</v>
      </c>
      <c r="M450" t="e">
        <f>IF(Tabela4[[#This Row],[4Income]]="&gt;50K",Tabela4[[#This Row],[4hours-per-week]],NA())</f>
        <v>#N/A</v>
      </c>
    </row>
    <row r="451" spans="1:13">
      <c r="A451">
        <v>54</v>
      </c>
      <c r="B451">
        <v>40</v>
      </c>
      <c r="C451">
        <v>8</v>
      </c>
      <c r="D451">
        <v>40</v>
      </c>
      <c r="E451">
        <v>54</v>
      </c>
      <c r="F451">
        <v>8</v>
      </c>
      <c r="G451">
        <v>54</v>
      </c>
      <c r="H451">
        <v>40</v>
      </c>
      <c r="I451" t="s">
        <v>8</v>
      </c>
      <c r="J451">
        <f>IF(Tabela4[[#This Row],[4Income]]="&lt;=50K",Tabela4[[#This Row],[4Age]],NA())</f>
        <v>54</v>
      </c>
      <c r="K451">
        <f>IF(Tabela4[[#This Row],[4Income]]="&lt;=50K",Tabela4[[#This Row],[4hours-per-week]],NA())</f>
        <v>40</v>
      </c>
      <c r="L451" t="e">
        <f>IF(Tabela4[[#This Row],[4Income]]="&gt;50K",Tabela4[[#This Row],[4Age]],NA())</f>
        <v>#N/A</v>
      </c>
      <c r="M451" t="e">
        <f>IF(Tabela4[[#This Row],[4Income]]="&gt;50K",Tabela4[[#This Row],[4hours-per-week]],NA())</f>
        <v>#N/A</v>
      </c>
    </row>
    <row r="452" spans="1:13">
      <c r="A452">
        <v>40</v>
      </c>
      <c r="B452">
        <v>40</v>
      </c>
      <c r="C452">
        <v>10</v>
      </c>
      <c r="D452">
        <v>40</v>
      </c>
      <c r="E452">
        <v>40</v>
      </c>
      <c r="F452">
        <v>10</v>
      </c>
      <c r="G452">
        <v>40</v>
      </c>
      <c r="H452">
        <v>40</v>
      </c>
      <c r="I452" t="s">
        <v>8</v>
      </c>
      <c r="J452">
        <f>IF(Tabela4[[#This Row],[4Income]]="&lt;=50K",Tabela4[[#This Row],[4Age]],NA())</f>
        <v>40</v>
      </c>
      <c r="K452">
        <f>IF(Tabela4[[#This Row],[4Income]]="&lt;=50K",Tabela4[[#This Row],[4hours-per-week]],NA())</f>
        <v>40</v>
      </c>
      <c r="L452" t="e">
        <f>IF(Tabela4[[#This Row],[4Income]]="&gt;50K",Tabela4[[#This Row],[4Age]],NA())</f>
        <v>#N/A</v>
      </c>
      <c r="M452" t="e">
        <f>IF(Tabela4[[#This Row],[4Income]]="&gt;50K",Tabela4[[#This Row],[4hours-per-week]],NA())</f>
        <v>#N/A</v>
      </c>
    </row>
    <row r="453" spans="1:13">
      <c r="A453">
        <v>21</v>
      </c>
      <c r="B453">
        <v>30</v>
      </c>
      <c r="C453">
        <v>8</v>
      </c>
      <c r="D453">
        <v>30</v>
      </c>
      <c r="E453">
        <v>21</v>
      </c>
      <c r="F453">
        <v>8</v>
      </c>
      <c r="G453">
        <v>21</v>
      </c>
      <c r="H453">
        <v>30</v>
      </c>
      <c r="I453" t="s">
        <v>8</v>
      </c>
      <c r="J453">
        <f>IF(Tabela4[[#This Row],[4Income]]="&lt;=50K",Tabela4[[#This Row],[4Age]],NA())</f>
        <v>21</v>
      </c>
      <c r="K453">
        <f>IF(Tabela4[[#This Row],[4Income]]="&lt;=50K",Tabela4[[#This Row],[4hours-per-week]],NA())</f>
        <v>30</v>
      </c>
      <c r="L453" t="e">
        <f>IF(Tabela4[[#This Row],[4Income]]="&gt;50K",Tabela4[[#This Row],[4Age]],NA())</f>
        <v>#N/A</v>
      </c>
      <c r="M453" t="e">
        <f>IF(Tabela4[[#This Row],[4Income]]="&gt;50K",Tabela4[[#This Row],[4hours-per-week]],NA())</f>
        <v>#N/A</v>
      </c>
    </row>
    <row r="454" spans="1:13">
      <c r="A454">
        <v>76</v>
      </c>
      <c r="B454">
        <v>25</v>
      </c>
      <c r="C454">
        <v>5</v>
      </c>
      <c r="D454">
        <v>25</v>
      </c>
      <c r="E454">
        <v>76</v>
      </c>
      <c r="F454">
        <v>5</v>
      </c>
      <c r="G454">
        <v>76</v>
      </c>
      <c r="H454">
        <v>25</v>
      </c>
      <c r="I454" t="s">
        <v>8</v>
      </c>
      <c r="J454">
        <f>IF(Tabela4[[#This Row],[4Income]]="&lt;=50K",Tabela4[[#This Row],[4Age]],NA())</f>
        <v>76</v>
      </c>
      <c r="K454">
        <f>IF(Tabela4[[#This Row],[4Income]]="&lt;=50K",Tabela4[[#This Row],[4hours-per-week]],NA())</f>
        <v>25</v>
      </c>
      <c r="L454" t="e">
        <f>IF(Tabela4[[#This Row],[4Income]]="&gt;50K",Tabela4[[#This Row],[4Age]],NA())</f>
        <v>#N/A</v>
      </c>
      <c r="M454" t="e">
        <f>IF(Tabela4[[#This Row],[4Income]]="&gt;50K",Tabela4[[#This Row],[4hours-per-week]],NA())</f>
        <v>#N/A</v>
      </c>
    </row>
    <row r="455" spans="1:13">
      <c r="A455">
        <v>28</v>
      </c>
      <c r="B455">
        <v>50</v>
      </c>
      <c r="C455">
        <v>10</v>
      </c>
      <c r="D455">
        <v>50</v>
      </c>
      <c r="E455">
        <v>28</v>
      </c>
      <c r="F455">
        <v>10</v>
      </c>
      <c r="G455">
        <v>28</v>
      </c>
      <c r="H455">
        <v>50</v>
      </c>
      <c r="I455" t="s">
        <v>8</v>
      </c>
      <c r="J455">
        <f>IF(Tabela4[[#This Row],[4Income]]="&lt;=50K",Tabela4[[#This Row],[4Age]],NA())</f>
        <v>28</v>
      </c>
      <c r="K455">
        <f>IF(Tabela4[[#This Row],[4Income]]="&lt;=50K",Tabela4[[#This Row],[4hours-per-week]],NA())</f>
        <v>50</v>
      </c>
      <c r="L455" t="e">
        <f>IF(Tabela4[[#This Row],[4Income]]="&gt;50K",Tabela4[[#This Row],[4Age]],NA())</f>
        <v>#N/A</v>
      </c>
      <c r="M455" t="e">
        <f>IF(Tabela4[[#This Row],[4Income]]="&gt;50K",Tabela4[[#This Row],[4hours-per-week]],NA())</f>
        <v>#N/A</v>
      </c>
    </row>
    <row r="456" spans="1:13">
      <c r="A456">
        <v>47</v>
      </c>
      <c r="B456">
        <v>40</v>
      </c>
      <c r="C456">
        <v>13</v>
      </c>
      <c r="D456">
        <v>40</v>
      </c>
      <c r="E456">
        <v>47</v>
      </c>
      <c r="F456">
        <v>13</v>
      </c>
      <c r="G456">
        <v>47</v>
      </c>
      <c r="H456">
        <v>40</v>
      </c>
      <c r="I456" t="s">
        <v>19</v>
      </c>
      <c r="J456" t="e">
        <f>IF(Tabela4[[#This Row],[4Income]]="&lt;=50K",Tabela4[[#This Row],[4Age]],NA())</f>
        <v>#N/A</v>
      </c>
      <c r="K456" t="e">
        <f>IF(Tabela4[[#This Row],[4Income]]="&lt;=50K",Tabela4[[#This Row],[4hours-per-week]],NA())</f>
        <v>#N/A</v>
      </c>
      <c r="L456">
        <f>IF(Tabela4[[#This Row],[4Income]]="&gt;50K",Tabela4[[#This Row],[4Age]],NA())</f>
        <v>47</v>
      </c>
      <c r="M456">
        <f>IF(Tabela4[[#This Row],[4Income]]="&gt;50K",Tabela4[[#This Row],[4hours-per-week]],NA())</f>
        <v>40</v>
      </c>
    </row>
    <row r="457" spans="1:13">
      <c r="A457">
        <v>58</v>
      </c>
      <c r="B457">
        <v>55</v>
      </c>
      <c r="C457">
        <v>9</v>
      </c>
      <c r="D457">
        <v>55</v>
      </c>
      <c r="E457">
        <v>58</v>
      </c>
      <c r="F457">
        <v>9</v>
      </c>
      <c r="G457">
        <v>58</v>
      </c>
      <c r="H457">
        <v>55</v>
      </c>
      <c r="I457" t="s">
        <v>19</v>
      </c>
      <c r="J457" t="e">
        <f>IF(Tabela4[[#This Row],[4Income]]="&lt;=50K",Tabela4[[#This Row],[4Age]],NA())</f>
        <v>#N/A</v>
      </c>
      <c r="K457" t="e">
        <f>IF(Tabela4[[#This Row],[4Income]]="&lt;=50K",Tabela4[[#This Row],[4hours-per-week]],NA())</f>
        <v>#N/A</v>
      </c>
      <c r="L457">
        <f>IF(Tabela4[[#This Row],[4Income]]="&gt;50K",Tabela4[[#This Row],[4Age]],NA())</f>
        <v>58</v>
      </c>
      <c r="M457">
        <f>IF(Tabela4[[#This Row],[4Income]]="&gt;50K",Tabela4[[#This Row],[4hours-per-week]],NA())</f>
        <v>55</v>
      </c>
    </row>
    <row r="458" spans="1:13">
      <c r="A458">
        <v>19</v>
      </c>
      <c r="B458">
        <v>40</v>
      </c>
      <c r="C458">
        <v>10</v>
      </c>
      <c r="D458">
        <v>40</v>
      </c>
      <c r="E458">
        <v>19</v>
      </c>
      <c r="F458">
        <v>10</v>
      </c>
      <c r="G458">
        <v>19</v>
      </c>
      <c r="H458">
        <v>40</v>
      </c>
      <c r="I458" t="s">
        <v>8</v>
      </c>
      <c r="J458">
        <f>IF(Tabela4[[#This Row],[4Income]]="&lt;=50K",Tabela4[[#This Row],[4Age]],NA())</f>
        <v>19</v>
      </c>
      <c r="K458">
        <f>IF(Tabela4[[#This Row],[4Income]]="&lt;=50K",Tabela4[[#This Row],[4hours-per-week]],NA())</f>
        <v>40</v>
      </c>
      <c r="L458" t="e">
        <f>IF(Tabela4[[#This Row],[4Income]]="&gt;50K",Tabela4[[#This Row],[4Age]],NA())</f>
        <v>#N/A</v>
      </c>
      <c r="M458" t="e">
        <f>IF(Tabela4[[#This Row],[4Income]]="&gt;50K",Tabela4[[#This Row],[4hours-per-week]],NA())</f>
        <v>#N/A</v>
      </c>
    </row>
    <row r="459" spans="1:13">
      <c r="A459">
        <v>42</v>
      </c>
      <c r="B459">
        <v>40</v>
      </c>
      <c r="C459">
        <v>9</v>
      </c>
      <c r="D459">
        <v>40</v>
      </c>
      <c r="E459">
        <v>42</v>
      </c>
      <c r="F459">
        <v>9</v>
      </c>
      <c r="G459">
        <v>42</v>
      </c>
      <c r="H459">
        <v>40</v>
      </c>
      <c r="I459" t="s">
        <v>19</v>
      </c>
      <c r="J459" t="e">
        <f>IF(Tabela4[[#This Row],[4Income]]="&lt;=50K",Tabela4[[#This Row],[4Age]],NA())</f>
        <v>#N/A</v>
      </c>
      <c r="K459" t="e">
        <f>IF(Tabela4[[#This Row],[4Income]]="&lt;=50K",Tabela4[[#This Row],[4hours-per-week]],NA())</f>
        <v>#N/A</v>
      </c>
      <c r="L459">
        <f>IF(Tabela4[[#This Row],[4Income]]="&gt;50K",Tabela4[[#This Row],[4Age]],NA())</f>
        <v>42</v>
      </c>
      <c r="M459">
        <f>IF(Tabela4[[#This Row],[4Income]]="&gt;50K",Tabela4[[#This Row],[4hours-per-week]],NA())</f>
        <v>40</v>
      </c>
    </row>
    <row r="460" spans="1:13">
      <c r="A460">
        <v>48</v>
      </c>
      <c r="B460">
        <v>37</v>
      </c>
      <c r="C460">
        <v>13</v>
      </c>
      <c r="D460">
        <v>37</v>
      </c>
      <c r="E460">
        <v>48</v>
      </c>
      <c r="F460">
        <v>13</v>
      </c>
      <c r="G460">
        <v>48</v>
      </c>
      <c r="H460">
        <v>37</v>
      </c>
      <c r="I460" t="s">
        <v>19</v>
      </c>
      <c r="J460" t="e">
        <f>IF(Tabela4[[#This Row],[4Income]]="&lt;=50K",Tabela4[[#This Row],[4Age]],NA())</f>
        <v>#N/A</v>
      </c>
      <c r="K460" t="e">
        <f>IF(Tabela4[[#This Row],[4Income]]="&lt;=50K",Tabela4[[#This Row],[4hours-per-week]],NA())</f>
        <v>#N/A</v>
      </c>
      <c r="L460">
        <f>IF(Tabela4[[#This Row],[4Income]]="&gt;50K",Tabela4[[#This Row],[4Age]],NA())</f>
        <v>48</v>
      </c>
      <c r="M460">
        <f>IF(Tabela4[[#This Row],[4Income]]="&gt;50K",Tabela4[[#This Row],[4hours-per-week]],NA())</f>
        <v>37</v>
      </c>
    </row>
    <row r="461" spans="1:13">
      <c r="A461">
        <v>33</v>
      </c>
      <c r="B461">
        <v>40</v>
      </c>
      <c r="C461">
        <v>6</v>
      </c>
      <c r="D461">
        <v>40</v>
      </c>
      <c r="E461">
        <v>33</v>
      </c>
      <c r="F461">
        <v>6</v>
      </c>
      <c r="G461">
        <v>33</v>
      </c>
      <c r="H461">
        <v>40</v>
      </c>
      <c r="I461" t="s">
        <v>8</v>
      </c>
      <c r="J461">
        <f>IF(Tabela4[[#This Row],[4Income]]="&lt;=50K",Tabela4[[#This Row],[4Age]],NA())</f>
        <v>33</v>
      </c>
      <c r="K461">
        <f>IF(Tabela4[[#This Row],[4Income]]="&lt;=50K",Tabela4[[#This Row],[4hours-per-week]],NA())</f>
        <v>40</v>
      </c>
      <c r="L461" t="e">
        <f>IF(Tabela4[[#This Row],[4Income]]="&gt;50K",Tabela4[[#This Row],[4Age]],NA())</f>
        <v>#N/A</v>
      </c>
      <c r="M461" t="e">
        <f>IF(Tabela4[[#This Row],[4Income]]="&gt;50K",Tabela4[[#This Row],[4hours-per-week]],NA())</f>
        <v>#N/A</v>
      </c>
    </row>
    <row r="462" spans="1:13">
      <c r="A462">
        <v>45</v>
      </c>
      <c r="B462">
        <v>70</v>
      </c>
      <c r="C462">
        <v>10</v>
      </c>
      <c r="D462">
        <v>70</v>
      </c>
      <c r="E462">
        <v>45</v>
      </c>
      <c r="F462">
        <v>10</v>
      </c>
      <c r="G462">
        <v>45</v>
      </c>
      <c r="H462">
        <v>70</v>
      </c>
      <c r="I462" t="s">
        <v>8</v>
      </c>
      <c r="J462">
        <f>IF(Tabela4[[#This Row],[4Income]]="&lt;=50K",Tabela4[[#This Row],[4Age]],NA())</f>
        <v>45</v>
      </c>
      <c r="K462">
        <f>IF(Tabela4[[#This Row],[4Income]]="&lt;=50K",Tabela4[[#This Row],[4hours-per-week]],NA())</f>
        <v>70</v>
      </c>
      <c r="L462" t="e">
        <f>IF(Tabela4[[#This Row],[4Income]]="&gt;50K",Tabela4[[#This Row],[4Age]],NA())</f>
        <v>#N/A</v>
      </c>
      <c r="M462" t="e">
        <f>IF(Tabela4[[#This Row],[4Income]]="&gt;50K",Tabela4[[#This Row],[4hours-per-week]],NA())</f>
        <v>#N/A</v>
      </c>
    </row>
    <row r="463" spans="1:13">
      <c r="A463">
        <v>46</v>
      </c>
      <c r="B463">
        <v>40</v>
      </c>
      <c r="C463">
        <v>9</v>
      </c>
      <c r="D463">
        <v>40</v>
      </c>
      <c r="E463">
        <v>46</v>
      </c>
      <c r="F463">
        <v>9</v>
      </c>
      <c r="G463">
        <v>46</v>
      </c>
      <c r="H463">
        <v>40</v>
      </c>
      <c r="I463" t="s">
        <v>8</v>
      </c>
      <c r="J463">
        <f>IF(Tabela4[[#This Row],[4Income]]="&lt;=50K",Tabela4[[#This Row],[4Age]],NA())</f>
        <v>46</v>
      </c>
      <c r="K463">
        <f>IF(Tabela4[[#This Row],[4Income]]="&lt;=50K",Tabela4[[#This Row],[4hours-per-week]],NA())</f>
        <v>40</v>
      </c>
      <c r="L463" t="e">
        <f>IF(Tabela4[[#This Row],[4Income]]="&gt;50K",Tabela4[[#This Row],[4Age]],NA())</f>
        <v>#N/A</v>
      </c>
      <c r="M463" t="e">
        <f>IF(Tabela4[[#This Row],[4Income]]="&gt;50K",Tabela4[[#This Row],[4hours-per-week]],NA())</f>
        <v>#N/A</v>
      </c>
    </row>
    <row r="464" spans="1:13">
      <c r="A464">
        <v>23</v>
      </c>
      <c r="B464">
        <v>30</v>
      </c>
      <c r="C464">
        <v>9</v>
      </c>
      <c r="D464">
        <v>30</v>
      </c>
      <c r="E464">
        <v>23</v>
      </c>
      <c r="F464">
        <v>9</v>
      </c>
      <c r="G464">
        <v>23</v>
      </c>
      <c r="H464">
        <v>30</v>
      </c>
      <c r="I464" t="s">
        <v>8</v>
      </c>
      <c r="J464">
        <f>IF(Tabela4[[#This Row],[4Income]]="&lt;=50K",Tabela4[[#This Row],[4Age]],NA())</f>
        <v>23</v>
      </c>
      <c r="K464">
        <f>IF(Tabela4[[#This Row],[4Income]]="&lt;=50K",Tabela4[[#This Row],[4hours-per-week]],NA())</f>
        <v>30</v>
      </c>
      <c r="L464" t="e">
        <f>IF(Tabela4[[#This Row],[4Income]]="&gt;50K",Tabela4[[#This Row],[4Age]],NA())</f>
        <v>#N/A</v>
      </c>
      <c r="M464" t="e">
        <f>IF(Tabela4[[#This Row],[4Income]]="&gt;50K",Tabela4[[#This Row],[4hours-per-week]],NA())</f>
        <v>#N/A</v>
      </c>
    </row>
    <row r="465" spans="1:13">
      <c r="A465">
        <v>59</v>
      </c>
      <c r="B465">
        <v>40</v>
      </c>
      <c r="C465">
        <v>9</v>
      </c>
      <c r="D465">
        <v>40</v>
      </c>
      <c r="E465">
        <v>59</v>
      </c>
      <c r="F465">
        <v>9</v>
      </c>
      <c r="G465">
        <v>59</v>
      </c>
      <c r="H465">
        <v>40</v>
      </c>
      <c r="I465" t="s">
        <v>19</v>
      </c>
      <c r="J465" t="e">
        <f>IF(Tabela4[[#This Row],[4Income]]="&lt;=50K",Tabela4[[#This Row],[4Age]],NA())</f>
        <v>#N/A</v>
      </c>
      <c r="K465" t="e">
        <f>IF(Tabela4[[#This Row],[4Income]]="&lt;=50K",Tabela4[[#This Row],[4hours-per-week]],NA())</f>
        <v>#N/A</v>
      </c>
      <c r="L465">
        <f>IF(Tabela4[[#This Row],[4Income]]="&gt;50K",Tabela4[[#This Row],[4Age]],NA())</f>
        <v>59</v>
      </c>
      <c r="M465">
        <f>IF(Tabela4[[#This Row],[4Income]]="&gt;50K",Tabela4[[#This Row],[4hours-per-week]],NA())</f>
        <v>40</v>
      </c>
    </row>
    <row r="466" spans="1:13">
      <c r="A466">
        <v>56</v>
      </c>
      <c r="B466">
        <v>50</v>
      </c>
      <c r="C466">
        <v>10</v>
      </c>
      <c r="D466">
        <v>50</v>
      </c>
      <c r="E466">
        <v>56</v>
      </c>
      <c r="F466">
        <v>10</v>
      </c>
      <c r="G466">
        <v>56</v>
      </c>
      <c r="H466">
        <v>50</v>
      </c>
      <c r="I466" t="s">
        <v>8</v>
      </c>
      <c r="J466">
        <f>IF(Tabela4[[#This Row],[4Income]]="&lt;=50K",Tabela4[[#This Row],[4Age]],NA())</f>
        <v>56</v>
      </c>
      <c r="K466">
        <f>IF(Tabela4[[#This Row],[4Income]]="&lt;=50K",Tabela4[[#This Row],[4hours-per-week]],NA())</f>
        <v>50</v>
      </c>
      <c r="L466" t="e">
        <f>IF(Tabela4[[#This Row],[4Income]]="&gt;50K",Tabela4[[#This Row],[4Age]],NA())</f>
        <v>#N/A</v>
      </c>
      <c r="M466" t="e">
        <f>IF(Tabela4[[#This Row],[4Income]]="&gt;50K",Tabela4[[#This Row],[4hours-per-week]],NA())</f>
        <v>#N/A</v>
      </c>
    </row>
    <row r="467" spans="1:13">
      <c r="A467">
        <v>44</v>
      </c>
      <c r="B467">
        <v>40</v>
      </c>
      <c r="C467">
        <v>10</v>
      </c>
      <c r="D467">
        <v>40</v>
      </c>
      <c r="E467">
        <v>44</v>
      </c>
      <c r="F467">
        <v>10</v>
      </c>
      <c r="G467">
        <v>44</v>
      </c>
      <c r="H467">
        <v>40</v>
      </c>
      <c r="I467" t="s">
        <v>8</v>
      </c>
      <c r="J467">
        <f>IF(Tabela4[[#This Row],[4Income]]="&lt;=50K",Tabela4[[#This Row],[4Age]],NA())</f>
        <v>44</v>
      </c>
      <c r="K467">
        <f>IF(Tabela4[[#This Row],[4Income]]="&lt;=50K",Tabela4[[#This Row],[4hours-per-week]],NA())</f>
        <v>40</v>
      </c>
      <c r="L467" t="e">
        <f>IF(Tabela4[[#This Row],[4Income]]="&gt;50K",Tabela4[[#This Row],[4Age]],NA())</f>
        <v>#N/A</v>
      </c>
      <c r="M467" t="e">
        <f>IF(Tabela4[[#This Row],[4Income]]="&gt;50K",Tabela4[[#This Row],[4hours-per-week]],NA())</f>
        <v>#N/A</v>
      </c>
    </row>
    <row r="468" spans="1:13">
      <c r="A468">
        <v>47</v>
      </c>
      <c r="B468">
        <v>40</v>
      </c>
      <c r="C468">
        <v>10</v>
      </c>
      <c r="D468">
        <v>40</v>
      </c>
      <c r="E468">
        <v>47</v>
      </c>
      <c r="F468">
        <v>10</v>
      </c>
      <c r="G468">
        <v>47</v>
      </c>
      <c r="H468">
        <v>40</v>
      </c>
      <c r="I468" t="s">
        <v>8</v>
      </c>
      <c r="J468">
        <f>IF(Tabela4[[#This Row],[4Income]]="&lt;=50K",Tabela4[[#This Row],[4Age]],NA())</f>
        <v>47</v>
      </c>
      <c r="K468">
        <f>IF(Tabela4[[#This Row],[4Income]]="&lt;=50K",Tabela4[[#This Row],[4hours-per-week]],NA())</f>
        <v>40</v>
      </c>
      <c r="L468" t="e">
        <f>IF(Tabela4[[#This Row],[4Income]]="&gt;50K",Tabela4[[#This Row],[4Age]],NA())</f>
        <v>#N/A</v>
      </c>
      <c r="M468" t="e">
        <f>IF(Tabela4[[#This Row],[4Income]]="&gt;50K",Tabela4[[#This Row],[4hours-per-week]],NA())</f>
        <v>#N/A</v>
      </c>
    </row>
    <row r="469" spans="1:13">
      <c r="A469">
        <v>55</v>
      </c>
      <c r="B469">
        <v>20</v>
      </c>
      <c r="C469">
        <v>9</v>
      </c>
      <c r="D469">
        <v>20</v>
      </c>
      <c r="E469">
        <v>55</v>
      </c>
      <c r="F469">
        <v>9</v>
      </c>
      <c r="G469">
        <v>55</v>
      </c>
      <c r="H469">
        <v>20</v>
      </c>
      <c r="I469" t="s">
        <v>8</v>
      </c>
      <c r="J469">
        <f>IF(Tabela4[[#This Row],[4Income]]="&lt;=50K",Tabela4[[#This Row],[4Age]],NA())</f>
        <v>55</v>
      </c>
      <c r="K469">
        <f>IF(Tabela4[[#This Row],[4Income]]="&lt;=50K",Tabela4[[#This Row],[4hours-per-week]],NA())</f>
        <v>20</v>
      </c>
      <c r="L469" t="e">
        <f>IF(Tabela4[[#This Row],[4Income]]="&gt;50K",Tabela4[[#This Row],[4Age]],NA())</f>
        <v>#N/A</v>
      </c>
      <c r="M469" t="e">
        <f>IF(Tabela4[[#This Row],[4Income]]="&gt;50K",Tabela4[[#This Row],[4hours-per-week]],NA())</f>
        <v>#N/A</v>
      </c>
    </row>
    <row r="470" spans="1:13">
      <c r="A470">
        <v>32</v>
      </c>
      <c r="B470">
        <v>50</v>
      </c>
      <c r="C470">
        <v>10</v>
      </c>
      <c r="D470">
        <v>50</v>
      </c>
      <c r="E470">
        <v>32</v>
      </c>
      <c r="F470">
        <v>10</v>
      </c>
      <c r="G470">
        <v>32</v>
      </c>
      <c r="H470">
        <v>50</v>
      </c>
      <c r="I470" t="s">
        <v>8</v>
      </c>
      <c r="J470">
        <f>IF(Tabela4[[#This Row],[4Income]]="&lt;=50K",Tabela4[[#This Row],[4Age]],NA())</f>
        <v>32</v>
      </c>
      <c r="K470">
        <f>IF(Tabela4[[#This Row],[4Income]]="&lt;=50K",Tabela4[[#This Row],[4hours-per-week]],NA())</f>
        <v>50</v>
      </c>
      <c r="L470" t="e">
        <f>IF(Tabela4[[#This Row],[4Income]]="&gt;50K",Tabela4[[#This Row],[4Age]],NA())</f>
        <v>#N/A</v>
      </c>
      <c r="M470" t="e">
        <f>IF(Tabela4[[#This Row],[4Income]]="&gt;50K",Tabela4[[#This Row],[4hours-per-week]],NA())</f>
        <v>#N/A</v>
      </c>
    </row>
    <row r="471" spans="1:13">
      <c r="A471">
        <v>26</v>
      </c>
      <c r="B471">
        <v>35</v>
      </c>
      <c r="C471">
        <v>10</v>
      </c>
      <c r="D471">
        <v>35</v>
      </c>
      <c r="E471">
        <v>26</v>
      </c>
      <c r="F471">
        <v>10</v>
      </c>
      <c r="G471">
        <v>26</v>
      </c>
      <c r="H471">
        <v>35</v>
      </c>
      <c r="I471" t="s">
        <v>8</v>
      </c>
      <c r="J471">
        <f>IF(Tabela4[[#This Row],[4Income]]="&lt;=50K",Tabela4[[#This Row],[4Age]],NA())</f>
        <v>26</v>
      </c>
      <c r="K471">
        <f>IF(Tabela4[[#This Row],[4Income]]="&lt;=50K",Tabela4[[#This Row],[4hours-per-week]],NA())</f>
        <v>35</v>
      </c>
      <c r="L471" t="e">
        <f>IF(Tabela4[[#This Row],[4Income]]="&gt;50K",Tabela4[[#This Row],[4Age]],NA())</f>
        <v>#N/A</v>
      </c>
      <c r="M471" t="e">
        <f>IF(Tabela4[[#This Row],[4Income]]="&gt;50K",Tabela4[[#This Row],[4hours-per-week]],NA())</f>
        <v>#N/A</v>
      </c>
    </row>
    <row r="472" spans="1:13">
      <c r="A472">
        <v>25</v>
      </c>
      <c r="B472">
        <v>38</v>
      </c>
      <c r="C472">
        <v>13</v>
      </c>
      <c r="D472">
        <v>38</v>
      </c>
      <c r="E472">
        <v>25</v>
      </c>
      <c r="F472">
        <v>13</v>
      </c>
      <c r="G472">
        <v>25</v>
      </c>
      <c r="H472">
        <v>38</v>
      </c>
      <c r="I472" t="s">
        <v>8</v>
      </c>
      <c r="J472">
        <f>IF(Tabela4[[#This Row],[4Income]]="&lt;=50K",Tabela4[[#This Row],[4Age]],NA())</f>
        <v>25</v>
      </c>
      <c r="K472">
        <f>IF(Tabela4[[#This Row],[4Income]]="&lt;=50K",Tabela4[[#This Row],[4hours-per-week]],NA())</f>
        <v>38</v>
      </c>
      <c r="L472" t="e">
        <f>IF(Tabela4[[#This Row],[4Income]]="&gt;50K",Tabela4[[#This Row],[4Age]],NA())</f>
        <v>#N/A</v>
      </c>
      <c r="M472" t="e">
        <f>IF(Tabela4[[#This Row],[4Income]]="&gt;50K",Tabela4[[#This Row],[4hours-per-week]],NA())</f>
        <v>#N/A</v>
      </c>
    </row>
    <row r="473" spans="1:13">
      <c r="A473">
        <v>18</v>
      </c>
      <c r="B473">
        <v>15</v>
      </c>
      <c r="C473">
        <v>7</v>
      </c>
      <c r="D473">
        <v>15</v>
      </c>
      <c r="E473">
        <v>18</v>
      </c>
      <c r="F473">
        <v>7</v>
      </c>
      <c r="G473">
        <v>18</v>
      </c>
      <c r="H473">
        <v>15</v>
      </c>
      <c r="I473" t="s">
        <v>8</v>
      </c>
      <c r="J473">
        <f>IF(Tabela4[[#This Row],[4Income]]="&lt;=50K",Tabela4[[#This Row],[4Age]],NA())</f>
        <v>18</v>
      </c>
      <c r="K473">
        <f>IF(Tabela4[[#This Row],[4Income]]="&lt;=50K",Tabela4[[#This Row],[4hours-per-week]],NA())</f>
        <v>15</v>
      </c>
      <c r="L473" t="e">
        <f>IF(Tabela4[[#This Row],[4Income]]="&gt;50K",Tabela4[[#This Row],[4Age]],NA())</f>
        <v>#N/A</v>
      </c>
      <c r="M473" t="e">
        <f>IF(Tabela4[[#This Row],[4Income]]="&gt;50K",Tabela4[[#This Row],[4hours-per-week]],NA())</f>
        <v>#N/A</v>
      </c>
    </row>
    <row r="474" spans="1:13">
      <c r="A474">
        <v>60</v>
      </c>
      <c r="B474">
        <v>45</v>
      </c>
      <c r="C474">
        <v>9</v>
      </c>
      <c r="D474">
        <v>45</v>
      </c>
      <c r="E474">
        <v>60</v>
      </c>
      <c r="F474">
        <v>9</v>
      </c>
      <c r="G474">
        <v>60</v>
      </c>
      <c r="H474">
        <v>45</v>
      </c>
      <c r="I474" t="s">
        <v>8</v>
      </c>
      <c r="J474">
        <f>IF(Tabela4[[#This Row],[4Income]]="&lt;=50K",Tabela4[[#This Row],[4Age]],NA())</f>
        <v>60</v>
      </c>
      <c r="K474">
        <f>IF(Tabela4[[#This Row],[4Income]]="&lt;=50K",Tabela4[[#This Row],[4hours-per-week]],NA())</f>
        <v>45</v>
      </c>
      <c r="L474" t="e">
        <f>IF(Tabela4[[#This Row],[4Income]]="&gt;50K",Tabela4[[#This Row],[4Age]],NA())</f>
        <v>#N/A</v>
      </c>
      <c r="M474" t="e">
        <f>IF(Tabela4[[#This Row],[4Income]]="&gt;50K",Tabela4[[#This Row],[4hours-per-week]],NA())</f>
        <v>#N/A</v>
      </c>
    </row>
    <row r="475" spans="1:13">
      <c r="A475">
        <v>25</v>
      </c>
      <c r="B475">
        <v>40</v>
      </c>
      <c r="C475">
        <v>9</v>
      </c>
      <c r="D475">
        <v>40</v>
      </c>
      <c r="E475">
        <v>25</v>
      </c>
      <c r="F475">
        <v>9</v>
      </c>
      <c r="G475">
        <v>25</v>
      </c>
      <c r="H475">
        <v>40</v>
      </c>
      <c r="I475" t="s">
        <v>8</v>
      </c>
      <c r="J475">
        <f>IF(Tabela4[[#This Row],[4Income]]="&lt;=50K",Tabela4[[#This Row],[4Age]],NA())</f>
        <v>25</v>
      </c>
      <c r="K475">
        <f>IF(Tabela4[[#This Row],[4Income]]="&lt;=50K",Tabela4[[#This Row],[4hours-per-week]],NA())</f>
        <v>40</v>
      </c>
      <c r="L475" t="e">
        <f>IF(Tabela4[[#This Row],[4Income]]="&gt;50K",Tabela4[[#This Row],[4Age]],NA())</f>
        <v>#N/A</v>
      </c>
      <c r="M475" t="e">
        <f>IF(Tabela4[[#This Row],[4Income]]="&gt;50K",Tabela4[[#This Row],[4hours-per-week]],NA())</f>
        <v>#N/A</v>
      </c>
    </row>
    <row r="476" spans="1:13">
      <c r="A476">
        <v>54</v>
      </c>
      <c r="B476">
        <v>40</v>
      </c>
      <c r="C476">
        <v>9</v>
      </c>
      <c r="D476">
        <v>40</v>
      </c>
      <c r="E476">
        <v>54</v>
      </c>
      <c r="F476">
        <v>9</v>
      </c>
      <c r="G476">
        <v>54</v>
      </c>
      <c r="H476">
        <v>40</v>
      </c>
      <c r="I476" t="s">
        <v>19</v>
      </c>
      <c r="J476" t="e">
        <f>IF(Tabela4[[#This Row],[4Income]]="&lt;=50K",Tabela4[[#This Row],[4Age]],NA())</f>
        <v>#N/A</v>
      </c>
      <c r="K476" t="e">
        <f>IF(Tabela4[[#This Row],[4Income]]="&lt;=50K",Tabela4[[#This Row],[4hours-per-week]],NA())</f>
        <v>#N/A</v>
      </c>
      <c r="L476">
        <f>IF(Tabela4[[#This Row],[4Income]]="&gt;50K",Tabela4[[#This Row],[4Age]],NA())</f>
        <v>54</v>
      </c>
      <c r="M476">
        <f>IF(Tabela4[[#This Row],[4Income]]="&gt;50K",Tabela4[[#This Row],[4hours-per-week]],NA())</f>
        <v>40</v>
      </c>
    </row>
    <row r="477" spans="1:13">
      <c r="A477">
        <v>17</v>
      </c>
      <c r="B477">
        <v>4</v>
      </c>
      <c r="C477">
        <v>6</v>
      </c>
      <c r="D477">
        <v>4</v>
      </c>
      <c r="E477">
        <v>17</v>
      </c>
      <c r="F477">
        <v>6</v>
      </c>
      <c r="G477">
        <v>17</v>
      </c>
      <c r="H477">
        <v>4</v>
      </c>
      <c r="I477" t="s">
        <v>8</v>
      </c>
      <c r="J477">
        <f>IF(Tabela4[[#This Row],[4Income]]="&lt;=50K",Tabela4[[#This Row],[4Age]],NA())</f>
        <v>17</v>
      </c>
      <c r="K477">
        <f>IF(Tabela4[[#This Row],[4Income]]="&lt;=50K",Tabela4[[#This Row],[4hours-per-week]],NA())</f>
        <v>4</v>
      </c>
      <c r="L477" t="e">
        <f>IF(Tabela4[[#This Row],[4Income]]="&gt;50K",Tabela4[[#This Row],[4Age]],NA())</f>
        <v>#N/A</v>
      </c>
      <c r="M477" t="e">
        <f>IF(Tabela4[[#This Row],[4Income]]="&gt;50K",Tabela4[[#This Row],[4hours-per-week]],NA())</f>
        <v>#N/A</v>
      </c>
    </row>
    <row r="478" spans="1:13">
      <c r="A478">
        <v>40</v>
      </c>
      <c r="B478">
        <v>30</v>
      </c>
      <c r="C478">
        <v>9</v>
      </c>
      <c r="D478">
        <v>30</v>
      </c>
      <c r="E478">
        <v>40</v>
      </c>
      <c r="F478">
        <v>9</v>
      </c>
      <c r="G478">
        <v>40</v>
      </c>
      <c r="H478">
        <v>30</v>
      </c>
      <c r="I478" t="s">
        <v>8</v>
      </c>
      <c r="J478">
        <f>IF(Tabela4[[#This Row],[4Income]]="&lt;=50K",Tabela4[[#This Row],[4Age]],NA())</f>
        <v>40</v>
      </c>
      <c r="K478">
        <f>IF(Tabela4[[#This Row],[4Income]]="&lt;=50K",Tabela4[[#This Row],[4hours-per-week]],NA())</f>
        <v>30</v>
      </c>
      <c r="L478" t="e">
        <f>IF(Tabela4[[#This Row],[4Income]]="&gt;50K",Tabela4[[#This Row],[4Age]],NA())</f>
        <v>#N/A</v>
      </c>
      <c r="M478" t="e">
        <f>IF(Tabela4[[#This Row],[4Income]]="&gt;50K",Tabela4[[#This Row],[4hours-per-week]],NA())</f>
        <v>#N/A</v>
      </c>
    </row>
    <row r="479" spans="1:13">
      <c r="A479">
        <v>62</v>
      </c>
      <c r="B479">
        <v>40</v>
      </c>
      <c r="C479">
        <v>13</v>
      </c>
      <c r="D479">
        <v>40</v>
      </c>
      <c r="E479">
        <v>62</v>
      </c>
      <c r="F479">
        <v>13</v>
      </c>
      <c r="G479">
        <v>62</v>
      </c>
      <c r="H479">
        <v>40</v>
      </c>
      <c r="I479" t="s">
        <v>19</v>
      </c>
      <c r="J479" t="e">
        <f>IF(Tabela4[[#This Row],[4Income]]="&lt;=50K",Tabela4[[#This Row],[4Age]],NA())</f>
        <v>#N/A</v>
      </c>
      <c r="K479" t="e">
        <f>IF(Tabela4[[#This Row],[4Income]]="&lt;=50K",Tabela4[[#This Row],[4hours-per-week]],NA())</f>
        <v>#N/A</v>
      </c>
      <c r="L479">
        <f>IF(Tabela4[[#This Row],[4Income]]="&gt;50K",Tabela4[[#This Row],[4Age]],NA())</f>
        <v>62</v>
      </c>
      <c r="M479">
        <f>IF(Tabela4[[#This Row],[4Income]]="&gt;50K",Tabela4[[#This Row],[4hours-per-week]],NA())</f>
        <v>40</v>
      </c>
    </row>
    <row r="480" spans="1:13">
      <c r="A480">
        <v>56</v>
      </c>
      <c r="B480">
        <v>65</v>
      </c>
      <c r="C480">
        <v>13</v>
      </c>
      <c r="D480">
        <v>65</v>
      </c>
      <c r="E480">
        <v>56</v>
      </c>
      <c r="F480">
        <v>13</v>
      </c>
      <c r="G480">
        <v>56</v>
      </c>
      <c r="H480">
        <v>65</v>
      </c>
      <c r="I480" t="s">
        <v>19</v>
      </c>
      <c r="J480" t="e">
        <f>IF(Tabela4[[#This Row],[4Income]]="&lt;=50K",Tabela4[[#This Row],[4Age]],NA())</f>
        <v>#N/A</v>
      </c>
      <c r="K480" t="e">
        <f>IF(Tabela4[[#This Row],[4Income]]="&lt;=50K",Tabela4[[#This Row],[4hours-per-week]],NA())</f>
        <v>#N/A</v>
      </c>
      <c r="L480">
        <f>IF(Tabela4[[#This Row],[4Income]]="&gt;50K",Tabela4[[#This Row],[4Age]],NA())</f>
        <v>56</v>
      </c>
      <c r="M480">
        <f>IF(Tabela4[[#This Row],[4Income]]="&gt;50K",Tabela4[[#This Row],[4hours-per-week]],NA())</f>
        <v>65</v>
      </c>
    </row>
    <row r="481" spans="1:13">
      <c r="A481">
        <v>23</v>
      </c>
      <c r="B481">
        <v>40</v>
      </c>
      <c r="C481">
        <v>6</v>
      </c>
      <c r="D481">
        <v>40</v>
      </c>
      <c r="E481">
        <v>23</v>
      </c>
      <c r="F481">
        <v>6</v>
      </c>
      <c r="G481">
        <v>23</v>
      </c>
      <c r="H481">
        <v>40</v>
      </c>
      <c r="I481" t="s">
        <v>8</v>
      </c>
      <c r="J481">
        <f>IF(Tabela4[[#This Row],[4Income]]="&lt;=50K",Tabela4[[#This Row],[4Age]],NA())</f>
        <v>23</v>
      </c>
      <c r="K481">
        <f>IF(Tabela4[[#This Row],[4Income]]="&lt;=50K",Tabela4[[#This Row],[4hours-per-week]],NA())</f>
        <v>40</v>
      </c>
      <c r="L481" t="e">
        <f>IF(Tabela4[[#This Row],[4Income]]="&gt;50K",Tabela4[[#This Row],[4Age]],NA())</f>
        <v>#N/A</v>
      </c>
      <c r="M481" t="e">
        <f>IF(Tabela4[[#This Row],[4Income]]="&gt;50K",Tabela4[[#This Row],[4hours-per-week]],NA())</f>
        <v>#N/A</v>
      </c>
    </row>
    <row r="482" spans="1:13">
      <c r="A482">
        <v>48</v>
      </c>
      <c r="B482">
        <v>40</v>
      </c>
      <c r="C482">
        <v>9</v>
      </c>
      <c r="D482">
        <v>40</v>
      </c>
      <c r="E482">
        <v>48</v>
      </c>
      <c r="F482">
        <v>9</v>
      </c>
      <c r="G482">
        <v>48</v>
      </c>
      <c r="H482">
        <v>40</v>
      </c>
      <c r="I482" t="s">
        <v>8</v>
      </c>
      <c r="J482">
        <f>IF(Tabela4[[#This Row],[4Income]]="&lt;=50K",Tabela4[[#This Row],[4Age]],NA())</f>
        <v>48</v>
      </c>
      <c r="K482">
        <f>IF(Tabela4[[#This Row],[4Income]]="&lt;=50K",Tabela4[[#This Row],[4hours-per-week]],NA())</f>
        <v>40</v>
      </c>
      <c r="L482" t="e">
        <f>IF(Tabela4[[#This Row],[4Income]]="&gt;50K",Tabela4[[#This Row],[4Age]],NA())</f>
        <v>#N/A</v>
      </c>
      <c r="M482" t="e">
        <f>IF(Tabela4[[#This Row],[4Income]]="&gt;50K",Tabela4[[#This Row],[4hours-per-week]],NA())</f>
        <v>#N/A</v>
      </c>
    </row>
    <row r="483" spans="1:13">
      <c r="A483">
        <v>50</v>
      </c>
      <c r="B483">
        <v>40</v>
      </c>
      <c r="C483">
        <v>8</v>
      </c>
      <c r="D483">
        <v>40</v>
      </c>
      <c r="E483">
        <v>50</v>
      </c>
      <c r="F483">
        <v>8</v>
      </c>
      <c r="G483">
        <v>50</v>
      </c>
      <c r="H483">
        <v>40</v>
      </c>
      <c r="I483" t="s">
        <v>8</v>
      </c>
      <c r="J483">
        <f>IF(Tabela4[[#This Row],[4Income]]="&lt;=50K",Tabela4[[#This Row],[4Age]],NA())</f>
        <v>50</v>
      </c>
      <c r="K483">
        <f>IF(Tabela4[[#This Row],[4Income]]="&lt;=50K",Tabela4[[#This Row],[4hours-per-week]],NA())</f>
        <v>40</v>
      </c>
      <c r="L483" t="e">
        <f>IF(Tabela4[[#This Row],[4Income]]="&gt;50K",Tabela4[[#This Row],[4Age]],NA())</f>
        <v>#N/A</v>
      </c>
      <c r="M483" t="e">
        <f>IF(Tabela4[[#This Row],[4Income]]="&gt;50K",Tabela4[[#This Row],[4hours-per-week]],NA())</f>
        <v>#N/A</v>
      </c>
    </row>
    <row r="484" spans="1:13">
      <c r="A484">
        <v>18</v>
      </c>
      <c r="B484">
        <v>20</v>
      </c>
      <c r="C484">
        <v>9</v>
      </c>
      <c r="D484">
        <v>20</v>
      </c>
      <c r="E484">
        <v>18</v>
      </c>
      <c r="F484">
        <v>9</v>
      </c>
      <c r="G484">
        <v>18</v>
      </c>
      <c r="H484">
        <v>20</v>
      </c>
      <c r="I484" t="s">
        <v>8</v>
      </c>
      <c r="J484">
        <f>IF(Tabela4[[#This Row],[4Income]]="&lt;=50K",Tabela4[[#This Row],[4Age]],NA())</f>
        <v>18</v>
      </c>
      <c r="K484">
        <f>IF(Tabela4[[#This Row],[4Income]]="&lt;=50K",Tabela4[[#This Row],[4hours-per-week]],NA())</f>
        <v>20</v>
      </c>
      <c r="L484" t="e">
        <f>IF(Tabela4[[#This Row],[4Income]]="&gt;50K",Tabela4[[#This Row],[4Age]],NA())</f>
        <v>#N/A</v>
      </c>
      <c r="M484" t="e">
        <f>IF(Tabela4[[#This Row],[4Income]]="&gt;50K",Tabela4[[#This Row],[4hours-per-week]],NA())</f>
        <v>#N/A</v>
      </c>
    </row>
    <row r="485" spans="1:13">
      <c r="A485">
        <v>31</v>
      </c>
      <c r="B485">
        <v>99</v>
      </c>
      <c r="C485">
        <v>9</v>
      </c>
      <c r="D485">
        <v>99</v>
      </c>
      <c r="E485">
        <v>31</v>
      </c>
      <c r="F485">
        <v>9</v>
      </c>
      <c r="G485">
        <v>31</v>
      </c>
      <c r="H485">
        <v>99</v>
      </c>
      <c r="I485" t="s">
        <v>8</v>
      </c>
      <c r="J485">
        <f>IF(Tabela4[[#This Row],[4Income]]="&lt;=50K",Tabela4[[#This Row],[4Age]],NA())</f>
        <v>31</v>
      </c>
      <c r="K485">
        <f>IF(Tabela4[[#This Row],[4Income]]="&lt;=50K",Tabela4[[#This Row],[4hours-per-week]],NA())</f>
        <v>99</v>
      </c>
      <c r="L485" t="e">
        <f>IF(Tabela4[[#This Row],[4Income]]="&gt;50K",Tabela4[[#This Row],[4Age]],NA())</f>
        <v>#N/A</v>
      </c>
      <c r="M485" t="e">
        <f>IF(Tabela4[[#This Row],[4Income]]="&gt;50K",Tabela4[[#This Row],[4hours-per-week]],NA())</f>
        <v>#N/A</v>
      </c>
    </row>
    <row r="486" spans="1:13">
      <c r="A486">
        <v>24</v>
      </c>
      <c r="B486">
        <v>40</v>
      </c>
      <c r="C486">
        <v>9</v>
      </c>
      <c r="D486">
        <v>40</v>
      </c>
      <c r="E486">
        <v>24</v>
      </c>
      <c r="F486">
        <v>9</v>
      </c>
      <c r="G486">
        <v>24</v>
      </c>
      <c r="H486">
        <v>40</v>
      </c>
      <c r="I486" t="s">
        <v>8</v>
      </c>
      <c r="J486">
        <f>IF(Tabela4[[#This Row],[4Income]]="&lt;=50K",Tabela4[[#This Row],[4Age]],NA())</f>
        <v>24</v>
      </c>
      <c r="K486">
        <f>IF(Tabela4[[#This Row],[4Income]]="&lt;=50K",Tabela4[[#This Row],[4hours-per-week]],NA())</f>
        <v>40</v>
      </c>
      <c r="L486" t="e">
        <f>IF(Tabela4[[#This Row],[4Income]]="&gt;50K",Tabela4[[#This Row],[4Age]],NA())</f>
        <v>#N/A</v>
      </c>
      <c r="M486" t="e">
        <f>IF(Tabela4[[#This Row],[4Income]]="&gt;50K",Tabela4[[#This Row],[4hours-per-week]],NA())</f>
        <v>#N/A</v>
      </c>
    </row>
    <row r="487" spans="1:13">
      <c r="A487">
        <v>38</v>
      </c>
      <c r="B487">
        <v>20</v>
      </c>
      <c r="C487">
        <v>11</v>
      </c>
      <c r="D487">
        <v>20</v>
      </c>
      <c r="E487">
        <v>38</v>
      </c>
      <c r="F487">
        <v>11</v>
      </c>
      <c r="G487">
        <v>38</v>
      </c>
      <c r="H487">
        <v>20</v>
      </c>
      <c r="I487" t="s">
        <v>8</v>
      </c>
      <c r="J487">
        <f>IF(Tabela4[[#This Row],[4Income]]="&lt;=50K",Tabela4[[#This Row],[4Age]],NA())</f>
        <v>38</v>
      </c>
      <c r="K487">
        <f>IF(Tabela4[[#This Row],[4Income]]="&lt;=50K",Tabela4[[#This Row],[4hours-per-week]],NA())</f>
        <v>20</v>
      </c>
      <c r="L487" t="e">
        <f>IF(Tabela4[[#This Row],[4Income]]="&gt;50K",Tabela4[[#This Row],[4Age]],NA())</f>
        <v>#N/A</v>
      </c>
      <c r="M487" t="e">
        <f>IF(Tabela4[[#This Row],[4Income]]="&gt;50K",Tabela4[[#This Row],[4hours-per-week]],NA())</f>
        <v>#N/A</v>
      </c>
    </row>
    <row r="488" spans="1:13">
      <c r="A488">
        <v>20</v>
      </c>
      <c r="B488">
        <v>40</v>
      </c>
      <c r="C488">
        <v>10</v>
      </c>
      <c r="D488">
        <v>40</v>
      </c>
      <c r="E488">
        <v>20</v>
      </c>
      <c r="F488">
        <v>10</v>
      </c>
      <c r="G488">
        <v>20</v>
      </c>
      <c r="H488">
        <v>40</v>
      </c>
      <c r="I488" t="s">
        <v>8</v>
      </c>
      <c r="J488">
        <f>IF(Tabela4[[#This Row],[4Income]]="&lt;=50K",Tabela4[[#This Row],[4Age]],NA())</f>
        <v>20</v>
      </c>
      <c r="K488">
        <f>IF(Tabela4[[#This Row],[4Income]]="&lt;=50K",Tabela4[[#This Row],[4hours-per-week]],NA())</f>
        <v>40</v>
      </c>
      <c r="L488" t="e">
        <f>IF(Tabela4[[#This Row],[4Income]]="&gt;50K",Tabela4[[#This Row],[4Age]],NA())</f>
        <v>#N/A</v>
      </c>
      <c r="M488" t="e">
        <f>IF(Tabela4[[#This Row],[4Income]]="&gt;50K",Tabela4[[#This Row],[4hours-per-week]],NA())</f>
        <v>#N/A</v>
      </c>
    </row>
    <row r="489" spans="1:13">
      <c r="A489">
        <v>45</v>
      </c>
      <c r="B489">
        <v>60</v>
      </c>
      <c r="C489">
        <v>13</v>
      </c>
      <c r="D489">
        <v>60</v>
      </c>
      <c r="E489">
        <v>45</v>
      </c>
      <c r="F489">
        <v>13</v>
      </c>
      <c r="G489">
        <v>45</v>
      </c>
      <c r="H489">
        <v>60</v>
      </c>
      <c r="I489" t="s">
        <v>19</v>
      </c>
      <c r="J489" t="e">
        <f>IF(Tabela4[[#This Row],[4Income]]="&lt;=50K",Tabela4[[#This Row],[4Age]],NA())</f>
        <v>#N/A</v>
      </c>
      <c r="K489" t="e">
        <f>IF(Tabela4[[#This Row],[4Income]]="&lt;=50K",Tabela4[[#This Row],[4hours-per-week]],NA())</f>
        <v>#N/A</v>
      </c>
      <c r="L489">
        <f>IF(Tabela4[[#This Row],[4Income]]="&gt;50K",Tabela4[[#This Row],[4Age]],NA())</f>
        <v>45</v>
      </c>
      <c r="M489">
        <f>IF(Tabela4[[#This Row],[4Income]]="&gt;50K",Tabela4[[#This Row],[4hours-per-week]],NA())</f>
        <v>60</v>
      </c>
    </row>
    <row r="490" spans="1:13">
      <c r="A490">
        <v>45</v>
      </c>
      <c r="B490">
        <v>50</v>
      </c>
      <c r="C490">
        <v>14</v>
      </c>
      <c r="D490">
        <v>50</v>
      </c>
      <c r="E490">
        <v>45</v>
      </c>
      <c r="F490">
        <v>14</v>
      </c>
      <c r="G490">
        <v>45</v>
      </c>
      <c r="H490">
        <v>50</v>
      </c>
      <c r="I490" t="s">
        <v>19</v>
      </c>
      <c r="J490" t="e">
        <f>IF(Tabela4[[#This Row],[4Income]]="&lt;=50K",Tabela4[[#This Row],[4Age]],NA())</f>
        <v>#N/A</v>
      </c>
      <c r="K490" t="e">
        <f>IF(Tabela4[[#This Row],[4Income]]="&lt;=50K",Tabela4[[#This Row],[4hours-per-week]],NA())</f>
        <v>#N/A</v>
      </c>
      <c r="L490">
        <f>IF(Tabela4[[#This Row],[4Income]]="&gt;50K",Tabela4[[#This Row],[4Age]],NA())</f>
        <v>45</v>
      </c>
      <c r="M490">
        <f>IF(Tabela4[[#This Row],[4Income]]="&gt;50K",Tabela4[[#This Row],[4hours-per-week]],NA())</f>
        <v>50</v>
      </c>
    </row>
    <row r="491" spans="1:13">
      <c r="A491">
        <v>63</v>
      </c>
      <c r="B491">
        <v>70</v>
      </c>
      <c r="C491">
        <v>9</v>
      </c>
      <c r="D491">
        <v>70</v>
      </c>
      <c r="E491">
        <v>63</v>
      </c>
      <c r="F491">
        <v>9</v>
      </c>
      <c r="G491">
        <v>63</v>
      </c>
      <c r="H491">
        <v>70</v>
      </c>
      <c r="I491" t="s">
        <v>8</v>
      </c>
      <c r="J491">
        <f>IF(Tabela4[[#This Row],[4Income]]="&lt;=50K",Tabela4[[#This Row],[4Age]],NA())</f>
        <v>63</v>
      </c>
      <c r="K491">
        <f>IF(Tabela4[[#This Row],[4Income]]="&lt;=50K",Tabela4[[#This Row],[4hours-per-week]],NA())</f>
        <v>70</v>
      </c>
      <c r="L491" t="e">
        <f>IF(Tabela4[[#This Row],[4Income]]="&gt;50K",Tabela4[[#This Row],[4Age]],NA())</f>
        <v>#N/A</v>
      </c>
      <c r="M491" t="e">
        <f>IF(Tabela4[[#This Row],[4Income]]="&gt;50K",Tabela4[[#This Row],[4hours-per-week]],NA())</f>
        <v>#N/A</v>
      </c>
    </row>
    <row r="492" spans="1:13">
      <c r="A492">
        <v>40</v>
      </c>
      <c r="B492">
        <v>40</v>
      </c>
      <c r="C492">
        <v>16</v>
      </c>
      <c r="D492">
        <v>40</v>
      </c>
      <c r="E492">
        <v>40</v>
      </c>
      <c r="F492">
        <v>16</v>
      </c>
      <c r="G492">
        <v>40</v>
      </c>
      <c r="H492">
        <v>40</v>
      </c>
      <c r="I492" t="s">
        <v>19</v>
      </c>
      <c r="J492" t="e">
        <f>IF(Tabela4[[#This Row],[4Income]]="&lt;=50K",Tabela4[[#This Row],[4Age]],NA())</f>
        <v>#N/A</v>
      </c>
      <c r="K492" t="e">
        <f>IF(Tabela4[[#This Row],[4Income]]="&lt;=50K",Tabela4[[#This Row],[4hours-per-week]],NA())</f>
        <v>#N/A</v>
      </c>
      <c r="L492">
        <f>IF(Tabela4[[#This Row],[4Income]]="&gt;50K",Tabela4[[#This Row],[4Age]],NA())</f>
        <v>40</v>
      </c>
      <c r="M492">
        <f>IF(Tabela4[[#This Row],[4Income]]="&gt;50K",Tabela4[[#This Row],[4hours-per-week]],NA())</f>
        <v>40</v>
      </c>
    </row>
    <row r="493" spans="1:13">
      <c r="A493">
        <v>32</v>
      </c>
      <c r="B493">
        <v>40</v>
      </c>
      <c r="C493">
        <v>13</v>
      </c>
      <c r="D493">
        <v>40</v>
      </c>
      <c r="E493">
        <v>32</v>
      </c>
      <c r="F493">
        <v>13</v>
      </c>
      <c r="G493">
        <v>32</v>
      </c>
      <c r="H493">
        <v>40</v>
      </c>
      <c r="I493" t="s">
        <v>19</v>
      </c>
      <c r="J493" t="e">
        <f>IF(Tabela4[[#This Row],[4Income]]="&lt;=50K",Tabela4[[#This Row],[4Age]],NA())</f>
        <v>#N/A</v>
      </c>
      <c r="K493" t="e">
        <f>IF(Tabela4[[#This Row],[4Income]]="&lt;=50K",Tabela4[[#This Row],[4hours-per-week]],NA())</f>
        <v>#N/A</v>
      </c>
      <c r="L493">
        <f>IF(Tabela4[[#This Row],[4Income]]="&gt;50K",Tabela4[[#This Row],[4Age]],NA())</f>
        <v>32</v>
      </c>
      <c r="M493">
        <f>IF(Tabela4[[#This Row],[4Income]]="&gt;50K",Tabela4[[#This Row],[4hours-per-week]],NA())</f>
        <v>40</v>
      </c>
    </row>
    <row r="494" spans="1:13">
      <c r="A494">
        <v>37</v>
      </c>
      <c r="B494">
        <v>60</v>
      </c>
      <c r="C494">
        <v>13</v>
      </c>
      <c r="D494">
        <v>60</v>
      </c>
      <c r="E494">
        <v>37</v>
      </c>
      <c r="F494">
        <v>13</v>
      </c>
      <c r="G494">
        <v>37</v>
      </c>
      <c r="H494">
        <v>60</v>
      </c>
      <c r="I494" t="s">
        <v>19</v>
      </c>
      <c r="J494" t="e">
        <f>IF(Tabela4[[#This Row],[4Income]]="&lt;=50K",Tabela4[[#This Row],[4Age]],NA())</f>
        <v>#N/A</v>
      </c>
      <c r="K494" t="e">
        <f>IF(Tabela4[[#This Row],[4Income]]="&lt;=50K",Tabela4[[#This Row],[4hours-per-week]],NA())</f>
        <v>#N/A</v>
      </c>
      <c r="L494">
        <f>IF(Tabela4[[#This Row],[4Income]]="&gt;50K",Tabela4[[#This Row],[4Age]],NA())</f>
        <v>37</v>
      </c>
      <c r="M494">
        <f>IF(Tabela4[[#This Row],[4Income]]="&gt;50K",Tabela4[[#This Row],[4hours-per-week]],NA())</f>
        <v>60</v>
      </c>
    </row>
    <row r="495" spans="1:13">
      <c r="A495">
        <v>34</v>
      </c>
      <c r="B495">
        <v>20</v>
      </c>
      <c r="C495">
        <v>9</v>
      </c>
      <c r="D495">
        <v>20</v>
      </c>
      <c r="E495">
        <v>34</v>
      </c>
      <c r="F495">
        <v>9</v>
      </c>
      <c r="G495">
        <v>34</v>
      </c>
      <c r="H495">
        <v>20</v>
      </c>
      <c r="I495" t="s">
        <v>8</v>
      </c>
      <c r="J495">
        <f>IF(Tabela4[[#This Row],[4Income]]="&lt;=50K",Tabela4[[#This Row],[4Age]],NA())</f>
        <v>34</v>
      </c>
      <c r="K495">
        <f>IF(Tabela4[[#This Row],[4Income]]="&lt;=50K",Tabela4[[#This Row],[4hours-per-week]],NA())</f>
        <v>20</v>
      </c>
      <c r="L495" t="e">
        <f>IF(Tabela4[[#This Row],[4Income]]="&gt;50K",Tabela4[[#This Row],[4Age]],NA())</f>
        <v>#N/A</v>
      </c>
      <c r="M495" t="e">
        <f>IF(Tabela4[[#This Row],[4Income]]="&gt;50K",Tabela4[[#This Row],[4hours-per-week]],NA())</f>
        <v>#N/A</v>
      </c>
    </row>
    <row r="496" spans="1:13">
      <c r="A496">
        <v>35</v>
      </c>
      <c r="B496">
        <v>45</v>
      </c>
      <c r="C496">
        <v>13</v>
      </c>
      <c r="D496">
        <v>45</v>
      </c>
      <c r="E496">
        <v>35</v>
      </c>
      <c r="F496">
        <v>13</v>
      </c>
      <c r="G496">
        <v>35</v>
      </c>
      <c r="H496">
        <v>45</v>
      </c>
      <c r="I496" t="s">
        <v>19</v>
      </c>
      <c r="J496" t="e">
        <f>IF(Tabela4[[#This Row],[4Income]]="&lt;=50K",Tabela4[[#This Row],[4Age]],NA())</f>
        <v>#N/A</v>
      </c>
      <c r="K496" t="e">
        <f>IF(Tabela4[[#This Row],[4Income]]="&lt;=50K",Tabela4[[#This Row],[4hours-per-week]],NA())</f>
        <v>#N/A</v>
      </c>
      <c r="L496">
        <f>IF(Tabela4[[#This Row],[4Income]]="&gt;50K",Tabela4[[#This Row],[4Age]],NA())</f>
        <v>35</v>
      </c>
      <c r="M496">
        <f>IF(Tabela4[[#This Row],[4Income]]="&gt;50K",Tabela4[[#This Row],[4hours-per-week]],NA())</f>
        <v>45</v>
      </c>
    </row>
    <row r="497" spans="1:13">
      <c r="A497">
        <v>35</v>
      </c>
      <c r="B497">
        <v>50</v>
      </c>
      <c r="C497">
        <v>9</v>
      </c>
      <c r="D497">
        <v>50</v>
      </c>
      <c r="E497">
        <v>35</v>
      </c>
      <c r="F497">
        <v>9</v>
      </c>
      <c r="G497">
        <v>35</v>
      </c>
      <c r="H497">
        <v>50</v>
      </c>
      <c r="I497" t="s">
        <v>19</v>
      </c>
      <c r="J497" t="e">
        <f>IF(Tabela4[[#This Row],[4Income]]="&lt;=50K",Tabela4[[#This Row],[4Age]],NA())</f>
        <v>#N/A</v>
      </c>
      <c r="K497" t="e">
        <f>IF(Tabela4[[#This Row],[4Income]]="&lt;=50K",Tabela4[[#This Row],[4hours-per-week]],NA())</f>
        <v>#N/A</v>
      </c>
      <c r="L497">
        <f>IF(Tabela4[[#This Row],[4Income]]="&gt;50K",Tabela4[[#This Row],[4Age]],NA())</f>
        <v>35</v>
      </c>
      <c r="M497">
        <f>IF(Tabela4[[#This Row],[4Income]]="&gt;50K",Tabela4[[#This Row],[4hours-per-week]],NA())</f>
        <v>50</v>
      </c>
    </row>
    <row r="498" spans="1:13">
      <c r="A498">
        <v>59</v>
      </c>
      <c r="B498">
        <v>48</v>
      </c>
      <c r="C498">
        <v>13</v>
      </c>
      <c r="D498">
        <v>48</v>
      </c>
      <c r="E498">
        <v>59</v>
      </c>
      <c r="F498">
        <v>13</v>
      </c>
      <c r="G498">
        <v>59</v>
      </c>
      <c r="H498">
        <v>48</v>
      </c>
      <c r="I498" t="s">
        <v>19</v>
      </c>
      <c r="J498" t="e">
        <f>IF(Tabela4[[#This Row],[4Income]]="&lt;=50K",Tabela4[[#This Row],[4Age]],NA())</f>
        <v>#N/A</v>
      </c>
      <c r="K498" t="e">
        <f>IF(Tabela4[[#This Row],[4Income]]="&lt;=50K",Tabela4[[#This Row],[4hours-per-week]],NA())</f>
        <v>#N/A</v>
      </c>
      <c r="L498">
        <f>IF(Tabela4[[#This Row],[4Income]]="&gt;50K",Tabela4[[#This Row],[4Age]],NA())</f>
        <v>59</v>
      </c>
      <c r="M498">
        <f>IF(Tabela4[[#This Row],[4Income]]="&gt;50K",Tabela4[[#This Row],[4hours-per-week]],NA())</f>
        <v>48</v>
      </c>
    </row>
    <row r="499" spans="1:13">
      <c r="A499">
        <v>25</v>
      </c>
      <c r="B499">
        <v>40</v>
      </c>
      <c r="C499">
        <v>9</v>
      </c>
      <c r="D499">
        <v>40</v>
      </c>
      <c r="E499">
        <v>25</v>
      </c>
      <c r="F499">
        <v>9</v>
      </c>
      <c r="G499">
        <v>25</v>
      </c>
      <c r="H499">
        <v>40</v>
      </c>
      <c r="I499" t="s">
        <v>8</v>
      </c>
      <c r="J499">
        <f>IF(Tabela4[[#This Row],[4Income]]="&lt;=50K",Tabela4[[#This Row],[4Age]],NA())</f>
        <v>25</v>
      </c>
      <c r="K499">
        <f>IF(Tabela4[[#This Row],[4Income]]="&lt;=50K",Tabela4[[#This Row],[4hours-per-week]],NA())</f>
        <v>40</v>
      </c>
      <c r="L499" t="e">
        <f>IF(Tabela4[[#This Row],[4Income]]="&gt;50K",Tabela4[[#This Row],[4Age]],NA())</f>
        <v>#N/A</v>
      </c>
      <c r="M499" t="e">
        <f>IF(Tabela4[[#This Row],[4Income]]="&gt;50K",Tabela4[[#This Row],[4hours-per-week]],NA())</f>
        <v>#N/A</v>
      </c>
    </row>
    <row r="500" spans="1:13">
      <c r="A500">
        <v>27</v>
      </c>
      <c r="B500">
        <v>40</v>
      </c>
      <c r="C500">
        <v>13</v>
      </c>
      <c r="D500">
        <v>40</v>
      </c>
      <c r="E500">
        <v>27</v>
      </c>
      <c r="F500">
        <v>13</v>
      </c>
      <c r="G500">
        <v>27</v>
      </c>
      <c r="H500">
        <v>40</v>
      </c>
      <c r="I500" t="s">
        <v>8</v>
      </c>
      <c r="J500">
        <f>IF(Tabela4[[#This Row],[4Income]]="&lt;=50K",Tabela4[[#This Row],[4Age]],NA())</f>
        <v>27</v>
      </c>
      <c r="K500">
        <f>IF(Tabela4[[#This Row],[4Income]]="&lt;=50K",Tabela4[[#This Row],[4hours-per-week]],NA())</f>
        <v>40</v>
      </c>
      <c r="L500" t="e">
        <f>IF(Tabela4[[#This Row],[4Income]]="&gt;50K",Tabela4[[#This Row],[4Age]],NA())</f>
        <v>#N/A</v>
      </c>
      <c r="M500" t="e">
        <f>IF(Tabela4[[#This Row],[4Income]]="&gt;50K",Tabela4[[#This Row],[4hours-per-week]],NA())</f>
        <v>#N/A</v>
      </c>
    </row>
    <row r="501" spans="1:13">
      <c r="A501">
        <v>22</v>
      </c>
      <c r="B501">
        <v>40</v>
      </c>
      <c r="C501">
        <v>9</v>
      </c>
      <c r="D501">
        <v>40</v>
      </c>
      <c r="E501">
        <v>22</v>
      </c>
      <c r="F501">
        <v>9</v>
      </c>
      <c r="G501">
        <v>22</v>
      </c>
      <c r="H501">
        <v>40</v>
      </c>
      <c r="I501" t="s">
        <v>8</v>
      </c>
      <c r="J501">
        <f>IF(Tabela4[[#This Row],[4Income]]="&lt;=50K",Tabela4[[#This Row],[4Age]],NA())</f>
        <v>22</v>
      </c>
      <c r="K501">
        <f>IF(Tabela4[[#This Row],[4Income]]="&lt;=50K",Tabela4[[#This Row],[4hours-per-week]],NA())</f>
        <v>40</v>
      </c>
      <c r="L501" t="e">
        <f>IF(Tabela4[[#This Row],[4Income]]="&gt;50K",Tabela4[[#This Row],[4Age]],NA())</f>
        <v>#N/A</v>
      </c>
      <c r="M501" t="e">
        <f>IF(Tabela4[[#This Row],[4Income]]="&gt;50K",Tabela4[[#This Row],[4hours-per-week]],NA())</f>
        <v>#N/A</v>
      </c>
    </row>
    <row r="502" spans="1:13">
      <c r="A502">
        <v>40</v>
      </c>
      <c r="B502">
        <v>40</v>
      </c>
      <c r="C502">
        <v>10</v>
      </c>
      <c r="D502">
        <v>40</v>
      </c>
      <c r="E502">
        <v>40</v>
      </c>
      <c r="F502">
        <v>10</v>
      </c>
      <c r="G502">
        <v>40</v>
      </c>
      <c r="H502">
        <v>40</v>
      </c>
      <c r="I502" t="s">
        <v>8</v>
      </c>
      <c r="J502">
        <f>IF(Tabela4[[#This Row],[4Income]]="&lt;=50K",Tabela4[[#This Row],[4Age]],NA())</f>
        <v>40</v>
      </c>
      <c r="K502">
        <f>IF(Tabela4[[#This Row],[4Income]]="&lt;=50K",Tabela4[[#This Row],[4hours-per-week]],NA())</f>
        <v>40</v>
      </c>
      <c r="L502" t="e">
        <f>IF(Tabela4[[#This Row],[4Income]]="&gt;50K",Tabela4[[#This Row],[4Age]],NA())</f>
        <v>#N/A</v>
      </c>
      <c r="M502" t="e">
        <f>IF(Tabela4[[#This Row],[4Income]]="&gt;50K",Tabela4[[#This Row],[4hours-per-week]],NA())</f>
        <v>#N/A</v>
      </c>
    </row>
    <row r="503" spans="1:13">
      <c r="A503">
        <v>29</v>
      </c>
      <c r="B503">
        <v>60</v>
      </c>
      <c r="C503">
        <v>9</v>
      </c>
      <c r="D503">
        <v>60</v>
      </c>
      <c r="E503">
        <v>29</v>
      </c>
      <c r="F503">
        <v>9</v>
      </c>
      <c r="G503">
        <v>29</v>
      </c>
      <c r="H503">
        <v>60</v>
      </c>
      <c r="I503" t="s">
        <v>8</v>
      </c>
      <c r="J503">
        <f>IF(Tabela4[[#This Row],[4Income]]="&lt;=50K",Tabela4[[#This Row],[4Age]],NA())</f>
        <v>29</v>
      </c>
      <c r="K503">
        <f>IF(Tabela4[[#This Row],[4Income]]="&lt;=50K",Tabela4[[#This Row],[4hours-per-week]],NA())</f>
        <v>60</v>
      </c>
      <c r="L503" t="e">
        <f>IF(Tabela4[[#This Row],[4Income]]="&gt;50K",Tabela4[[#This Row],[4Age]],NA())</f>
        <v>#N/A</v>
      </c>
      <c r="M503" t="e">
        <f>IF(Tabela4[[#This Row],[4Income]]="&gt;50K",Tabela4[[#This Row],[4hours-per-week]],NA())</f>
        <v>#N/A</v>
      </c>
    </row>
    <row r="504" spans="1:13">
      <c r="A504">
        <v>42</v>
      </c>
      <c r="B504">
        <v>65</v>
      </c>
      <c r="C504">
        <v>15</v>
      </c>
      <c r="D504">
        <v>65</v>
      </c>
      <c r="E504">
        <v>42</v>
      </c>
      <c r="F504">
        <v>15</v>
      </c>
      <c r="G504">
        <v>42</v>
      </c>
      <c r="H504">
        <v>65</v>
      </c>
      <c r="I504" t="s">
        <v>19</v>
      </c>
      <c r="J504" t="e">
        <f>IF(Tabela4[[#This Row],[4Income]]="&lt;=50K",Tabela4[[#This Row],[4Age]],NA())</f>
        <v>#N/A</v>
      </c>
      <c r="K504" t="e">
        <f>IF(Tabela4[[#This Row],[4Income]]="&lt;=50K",Tabela4[[#This Row],[4hours-per-week]],NA())</f>
        <v>#N/A</v>
      </c>
      <c r="L504">
        <f>IF(Tabela4[[#This Row],[4Income]]="&gt;50K",Tabela4[[#This Row],[4Age]],NA())</f>
        <v>42</v>
      </c>
      <c r="M504">
        <f>IF(Tabela4[[#This Row],[4Income]]="&gt;50K",Tabela4[[#This Row],[4hours-per-week]],NA())</f>
        <v>65</v>
      </c>
    </row>
    <row r="505" spans="1:13">
      <c r="A505">
        <v>19</v>
      </c>
      <c r="B505">
        <v>40</v>
      </c>
      <c r="C505">
        <v>9</v>
      </c>
      <c r="D505">
        <v>40</v>
      </c>
      <c r="E505">
        <v>19</v>
      </c>
      <c r="F505">
        <v>9</v>
      </c>
      <c r="G505">
        <v>19</v>
      </c>
      <c r="H505">
        <v>40</v>
      </c>
      <c r="I505" t="s">
        <v>8</v>
      </c>
      <c r="J505">
        <f>IF(Tabela4[[#This Row],[4Income]]="&lt;=50K",Tabela4[[#This Row],[4Age]],NA())</f>
        <v>19</v>
      </c>
      <c r="K505">
        <f>IF(Tabela4[[#This Row],[4Income]]="&lt;=50K",Tabela4[[#This Row],[4hours-per-week]],NA())</f>
        <v>40</v>
      </c>
      <c r="L505" t="e">
        <f>IF(Tabela4[[#This Row],[4Income]]="&gt;50K",Tabela4[[#This Row],[4Age]],NA())</f>
        <v>#N/A</v>
      </c>
      <c r="M505" t="e">
        <f>IF(Tabela4[[#This Row],[4Income]]="&gt;50K",Tabela4[[#This Row],[4hours-per-week]],NA())</f>
        <v>#N/A</v>
      </c>
    </row>
    <row r="506" spans="1:13">
      <c r="A506">
        <v>31</v>
      </c>
      <c r="B506">
        <v>70</v>
      </c>
      <c r="C506">
        <v>13</v>
      </c>
      <c r="D506">
        <v>70</v>
      </c>
      <c r="E506">
        <v>31</v>
      </c>
      <c r="F506">
        <v>13</v>
      </c>
      <c r="G506">
        <v>31</v>
      </c>
      <c r="H506">
        <v>70</v>
      </c>
      <c r="I506" t="s">
        <v>19</v>
      </c>
      <c r="J506" t="e">
        <f>IF(Tabela4[[#This Row],[4Income]]="&lt;=50K",Tabela4[[#This Row],[4Age]],NA())</f>
        <v>#N/A</v>
      </c>
      <c r="K506" t="e">
        <f>IF(Tabela4[[#This Row],[4Income]]="&lt;=50K",Tabela4[[#This Row],[4hours-per-week]],NA())</f>
        <v>#N/A</v>
      </c>
      <c r="L506">
        <f>IF(Tabela4[[#This Row],[4Income]]="&gt;50K",Tabela4[[#This Row],[4Age]],NA())</f>
        <v>31</v>
      </c>
      <c r="M506">
        <f>IF(Tabela4[[#This Row],[4Income]]="&gt;50K",Tabela4[[#This Row],[4hours-per-week]],NA())</f>
        <v>70</v>
      </c>
    </row>
    <row r="507" spans="1:13">
      <c r="A507">
        <v>62</v>
      </c>
      <c r="B507">
        <v>20</v>
      </c>
      <c r="C507">
        <v>10</v>
      </c>
      <c r="D507">
        <v>20</v>
      </c>
      <c r="E507">
        <v>62</v>
      </c>
      <c r="F507">
        <v>10</v>
      </c>
      <c r="G507">
        <v>62</v>
      </c>
      <c r="H507">
        <v>20</v>
      </c>
      <c r="I507" t="s">
        <v>8</v>
      </c>
      <c r="J507">
        <f>IF(Tabela4[[#This Row],[4Income]]="&lt;=50K",Tabela4[[#This Row],[4Age]],NA())</f>
        <v>62</v>
      </c>
      <c r="K507">
        <f>IF(Tabela4[[#This Row],[4Income]]="&lt;=50K",Tabela4[[#This Row],[4hours-per-week]],NA())</f>
        <v>20</v>
      </c>
      <c r="L507" t="e">
        <f>IF(Tabela4[[#This Row],[4Income]]="&gt;50K",Tabela4[[#This Row],[4Age]],NA())</f>
        <v>#N/A</v>
      </c>
      <c r="M507" t="e">
        <f>IF(Tabela4[[#This Row],[4Income]]="&gt;50K",Tabela4[[#This Row],[4hours-per-week]],NA())</f>
        <v>#N/A</v>
      </c>
    </row>
    <row r="508" spans="1:13">
      <c r="A508">
        <v>38</v>
      </c>
      <c r="B508">
        <v>40</v>
      </c>
      <c r="C508">
        <v>10</v>
      </c>
      <c r="D508">
        <v>40</v>
      </c>
      <c r="E508">
        <v>38</v>
      </c>
      <c r="F508">
        <v>10</v>
      </c>
      <c r="G508">
        <v>38</v>
      </c>
      <c r="H508">
        <v>40</v>
      </c>
      <c r="I508" t="s">
        <v>8</v>
      </c>
      <c r="J508">
        <f>IF(Tabela4[[#This Row],[4Income]]="&lt;=50K",Tabela4[[#This Row],[4Age]],NA())</f>
        <v>38</v>
      </c>
      <c r="K508">
        <f>IF(Tabela4[[#This Row],[4Income]]="&lt;=50K",Tabela4[[#This Row],[4hours-per-week]],NA())</f>
        <v>40</v>
      </c>
      <c r="L508" t="e">
        <f>IF(Tabela4[[#This Row],[4Income]]="&gt;50K",Tabela4[[#This Row],[4Age]],NA())</f>
        <v>#N/A</v>
      </c>
      <c r="M508" t="e">
        <f>IF(Tabela4[[#This Row],[4Income]]="&gt;50K",Tabela4[[#This Row],[4hours-per-week]],NA())</f>
        <v>#N/A</v>
      </c>
    </row>
    <row r="509" spans="1:13">
      <c r="A509">
        <v>47</v>
      </c>
      <c r="B509">
        <v>60</v>
      </c>
      <c r="C509">
        <v>11</v>
      </c>
      <c r="D509">
        <v>60</v>
      </c>
      <c r="E509">
        <v>47</v>
      </c>
      <c r="F509">
        <v>11</v>
      </c>
      <c r="G509">
        <v>47</v>
      </c>
      <c r="H509">
        <v>60</v>
      </c>
      <c r="I509" t="s">
        <v>19</v>
      </c>
      <c r="J509" t="e">
        <f>IF(Tabela4[[#This Row],[4Income]]="&lt;=50K",Tabela4[[#This Row],[4Age]],NA())</f>
        <v>#N/A</v>
      </c>
      <c r="K509" t="e">
        <f>IF(Tabela4[[#This Row],[4Income]]="&lt;=50K",Tabela4[[#This Row],[4hours-per-week]],NA())</f>
        <v>#N/A</v>
      </c>
      <c r="L509">
        <f>IF(Tabela4[[#This Row],[4Income]]="&gt;50K",Tabela4[[#This Row],[4Age]],NA())</f>
        <v>47</v>
      </c>
      <c r="M509">
        <f>IF(Tabela4[[#This Row],[4Income]]="&gt;50K",Tabela4[[#This Row],[4hours-per-week]],NA())</f>
        <v>60</v>
      </c>
    </row>
    <row r="510" spans="1:13">
      <c r="A510">
        <v>37</v>
      </c>
      <c r="B510">
        <v>45</v>
      </c>
      <c r="C510">
        <v>13</v>
      </c>
      <c r="D510">
        <v>45</v>
      </c>
      <c r="E510">
        <v>37</v>
      </c>
      <c r="F510">
        <v>13</v>
      </c>
      <c r="G510">
        <v>37</v>
      </c>
      <c r="H510">
        <v>45</v>
      </c>
      <c r="I510" t="s">
        <v>19</v>
      </c>
      <c r="J510" t="e">
        <f>IF(Tabela4[[#This Row],[4Income]]="&lt;=50K",Tabela4[[#This Row],[4Age]],NA())</f>
        <v>#N/A</v>
      </c>
      <c r="K510" t="e">
        <f>IF(Tabela4[[#This Row],[4Income]]="&lt;=50K",Tabela4[[#This Row],[4hours-per-week]],NA())</f>
        <v>#N/A</v>
      </c>
      <c r="L510">
        <f>IF(Tabela4[[#This Row],[4Income]]="&gt;50K",Tabela4[[#This Row],[4Age]],NA())</f>
        <v>37</v>
      </c>
      <c r="M510">
        <f>IF(Tabela4[[#This Row],[4Income]]="&gt;50K",Tabela4[[#This Row],[4hours-per-week]],NA())</f>
        <v>45</v>
      </c>
    </row>
    <row r="511" spans="1:13">
      <c r="A511">
        <v>36</v>
      </c>
      <c r="B511">
        <v>50</v>
      </c>
      <c r="C511">
        <v>10</v>
      </c>
      <c r="D511">
        <v>50</v>
      </c>
      <c r="E511">
        <v>36</v>
      </c>
      <c r="F511">
        <v>10</v>
      </c>
      <c r="G511">
        <v>36</v>
      </c>
      <c r="H511">
        <v>50</v>
      </c>
      <c r="I511" t="s">
        <v>8</v>
      </c>
      <c r="J511">
        <f>IF(Tabela4[[#This Row],[4Income]]="&lt;=50K",Tabela4[[#This Row],[4Age]],NA())</f>
        <v>36</v>
      </c>
      <c r="K511">
        <f>IF(Tabela4[[#This Row],[4Income]]="&lt;=50K",Tabela4[[#This Row],[4hours-per-week]],NA())</f>
        <v>50</v>
      </c>
      <c r="L511" t="e">
        <f>IF(Tabela4[[#This Row],[4Income]]="&gt;50K",Tabela4[[#This Row],[4Age]],NA())</f>
        <v>#N/A</v>
      </c>
      <c r="M511" t="e">
        <f>IF(Tabela4[[#This Row],[4Income]]="&gt;50K",Tabela4[[#This Row],[4hours-per-week]],NA())</f>
        <v>#N/A</v>
      </c>
    </row>
    <row r="512" spans="1:13">
      <c r="A512">
        <v>18</v>
      </c>
      <c r="B512">
        <v>20</v>
      </c>
      <c r="C512">
        <v>9</v>
      </c>
      <c r="D512">
        <v>20</v>
      </c>
      <c r="E512">
        <v>18</v>
      </c>
      <c r="F512">
        <v>9</v>
      </c>
      <c r="G512">
        <v>18</v>
      </c>
      <c r="H512">
        <v>20</v>
      </c>
      <c r="I512" t="s">
        <v>8</v>
      </c>
      <c r="J512">
        <f>IF(Tabela4[[#This Row],[4Income]]="&lt;=50K",Tabela4[[#This Row],[4Age]],NA())</f>
        <v>18</v>
      </c>
      <c r="K512">
        <f>IF(Tabela4[[#This Row],[4Income]]="&lt;=50K",Tabela4[[#This Row],[4hours-per-week]],NA())</f>
        <v>20</v>
      </c>
      <c r="L512" t="e">
        <f>IF(Tabela4[[#This Row],[4Income]]="&gt;50K",Tabela4[[#This Row],[4Age]],NA())</f>
        <v>#N/A</v>
      </c>
      <c r="M512" t="e">
        <f>IF(Tabela4[[#This Row],[4Income]]="&gt;50K",Tabela4[[#This Row],[4hours-per-week]],NA())</f>
        <v>#N/A</v>
      </c>
    </row>
    <row r="513" spans="1:13">
      <c r="A513">
        <v>20</v>
      </c>
      <c r="B513">
        <v>40</v>
      </c>
      <c r="C513">
        <v>9</v>
      </c>
      <c r="D513">
        <v>40</v>
      </c>
      <c r="E513">
        <v>20</v>
      </c>
      <c r="F513">
        <v>9</v>
      </c>
      <c r="G513">
        <v>20</v>
      </c>
      <c r="H513">
        <v>40</v>
      </c>
      <c r="I513" t="s">
        <v>8</v>
      </c>
      <c r="J513">
        <f>IF(Tabela4[[#This Row],[4Income]]="&lt;=50K",Tabela4[[#This Row],[4Age]],NA())</f>
        <v>20</v>
      </c>
      <c r="K513">
        <f>IF(Tabela4[[#This Row],[4Income]]="&lt;=50K",Tabela4[[#This Row],[4hours-per-week]],NA())</f>
        <v>40</v>
      </c>
      <c r="L513" t="e">
        <f>IF(Tabela4[[#This Row],[4Income]]="&gt;50K",Tabela4[[#This Row],[4Age]],NA())</f>
        <v>#N/A</v>
      </c>
      <c r="M513" t="e">
        <f>IF(Tabela4[[#This Row],[4Income]]="&gt;50K",Tabela4[[#This Row],[4hours-per-week]],NA())</f>
        <v>#N/A</v>
      </c>
    </row>
    <row r="514" spans="1:13">
      <c r="A514">
        <v>45</v>
      </c>
      <c r="B514">
        <v>50</v>
      </c>
      <c r="C514">
        <v>13</v>
      </c>
      <c r="D514">
        <v>50</v>
      </c>
      <c r="E514">
        <v>45</v>
      </c>
      <c r="F514">
        <v>13</v>
      </c>
      <c r="G514">
        <v>45</v>
      </c>
      <c r="H514">
        <v>50</v>
      </c>
      <c r="I514" t="s">
        <v>8</v>
      </c>
      <c r="J514">
        <f>IF(Tabela4[[#This Row],[4Income]]="&lt;=50K",Tabela4[[#This Row],[4Age]],NA())</f>
        <v>45</v>
      </c>
      <c r="K514">
        <f>IF(Tabela4[[#This Row],[4Income]]="&lt;=50K",Tabela4[[#This Row],[4hours-per-week]],NA())</f>
        <v>50</v>
      </c>
      <c r="L514" t="e">
        <f>IF(Tabela4[[#This Row],[4Income]]="&gt;50K",Tabela4[[#This Row],[4Age]],NA())</f>
        <v>#N/A</v>
      </c>
      <c r="M514" t="e">
        <f>IF(Tabela4[[#This Row],[4Income]]="&gt;50K",Tabela4[[#This Row],[4hours-per-week]],NA())</f>
        <v>#N/A</v>
      </c>
    </row>
    <row r="515" spans="1:13">
      <c r="A515">
        <v>63</v>
      </c>
      <c r="B515">
        <v>30</v>
      </c>
      <c r="C515">
        <v>10</v>
      </c>
      <c r="D515">
        <v>30</v>
      </c>
      <c r="E515">
        <v>63</v>
      </c>
      <c r="F515">
        <v>10</v>
      </c>
      <c r="G515">
        <v>63</v>
      </c>
      <c r="H515">
        <v>30</v>
      </c>
      <c r="I515" t="s">
        <v>8</v>
      </c>
      <c r="J515">
        <f>IF(Tabela4[[#This Row],[4Income]]="&lt;=50K",Tabela4[[#This Row],[4Age]],NA())</f>
        <v>63</v>
      </c>
      <c r="K515">
        <f>IF(Tabela4[[#This Row],[4Income]]="&lt;=50K",Tabela4[[#This Row],[4hours-per-week]],NA())</f>
        <v>30</v>
      </c>
      <c r="L515" t="e">
        <f>IF(Tabela4[[#This Row],[4Income]]="&gt;50K",Tabela4[[#This Row],[4Age]],NA())</f>
        <v>#N/A</v>
      </c>
      <c r="M515" t="e">
        <f>IF(Tabela4[[#This Row],[4Income]]="&gt;50K",Tabela4[[#This Row],[4hours-per-week]],NA())</f>
        <v>#N/A</v>
      </c>
    </row>
    <row r="516" spans="1:13">
      <c r="A516">
        <v>55</v>
      </c>
      <c r="B516">
        <v>45</v>
      </c>
      <c r="C516">
        <v>6</v>
      </c>
      <c r="D516">
        <v>45</v>
      </c>
      <c r="E516">
        <v>55</v>
      </c>
      <c r="F516">
        <v>6</v>
      </c>
      <c r="G516">
        <v>55</v>
      </c>
      <c r="H516">
        <v>45</v>
      </c>
      <c r="I516" t="s">
        <v>8</v>
      </c>
      <c r="J516">
        <f>IF(Tabela4[[#This Row],[4Income]]="&lt;=50K",Tabela4[[#This Row],[4Age]],NA())</f>
        <v>55</v>
      </c>
      <c r="K516">
        <f>IF(Tabela4[[#This Row],[4Income]]="&lt;=50K",Tabela4[[#This Row],[4hours-per-week]],NA())</f>
        <v>45</v>
      </c>
      <c r="L516" t="e">
        <f>IF(Tabela4[[#This Row],[4Income]]="&gt;50K",Tabela4[[#This Row],[4Age]],NA())</f>
        <v>#N/A</v>
      </c>
      <c r="M516" t="e">
        <f>IF(Tabela4[[#This Row],[4Income]]="&gt;50K",Tabela4[[#This Row],[4hours-per-week]],NA())</f>
        <v>#N/A</v>
      </c>
    </row>
    <row r="517" spans="1:13">
      <c r="A517">
        <v>40</v>
      </c>
      <c r="B517">
        <v>75</v>
      </c>
      <c r="C517">
        <v>13</v>
      </c>
      <c r="D517">
        <v>75</v>
      </c>
      <c r="E517">
        <v>40</v>
      </c>
      <c r="F517">
        <v>13</v>
      </c>
      <c r="G517">
        <v>40</v>
      </c>
      <c r="H517">
        <v>75</v>
      </c>
      <c r="I517" t="s">
        <v>19</v>
      </c>
      <c r="J517" t="e">
        <f>IF(Tabela4[[#This Row],[4Income]]="&lt;=50K",Tabela4[[#This Row],[4Age]],NA())</f>
        <v>#N/A</v>
      </c>
      <c r="K517" t="e">
        <f>IF(Tabela4[[#This Row],[4Income]]="&lt;=50K",Tabela4[[#This Row],[4hours-per-week]],NA())</f>
        <v>#N/A</v>
      </c>
      <c r="L517">
        <f>IF(Tabela4[[#This Row],[4Income]]="&gt;50K",Tabela4[[#This Row],[4Age]],NA())</f>
        <v>40</v>
      </c>
      <c r="M517">
        <f>IF(Tabela4[[#This Row],[4Income]]="&gt;50K",Tabela4[[#This Row],[4hours-per-week]],NA())</f>
        <v>75</v>
      </c>
    </row>
    <row r="518" spans="1:13">
      <c r="A518">
        <v>33</v>
      </c>
      <c r="B518">
        <v>40</v>
      </c>
      <c r="C518">
        <v>5</v>
      </c>
      <c r="D518">
        <v>40</v>
      </c>
      <c r="E518">
        <v>33</v>
      </c>
      <c r="F518">
        <v>5</v>
      </c>
      <c r="G518">
        <v>33</v>
      </c>
      <c r="H518">
        <v>40</v>
      </c>
      <c r="I518" t="s">
        <v>8</v>
      </c>
      <c r="J518">
        <f>IF(Tabela4[[#This Row],[4Income]]="&lt;=50K",Tabela4[[#This Row],[4Age]],NA())</f>
        <v>33</v>
      </c>
      <c r="K518">
        <f>IF(Tabela4[[#This Row],[4Income]]="&lt;=50K",Tabela4[[#This Row],[4hours-per-week]],NA())</f>
        <v>40</v>
      </c>
      <c r="L518" t="e">
        <f>IF(Tabela4[[#This Row],[4Income]]="&gt;50K",Tabela4[[#This Row],[4Age]],NA())</f>
        <v>#N/A</v>
      </c>
      <c r="M518" t="e">
        <f>IF(Tabela4[[#This Row],[4Income]]="&gt;50K",Tabela4[[#This Row],[4hours-per-week]],NA())</f>
        <v>#N/A</v>
      </c>
    </row>
    <row r="519" spans="1:13">
      <c r="A519">
        <v>27</v>
      </c>
      <c r="B519">
        <v>45</v>
      </c>
      <c r="C519">
        <v>13</v>
      </c>
      <c r="D519">
        <v>45</v>
      </c>
      <c r="E519">
        <v>27</v>
      </c>
      <c r="F519">
        <v>13</v>
      </c>
      <c r="G519">
        <v>27</v>
      </c>
      <c r="H519">
        <v>45</v>
      </c>
      <c r="I519" t="s">
        <v>8</v>
      </c>
      <c r="J519">
        <f>IF(Tabela4[[#This Row],[4Income]]="&lt;=50K",Tabela4[[#This Row],[4Age]],NA())</f>
        <v>27</v>
      </c>
      <c r="K519">
        <f>IF(Tabela4[[#This Row],[4Income]]="&lt;=50K",Tabela4[[#This Row],[4hours-per-week]],NA())</f>
        <v>45</v>
      </c>
      <c r="L519" t="e">
        <f>IF(Tabela4[[#This Row],[4Income]]="&gt;50K",Tabela4[[#This Row],[4Age]],NA())</f>
        <v>#N/A</v>
      </c>
      <c r="M519" t="e">
        <f>IF(Tabela4[[#This Row],[4Income]]="&gt;50K",Tabela4[[#This Row],[4hours-per-week]],NA())</f>
        <v>#N/A</v>
      </c>
    </row>
    <row r="520" spans="1:13">
      <c r="A520">
        <v>47</v>
      </c>
      <c r="B520">
        <v>38</v>
      </c>
      <c r="C520">
        <v>9</v>
      </c>
      <c r="D520">
        <v>38</v>
      </c>
      <c r="E520">
        <v>47</v>
      </c>
      <c r="F520">
        <v>9</v>
      </c>
      <c r="G520">
        <v>47</v>
      </c>
      <c r="H520">
        <v>38</v>
      </c>
      <c r="I520" t="s">
        <v>8</v>
      </c>
      <c r="J520">
        <f>IF(Tabela4[[#This Row],[4Income]]="&lt;=50K",Tabela4[[#This Row],[4Age]],NA())</f>
        <v>47</v>
      </c>
      <c r="K520">
        <f>IF(Tabela4[[#This Row],[4Income]]="&lt;=50K",Tabela4[[#This Row],[4hours-per-week]],NA())</f>
        <v>38</v>
      </c>
      <c r="L520" t="e">
        <f>IF(Tabela4[[#This Row],[4Income]]="&gt;50K",Tabela4[[#This Row],[4Age]],NA())</f>
        <v>#N/A</v>
      </c>
      <c r="M520" t="e">
        <f>IF(Tabela4[[#This Row],[4Income]]="&gt;50K",Tabela4[[#This Row],[4hours-per-week]],NA())</f>
        <v>#N/A</v>
      </c>
    </row>
    <row r="521" spans="1:13">
      <c r="A521">
        <v>40</v>
      </c>
      <c r="B521">
        <v>40</v>
      </c>
      <c r="C521">
        <v>9</v>
      </c>
      <c r="D521">
        <v>40</v>
      </c>
      <c r="E521">
        <v>40</v>
      </c>
      <c r="F521">
        <v>9</v>
      </c>
      <c r="G521">
        <v>40</v>
      </c>
      <c r="H521">
        <v>40</v>
      </c>
      <c r="I521" t="s">
        <v>8</v>
      </c>
      <c r="J521">
        <f>IF(Tabela4[[#This Row],[4Income]]="&lt;=50K",Tabela4[[#This Row],[4Age]],NA())</f>
        <v>40</v>
      </c>
      <c r="K521">
        <f>IF(Tabela4[[#This Row],[4Income]]="&lt;=50K",Tabela4[[#This Row],[4hours-per-week]],NA())</f>
        <v>40</v>
      </c>
      <c r="L521" t="e">
        <f>IF(Tabela4[[#This Row],[4Income]]="&gt;50K",Tabela4[[#This Row],[4Age]],NA())</f>
        <v>#N/A</v>
      </c>
      <c r="M521" t="e">
        <f>IF(Tabela4[[#This Row],[4Income]]="&gt;50K",Tabela4[[#This Row],[4hours-per-week]],NA())</f>
        <v>#N/A</v>
      </c>
    </row>
    <row r="522" spans="1:13">
      <c r="A522">
        <v>54</v>
      </c>
      <c r="B522">
        <v>44</v>
      </c>
      <c r="C522">
        <v>14</v>
      </c>
      <c r="D522">
        <v>44</v>
      </c>
      <c r="E522">
        <v>54</v>
      </c>
      <c r="F522">
        <v>14</v>
      </c>
      <c r="G522">
        <v>54</v>
      </c>
      <c r="H522">
        <v>44</v>
      </c>
      <c r="I522" t="s">
        <v>19</v>
      </c>
      <c r="J522" t="e">
        <f>IF(Tabela4[[#This Row],[4Income]]="&lt;=50K",Tabela4[[#This Row],[4Age]],NA())</f>
        <v>#N/A</v>
      </c>
      <c r="K522" t="e">
        <f>IF(Tabela4[[#This Row],[4Income]]="&lt;=50K",Tabela4[[#This Row],[4hours-per-week]],NA())</f>
        <v>#N/A</v>
      </c>
      <c r="L522">
        <f>IF(Tabela4[[#This Row],[4Income]]="&gt;50K",Tabela4[[#This Row],[4Age]],NA())</f>
        <v>54</v>
      </c>
      <c r="M522">
        <f>IF(Tabela4[[#This Row],[4Income]]="&gt;50K",Tabela4[[#This Row],[4hours-per-week]],NA())</f>
        <v>44</v>
      </c>
    </row>
    <row r="523" spans="1:13">
      <c r="A523">
        <v>19</v>
      </c>
      <c r="B523">
        <v>53</v>
      </c>
      <c r="C523">
        <v>9</v>
      </c>
      <c r="D523">
        <v>53</v>
      </c>
      <c r="E523">
        <v>19</v>
      </c>
      <c r="F523">
        <v>9</v>
      </c>
      <c r="G523">
        <v>19</v>
      </c>
      <c r="H523">
        <v>53</v>
      </c>
      <c r="I523" t="s">
        <v>8</v>
      </c>
      <c r="J523">
        <f>IF(Tabela4[[#This Row],[4Income]]="&lt;=50K",Tabela4[[#This Row],[4Age]],NA())</f>
        <v>19</v>
      </c>
      <c r="K523">
        <f>IF(Tabela4[[#This Row],[4Income]]="&lt;=50K",Tabela4[[#This Row],[4hours-per-week]],NA())</f>
        <v>53</v>
      </c>
      <c r="L523" t="e">
        <f>IF(Tabela4[[#This Row],[4Income]]="&gt;50K",Tabela4[[#This Row],[4Age]],NA())</f>
        <v>#N/A</v>
      </c>
      <c r="M523" t="e">
        <f>IF(Tabela4[[#This Row],[4Income]]="&gt;50K",Tabela4[[#This Row],[4hours-per-week]],NA())</f>
        <v>#N/A</v>
      </c>
    </row>
    <row r="524" spans="1:13">
      <c r="A524">
        <v>29</v>
      </c>
      <c r="B524">
        <v>40</v>
      </c>
      <c r="C524">
        <v>9</v>
      </c>
      <c r="D524">
        <v>40</v>
      </c>
      <c r="E524">
        <v>29</v>
      </c>
      <c r="F524">
        <v>9</v>
      </c>
      <c r="G524">
        <v>29</v>
      </c>
      <c r="H524">
        <v>40</v>
      </c>
      <c r="I524" t="s">
        <v>8</v>
      </c>
      <c r="J524">
        <f>IF(Tabela4[[#This Row],[4Income]]="&lt;=50K",Tabela4[[#This Row],[4Age]],NA())</f>
        <v>29</v>
      </c>
      <c r="K524">
        <f>IF(Tabela4[[#This Row],[4Income]]="&lt;=50K",Tabela4[[#This Row],[4hours-per-week]],NA())</f>
        <v>40</v>
      </c>
      <c r="L524" t="e">
        <f>IF(Tabela4[[#This Row],[4Income]]="&gt;50K",Tabela4[[#This Row],[4Age]],NA())</f>
        <v>#N/A</v>
      </c>
      <c r="M524" t="e">
        <f>IF(Tabela4[[#This Row],[4Income]]="&gt;50K",Tabela4[[#This Row],[4hours-per-week]],NA())</f>
        <v>#N/A</v>
      </c>
    </row>
    <row r="525" spans="1:13">
      <c r="A525">
        <v>61</v>
      </c>
      <c r="B525">
        <v>20</v>
      </c>
      <c r="C525">
        <v>7</v>
      </c>
      <c r="D525">
        <v>20</v>
      </c>
      <c r="E525">
        <v>61</v>
      </c>
      <c r="F525">
        <v>7</v>
      </c>
      <c r="G525">
        <v>61</v>
      </c>
      <c r="H525">
        <v>20</v>
      </c>
      <c r="I525" t="s">
        <v>8</v>
      </c>
      <c r="J525">
        <f>IF(Tabela4[[#This Row],[4Income]]="&lt;=50K",Tabela4[[#This Row],[4Age]],NA())</f>
        <v>61</v>
      </c>
      <c r="K525">
        <f>IF(Tabela4[[#This Row],[4Income]]="&lt;=50K",Tabela4[[#This Row],[4hours-per-week]],NA())</f>
        <v>20</v>
      </c>
      <c r="L525" t="e">
        <f>IF(Tabela4[[#This Row],[4Income]]="&gt;50K",Tabela4[[#This Row],[4Age]],NA())</f>
        <v>#N/A</v>
      </c>
      <c r="M525" t="e">
        <f>IF(Tabela4[[#This Row],[4Income]]="&gt;50K",Tabela4[[#This Row],[4hours-per-week]],NA())</f>
        <v>#N/A</v>
      </c>
    </row>
    <row r="526" spans="1:13">
      <c r="A526">
        <v>22</v>
      </c>
      <c r="B526">
        <v>40</v>
      </c>
      <c r="C526">
        <v>12</v>
      </c>
      <c r="D526">
        <v>40</v>
      </c>
      <c r="E526">
        <v>22</v>
      </c>
      <c r="F526">
        <v>12</v>
      </c>
      <c r="G526">
        <v>22</v>
      </c>
      <c r="H526">
        <v>40</v>
      </c>
      <c r="I526" t="s">
        <v>19</v>
      </c>
      <c r="J526" t="e">
        <f>IF(Tabela4[[#This Row],[4Income]]="&lt;=50K",Tabela4[[#This Row],[4Age]],NA())</f>
        <v>#N/A</v>
      </c>
      <c r="K526" t="e">
        <f>IF(Tabela4[[#This Row],[4Income]]="&lt;=50K",Tabela4[[#This Row],[4hours-per-week]],NA())</f>
        <v>#N/A</v>
      </c>
      <c r="L526">
        <f>IF(Tabela4[[#This Row],[4Income]]="&gt;50K",Tabela4[[#This Row],[4Age]],NA())</f>
        <v>22</v>
      </c>
      <c r="M526">
        <f>IF(Tabela4[[#This Row],[4Income]]="&gt;50K",Tabela4[[#This Row],[4hours-per-week]],NA())</f>
        <v>40</v>
      </c>
    </row>
    <row r="527" spans="1:13">
      <c r="A527">
        <v>19</v>
      </c>
      <c r="B527">
        <v>20</v>
      </c>
      <c r="C527">
        <v>10</v>
      </c>
      <c r="D527">
        <v>20</v>
      </c>
      <c r="E527">
        <v>19</v>
      </c>
      <c r="F527">
        <v>10</v>
      </c>
      <c r="G527">
        <v>19</v>
      </c>
      <c r="H527">
        <v>20</v>
      </c>
      <c r="I527" t="s">
        <v>8</v>
      </c>
      <c r="J527">
        <f>IF(Tabela4[[#This Row],[4Income]]="&lt;=50K",Tabela4[[#This Row],[4Age]],NA())</f>
        <v>19</v>
      </c>
      <c r="K527">
        <f>IF(Tabela4[[#This Row],[4Income]]="&lt;=50K",Tabela4[[#This Row],[4hours-per-week]],NA())</f>
        <v>20</v>
      </c>
      <c r="L527" t="e">
        <f>IF(Tabela4[[#This Row],[4Income]]="&gt;50K",Tabela4[[#This Row],[4Age]],NA())</f>
        <v>#N/A</v>
      </c>
      <c r="M527" t="e">
        <f>IF(Tabela4[[#This Row],[4Income]]="&gt;50K",Tabela4[[#This Row],[4hours-per-week]],NA())</f>
        <v>#N/A</v>
      </c>
    </row>
    <row r="528" spans="1:13">
      <c r="A528">
        <v>40</v>
      </c>
      <c r="B528">
        <v>40</v>
      </c>
      <c r="C528">
        <v>13</v>
      </c>
      <c r="D528">
        <v>40</v>
      </c>
      <c r="E528">
        <v>40</v>
      </c>
      <c r="F528">
        <v>13</v>
      </c>
      <c r="G528">
        <v>40</v>
      </c>
      <c r="H528">
        <v>40</v>
      </c>
      <c r="I528" t="s">
        <v>8</v>
      </c>
      <c r="J528">
        <f>IF(Tabela4[[#This Row],[4Income]]="&lt;=50K",Tabela4[[#This Row],[4Age]],NA())</f>
        <v>40</v>
      </c>
      <c r="K528">
        <f>IF(Tabela4[[#This Row],[4Income]]="&lt;=50K",Tabela4[[#This Row],[4hours-per-week]],NA())</f>
        <v>40</v>
      </c>
      <c r="L528" t="e">
        <f>IF(Tabela4[[#This Row],[4Income]]="&gt;50K",Tabela4[[#This Row],[4Age]],NA())</f>
        <v>#N/A</v>
      </c>
      <c r="M528" t="e">
        <f>IF(Tabela4[[#This Row],[4Income]]="&gt;50K",Tabela4[[#This Row],[4hours-per-week]],NA())</f>
        <v>#N/A</v>
      </c>
    </row>
    <row r="529" spans="1:13">
      <c r="A529">
        <v>62</v>
      </c>
      <c r="B529">
        <v>24</v>
      </c>
      <c r="C529">
        <v>5</v>
      </c>
      <c r="D529">
        <v>24</v>
      </c>
      <c r="E529">
        <v>62</v>
      </c>
      <c r="F529">
        <v>5</v>
      </c>
      <c r="G529">
        <v>62</v>
      </c>
      <c r="H529">
        <v>24</v>
      </c>
      <c r="I529" t="s">
        <v>8</v>
      </c>
      <c r="J529">
        <f>IF(Tabela4[[#This Row],[4Income]]="&lt;=50K",Tabela4[[#This Row],[4Age]],NA())</f>
        <v>62</v>
      </c>
      <c r="K529">
        <f>IF(Tabela4[[#This Row],[4Income]]="&lt;=50K",Tabela4[[#This Row],[4hours-per-week]],NA())</f>
        <v>24</v>
      </c>
      <c r="L529" t="e">
        <f>IF(Tabela4[[#This Row],[4Income]]="&gt;50K",Tabela4[[#This Row],[4Age]],NA())</f>
        <v>#N/A</v>
      </c>
      <c r="M529" t="e">
        <f>IF(Tabela4[[#This Row],[4Income]]="&gt;50K",Tabela4[[#This Row],[4hours-per-week]],NA())</f>
        <v>#N/A</v>
      </c>
    </row>
    <row r="530" spans="1:13">
      <c r="A530">
        <v>42</v>
      </c>
      <c r="B530">
        <v>40</v>
      </c>
      <c r="C530">
        <v>10</v>
      </c>
      <c r="D530">
        <v>40</v>
      </c>
      <c r="E530">
        <v>42</v>
      </c>
      <c r="F530">
        <v>10</v>
      </c>
      <c r="G530">
        <v>42</v>
      </c>
      <c r="H530">
        <v>40</v>
      </c>
      <c r="I530" t="s">
        <v>8</v>
      </c>
      <c r="J530">
        <f>IF(Tabela4[[#This Row],[4Income]]="&lt;=50K",Tabela4[[#This Row],[4Age]],NA())</f>
        <v>42</v>
      </c>
      <c r="K530">
        <f>IF(Tabela4[[#This Row],[4Income]]="&lt;=50K",Tabela4[[#This Row],[4hours-per-week]],NA())</f>
        <v>40</v>
      </c>
      <c r="L530" t="e">
        <f>IF(Tabela4[[#This Row],[4Income]]="&gt;50K",Tabela4[[#This Row],[4Age]],NA())</f>
        <v>#N/A</v>
      </c>
      <c r="M530" t="e">
        <f>IF(Tabela4[[#This Row],[4Income]]="&gt;50K",Tabela4[[#This Row],[4hours-per-week]],NA())</f>
        <v>#N/A</v>
      </c>
    </row>
    <row r="531" spans="1:13">
      <c r="A531">
        <v>30</v>
      </c>
      <c r="B531">
        <v>40</v>
      </c>
      <c r="C531">
        <v>9</v>
      </c>
      <c r="D531">
        <v>40</v>
      </c>
      <c r="E531">
        <v>30</v>
      </c>
      <c r="F531">
        <v>9</v>
      </c>
      <c r="G531">
        <v>30</v>
      </c>
      <c r="H531">
        <v>40</v>
      </c>
      <c r="I531" t="s">
        <v>8</v>
      </c>
      <c r="J531">
        <f>IF(Tabela4[[#This Row],[4Income]]="&lt;=50K",Tabela4[[#This Row],[4Age]],NA())</f>
        <v>30</v>
      </c>
      <c r="K531">
        <f>IF(Tabela4[[#This Row],[4Income]]="&lt;=50K",Tabela4[[#This Row],[4hours-per-week]],NA())</f>
        <v>40</v>
      </c>
      <c r="L531" t="e">
        <f>IF(Tabela4[[#This Row],[4Income]]="&gt;50K",Tabela4[[#This Row],[4Age]],NA())</f>
        <v>#N/A</v>
      </c>
      <c r="M531" t="e">
        <f>IF(Tabela4[[#This Row],[4Income]]="&gt;50K",Tabela4[[#This Row],[4hours-per-week]],NA())</f>
        <v>#N/A</v>
      </c>
    </row>
    <row r="532" spans="1:13">
      <c r="A532">
        <v>65</v>
      </c>
      <c r="B532">
        <v>50</v>
      </c>
      <c r="C532">
        <v>14</v>
      </c>
      <c r="D532">
        <v>50</v>
      </c>
      <c r="E532">
        <v>65</v>
      </c>
      <c r="F532">
        <v>14</v>
      </c>
      <c r="G532">
        <v>65</v>
      </c>
      <c r="H532">
        <v>50</v>
      </c>
      <c r="I532" t="s">
        <v>19</v>
      </c>
      <c r="J532" t="e">
        <f>IF(Tabela4[[#This Row],[4Income]]="&lt;=50K",Tabela4[[#This Row],[4Age]],NA())</f>
        <v>#N/A</v>
      </c>
      <c r="K532" t="e">
        <f>IF(Tabela4[[#This Row],[4Income]]="&lt;=50K",Tabela4[[#This Row],[4hours-per-week]],NA())</f>
        <v>#N/A</v>
      </c>
      <c r="L532">
        <f>IF(Tabela4[[#This Row],[4Income]]="&gt;50K",Tabela4[[#This Row],[4Age]],NA())</f>
        <v>65</v>
      </c>
      <c r="M532">
        <f>IF(Tabela4[[#This Row],[4Income]]="&gt;50K",Tabela4[[#This Row],[4hours-per-week]],NA())</f>
        <v>50</v>
      </c>
    </row>
    <row r="533" spans="1:13">
      <c r="A533">
        <v>41</v>
      </c>
      <c r="B533">
        <v>40</v>
      </c>
      <c r="C533">
        <v>13</v>
      </c>
      <c r="D533">
        <v>40</v>
      </c>
      <c r="E533">
        <v>41</v>
      </c>
      <c r="F533">
        <v>13</v>
      </c>
      <c r="G533">
        <v>41</v>
      </c>
      <c r="H533">
        <v>40</v>
      </c>
      <c r="I533" t="s">
        <v>8</v>
      </c>
      <c r="J533">
        <f>IF(Tabela4[[#This Row],[4Income]]="&lt;=50K",Tabela4[[#This Row],[4Age]],NA())</f>
        <v>41</v>
      </c>
      <c r="K533">
        <f>IF(Tabela4[[#This Row],[4Income]]="&lt;=50K",Tabela4[[#This Row],[4hours-per-week]],NA())</f>
        <v>40</v>
      </c>
      <c r="L533" t="e">
        <f>IF(Tabela4[[#This Row],[4Income]]="&gt;50K",Tabela4[[#This Row],[4Age]],NA())</f>
        <v>#N/A</v>
      </c>
      <c r="M533" t="e">
        <f>IF(Tabela4[[#This Row],[4Income]]="&gt;50K",Tabela4[[#This Row],[4hours-per-week]],NA())</f>
        <v>#N/A</v>
      </c>
    </row>
    <row r="534" spans="1:13">
      <c r="A534">
        <v>28</v>
      </c>
      <c r="B534">
        <v>40</v>
      </c>
      <c r="C534">
        <v>9</v>
      </c>
      <c r="D534">
        <v>40</v>
      </c>
      <c r="E534">
        <v>28</v>
      </c>
      <c r="F534">
        <v>9</v>
      </c>
      <c r="G534">
        <v>28</v>
      </c>
      <c r="H534">
        <v>40</v>
      </c>
      <c r="I534" t="s">
        <v>8</v>
      </c>
      <c r="J534">
        <f>IF(Tabela4[[#This Row],[4Income]]="&lt;=50K",Tabela4[[#This Row],[4Age]],NA())</f>
        <v>28</v>
      </c>
      <c r="K534">
        <f>IF(Tabela4[[#This Row],[4Income]]="&lt;=50K",Tabela4[[#This Row],[4hours-per-week]],NA())</f>
        <v>40</v>
      </c>
      <c r="L534" t="e">
        <f>IF(Tabela4[[#This Row],[4Income]]="&gt;50K",Tabela4[[#This Row],[4Age]],NA())</f>
        <v>#N/A</v>
      </c>
      <c r="M534" t="e">
        <f>IF(Tabela4[[#This Row],[4Income]]="&gt;50K",Tabela4[[#This Row],[4hours-per-week]],NA())</f>
        <v>#N/A</v>
      </c>
    </row>
    <row r="535" spans="1:13">
      <c r="A535">
        <v>26</v>
      </c>
      <c r="B535">
        <v>20</v>
      </c>
      <c r="C535">
        <v>14</v>
      </c>
      <c r="D535">
        <v>20</v>
      </c>
      <c r="E535">
        <v>26</v>
      </c>
      <c r="F535">
        <v>14</v>
      </c>
      <c r="G535">
        <v>26</v>
      </c>
      <c r="H535">
        <v>20</v>
      </c>
      <c r="I535" t="s">
        <v>8</v>
      </c>
      <c r="J535">
        <f>IF(Tabela4[[#This Row],[4Income]]="&lt;=50K",Tabela4[[#This Row],[4Age]],NA())</f>
        <v>26</v>
      </c>
      <c r="K535">
        <f>IF(Tabela4[[#This Row],[4Income]]="&lt;=50K",Tabela4[[#This Row],[4hours-per-week]],NA())</f>
        <v>20</v>
      </c>
      <c r="L535" t="e">
        <f>IF(Tabela4[[#This Row],[4Income]]="&gt;50K",Tabela4[[#This Row],[4Age]],NA())</f>
        <v>#N/A</v>
      </c>
      <c r="M535" t="e">
        <f>IF(Tabela4[[#This Row],[4Income]]="&gt;50K",Tabela4[[#This Row],[4hours-per-week]],NA())</f>
        <v>#N/A</v>
      </c>
    </row>
    <row r="536" spans="1:13">
      <c r="A536">
        <v>23</v>
      </c>
      <c r="B536">
        <v>40</v>
      </c>
      <c r="C536">
        <v>10</v>
      </c>
      <c r="D536">
        <v>40</v>
      </c>
      <c r="E536">
        <v>23</v>
      </c>
      <c r="F536">
        <v>10</v>
      </c>
      <c r="G536">
        <v>23</v>
      </c>
      <c r="H536">
        <v>40</v>
      </c>
      <c r="I536" t="s">
        <v>8</v>
      </c>
      <c r="J536">
        <f>IF(Tabela4[[#This Row],[4Income]]="&lt;=50K",Tabela4[[#This Row],[4Age]],NA())</f>
        <v>23</v>
      </c>
      <c r="K536">
        <f>IF(Tabela4[[#This Row],[4Income]]="&lt;=50K",Tabela4[[#This Row],[4hours-per-week]],NA())</f>
        <v>40</v>
      </c>
      <c r="L536" t="e">
        <f>IF(Tabela4[[#This Row],[4Income]]="&gt;50K",Tabela4[[#This Row],[4Age]],NA())</f>
        <v>#N/A</v>
      </c>
      <c r="M536" t="e">
        <f>IF(Tabela4[[#This Row],[4Income]]="&gt;50K",Tabela4[[#This Row],[4hours-per-week]],NA())</f>
        <v>#N/A</v>
      </c>
    </row>
    <row r="537" spans="1:13">
      <c r="A537">
        <v>45</v>
      </c>
      <c r="B537">
        <v>84</v>
      </c>
      <c r="C537">
        <v>10</v>
      </c>
      <c r="D537">
        <v>84</v>
      </c>
      <c r="E537">
        <v>45</v>
      </c>
      <c r="F537">
        <v>10</v>
      </c>
      <c r="G537">
        <v>45</v>
      </c>
      <c r="H537">
        <v>84</v>
      </c>
      <c r="I537" t="s">
        <v>19</v>
      </c>
      <c r="J537" t="e">
        <f>IF(Tabela4[[#This Row],[4Income]]="&lt;=50K",Tabela4[[#This Row],[4Age]],NA())</f>
        <v>#N/A</v>
      </c>
      <c r="K537" t="e">
        <f>IF(Tabela4[[#This Row],[4Income]]="&lt;=50K",Tabela4[[#This Row],[4hours-per-week]],NA())</f>
        <v>#N/A</v>
      </c>
      <c r="L537">
        <f>IF(Tabela4[[#This Row],[4Income]]="&gt;50K",Tabela4[[#This Row],[4Age]],NA())</f>
        <v>45</v>
      </c>
      <c r="M537">
        <f>IF(Tabela4[[#This Row],[4Income]]="&gt;50K",Tabela4[[#This Row],[4hours-per-week]],NA())</f>
        <v>84</v>
      </c>
    </row>
    <row r="538" spans="1:13">
      <c r="A538">
        <v>61</v>
      </c>
      <c r="B538">
        <v>40</v>
      </c>
      <c r="C538">
        <v>10</v>
      </c>
      <c r="D538">
        <v>40</v>
      </c>
      <c r="E538">
        <v>61</v>
      </c>
      <c r="F538">
        <v>10</v>
      </c>
      <c r="G538">
        <v>61</v>
      </c>
      <c r="H538">
        <v>40</v>
      </c>
      <c r="I538" t="s">
        <v>19</v>
      </c>
      <c r="J538" t="e">
        <f>IF(Tabela4[[#This Row],[4Income]]="&lt;=50K",Tabela4[[#This Row],[4Age]],NA())</f>
        <v>#N/A</v>
      </c>
      <c r="K538" t="e">
        <f>IF(Tabela4[[#This Row],[4Income]]="&lt;=50K",Tabela4[[#This Row],[4hours-per-week]],NA())</f>
        <v>#N/A</v>
      </c>
      <c r="L538">
        <f>IF(Tabela4[[#This Row],[4Income]]="&gt;50K",Tabela4[[#This Row],[4Age]],NA())</f>
        <v>61</v>
      </c>
      <c r="M538">
        <f>IF(Tabela4[[#This Row],[4Income]]="&gt;50K",Tabela4[[#This Row],[4hours-per-week]],NA())</f>
        <v>40</v>
      </c>
    </row>
    <row r="539" spans="1:13">
      <c r="A539">
        <v>76</v>
      </c>
      <c r="B539">
        <v>30</v>
      </c>
      <c r="C539">
        <v>4</v>
      </c>
      <c r="D539">
        <v>30</v>
      </c>
      <c r="E539">
        <v>76</v>
      </c>
      <c r="F539">
        <v>4</v>
      </c>
      <c r="G539">
        <v>76</v>
      </c>
      <c r="H539">
        <v>30</v>
      </c>
      <c r="I539" t="s">
        <v>8</v>
      </c>
      <c r="J539">
        <f>IF(Tabela4[[#This Row],[4Income]]="&lt;=50K",Tabela4[[#This Row],[4Age]],NA())</f>
        <v>76</v>
      </c>
      <c r="K539">
        <f>IF(Tabela4[[#This Row],[4Income]]="&lt;=50K",Tabela4[[#This Row],[4hours-per-week]],NA())</f>
        <v>30</v>
      </c>
      <c r="L539" t="e">
        <f>IF(Tabela4[[#This Row],[4Income]]="&gt;50K",Tabela4[[#This Row],[4Age]],NA())</f>
        <v>#N/A</v>
      </c>
      <c r="M539" t="e">
        <f>IF(Tabela4[[#This Row],[4Income]]="&gt;50K",Tabela4[[#This Row],[4hours-per-week]],NA())</f>
        <v>#N/A</v>
      </c>
    </row>
    <row r="540" spans="1:13">
      <c r="A540">
        <v>60</v>
      </c>
      <c r="B540">
        <v>50</v>
      </c>
      <c r="C540">
        <v>10</v>
      </c>
      <c r="D540">
        <v>50</v>
      </c>
      <c r="E540">
        <v>60</v>
      </c>
      <c r="F540">
        <v>10</v>
      </c>
      <c r="G540">
        <v>60</v>
      </c>
      <c r="H540">
        <v>50</v>
      </c>
      <c r="I540" t="s">
        <v>19</v>
      </c>
      <c r="J540" t="e">
        <f>IF(Tabela4[[#This Row],[4Income]]="&lt;=50K",Tabela4[[#This Row],[4Age]],NA())</f>
        <v>#N/A</v>
      </c>
      <c r="K540" t="e">
        <f>IF(Tabela4[[#This Row],[4Income]]="&lt;=50K",Tabela4[[#This Row],[4hours-per-week]],NA())</f>
        <v>#N/A</v>
      </c>
      <c r="L540">
        <f>IF(Tabela4[[#This Row],[4Income]]="&gt;50K",Tabela4[[#This Row],[4Age]],NA())</f>
        <v>60</v>
      </c>
      <c r="M540">
        <f>IF(Tabela4[[#This Row],[4Income]]="&gt;50K",Tabela4[[#This Row],[4hours-per-week]],NA())</f>
        <v>50</v>
      </c>
    </row>
    <row r="541" spans="1:13">
      <c r="A541">
        <v>33</v>
      </c>
      <c r="B541">
        <v>45</v>
      </c>
      <c r="C541">
        <v>10</v>
      </c>
      <c r="D541">
        <v>45</v>
      </c>
      <c r="E541">
        <v>33</v>
      </c>
      <c r="F541">
        <v>10</v>
      </c>
      <c r="G541">
        <v>33</v>
      </c>
      <c r="H541">
        <v>45</v>
      </c>
      <c r="I541" t="s">
        <v>8</v>
      </c>
      <c r="J541">
        <f>IF(Tabela4[[#This Row],[4Income]]="&lt;=50K",Tabela4[[#This Row],[4Age]],NA())</f>
        <v>33</v>
      </c>
      <c r="K541">
        <f>IF(Tabela4[[#This Row],[4Income]]="&lt;=50K",Tabela4[[#This Row],[4hours-per-week]],NA())</f>
        <v>45</v>
      </c>
      <c r="L541" t="e">
        <f>IF(Tabela4[[#This Row],[4Income]]="&gt;50K",Tabela4[[#This Row],[4Age]],NA())</f>
        <v>#N/A</v>
      </c>
      <c r="M541" t="e">
        <f>IF(Tabela4[[#This Row],[4Income]]="&gt;50K",Tabela4[[#This Row],[4hours-per-week]],NA())</f>
        <v>#N/A</v>
      </c>
    </row>
    <row r="542" spans="1:13">
      <c r="A542">
        <v>35</v>
      </c>
      <c r="B542">
        <v>36</v>
      </c>
      <c r="C542">
        <v>7</v>
      </c>
      <c r="D542">
        <v>36</v>
      </c>
      <c r="E542">
        <v>35</v>
      </c>
      <c r="F542">
        <v>7</v>
      </c>
      <c r="G542">
        <v>35</v>
      </c>
      <c r="H542">
        <v>36</v>
      </c>
      <c r="I542" t="s">
        <v>8</v>
      </c>
      <c r="J542">
        <f>IF(Tabela4[[#This Row],[4Income]]="&lt;=50K",Tabela4[[#This Row],[4Age]],NA())</f>
        <v>35</v>
      </c>
      <c r="K542">
        <f>IF(Tabela4[[#This Row],[4Income]]="&lt;=50K",Tabela4[[#This Row],[4hours-per-week]],NA())</f>
        <v>36</v>
      </c>
      <c r="L542" t="e">
        <f>IF(Tabela4[[#This Row],[4Income]]="&gt;50K",Tabela4[[#This Row],[4Age]],NA())</f>
        <v>#N/A</v>
      </c>
      <c r="M542" t="e">
        <f>IF(Tabela4[[#This Row],[4Income]]="&gt;50K",Tabela4[[#This Row],[4hours-per-week]],NA())</f>
        <v>#N/A</v>
      </c>
    </row>
    <row r="543" spans="1:13">
      <c r="A543">
        <v>23</v>
      </c>
      <c r="B543">
        <v>40</v>
      </c>
      <c r="C543">
        <v>13</v>
      </c>
      <c r="D543">
        <v>40</v>
      </c>
      <c r="E543">
        <v>23</v>
      </c>
      <c r="F543">
        <v>13</v>
      </c>
      <c r="G543">
        <v>23</v>
      </c>
      <c r="H543">
        <v>40</v>
      </c>
      <c r="I543" t="s">
        <v>8</v>
      </c>
      <c r="J543">
        <f>IF(Tabela4[[#This Row],[4Income]]="&lt;=50K",Tabela4[[#This Row],[4Age]],NA())</f>
        <v>23</v>
      </c>
      <c r="K543">
        <f>IF(Tabela4[[#This Row],[4Income]]="&lt;=50K",Tabela4[[#This Row],[4hours-per-week]],NA())</f>
        <v>40</v>
      </c>
      <c r="L543" t="e">
        <f>IF(Tabela4[[#This Row],[4Income]]="&gt;50K",Tabela4[[#This Row],[4Age]],NA())</f>
        <v>#N/A</v>
      </c>
      <c r="M543" t="e">
        <f>IF(Tabela4[[#This Row],[4Income]]="&gt;50K",Tabela4[[#This Row],[4hours-per-week]],NA())</f>
        <v>#N/A</v>
      </c>
    </row>
    <row r="544" spans="1:13">
      <c r="A544">
        <v>36</v>
      </c>
      <c r="B544">
        <v>50</v>
      </c>
      <c r="C544">
        <v>9</v>
      </c>
      <c r="D544">
        <v>50</v>
      </c>
      <c r="E544">
        <v>36</v>
      </c>
      <c r="F544">
        <v>9</v>
      </c>
      <c r="G544">
        <v>36</v>
      </c>
      <c r="H544">
        <v>50</v>
      </c>
      <c r="I544" t="s">
        <v>8</v>
      </c>
      <c r="J544">
        <f>IF(Tabela4[[#This Row],[4Income]]="&lt;=50K",Tabela4[[#This Row],[4Age]],NA())</f>
        <v>36</v>
      </c>
      <c r="K544">
        <f>IF(Tabela4[[#This Row],[4Income]]="&lt;=50K",Tabela4[[#This Row],[4hours-per-week]],NA())</f>
        <v>50</v>
      </c>
      <c r="L544" t="e">
        <f>IF(Tabela4[[#This Row],[4Income]]="&gt;50K",Tabela4[[#This Row],[4Age]],NA())</f>
        <v>#N/A</v>
      </c>
      <c r="M544" t="e">
        <f>IF(Tabela4[[#This Row],[4Income]]="&gt;50K",Tabela4[[#This Row],[4hours-per-week]],NA())</f>
        <v>#N/A</v>
      </c>
    </row>
    <row r="545" spans="1:13">
      <c r="A545">
        <v>33</v>
      </c>
      <c r="B545">
        <v>40</v>
      </c>
      <c r="C545">
        <v>9</v>
      </c>
      <c r="D545">
        <v>40</v>
      </c>
      <c r="E545">
        <v>33</v>
      </c>
      <c r="F545">
        <v>9</v>
      </c>
      <c r="G545">
        <v>33</v>
      </c>
      <c r="H545">
        <v>40</v>
      </c>
      <c r="I545" t="s">
        <v>8</v>
      </c>
      <c r="J545">
        <f>IF(Tabela4[[#This Row],[4Income]]="&lt;=50K",Tabela4[[#This Row],[4Age]],NA())</f>
        <v>33</v>
      </c>
      <c r="K545">
        <f>IF(Tabela4[[#This Row],[4Income]]="&lt;=50K",Tabela4[[#This Row],[4hours-per-week]],NA())</f>
        <v>40</v>
      </c>
      <c r="L545" t="e">
        <f>IF(Tabela4[[#This Row],[4Income]]="&gt;50K",Tabela4[[#This Row],[4Age]],NA())</f>
        <v>#N/A</v>
      </c>
      <c r="M545" t="e">
        <f>IF(Tabela4[[#This Row],[4Income]]="&gt;50K",Tabela4[[#This Row],[4hours-per-week]],NA())</f>
        <v>#N/A</v>
      </c>
    </row>
    <row r="546" spans="1:13">
      <c r="A546">
        <v>36</v>
      </c>
      <c r="B546">
        <v>60</v>
      </c>
      <c r="C546">
        <v>9</v>
      </c>
      <c r="D546">
        <v>60</v>
      </c>
      <c r="E546">
        <v>36</v>
      </c>
      <c r="F546">
        <v>9</v>
      </c>
      <c r="G546">
        <v>36</v>
      </c>
      <c r="H546">
        <v>60</v>
      </c>
      <c r="I546" t="s">
        <v>19</v>
      </c>
      <c r="J546" t="e">
        <f>IF(Tabela4[[#This Row],[4Income]]="&lt;=50K",Tabela4[[#This Row],[4Age]],NA())</f>
        <v>#N/A</v>
      </c>
      <c r="K546" t="e">
        <f>IF(Tabela4[[#This Row],[4Income]]="&lt;=50K",Tabela4[[#This Row],[4hours-per-week]],NA())</f>
        <v>#N/A</v>
      </c>
      <c r="L546">
        <f>IF(Tabela4[[#This Row],[4Income]]="&gt;50K",Tabela4[[#This Row],[4Age]],NA())</f>
        <v>36</v>
      </c>
      <c r="M546">
        <f>IF(Tabela4[[#This Row],[4Income]]="&gt;50K",Tabela4[[#This Row],[4hours-per-week]],NA())</f>
        <v>60</v>
      </c>
    </row>
    <row r="547" spans="1:13">
      <c r="A547">
        <v>51</v>
      </c>
      <c r="B547">
        <v>30</v>
      </c>
      <c r="C547">
        <v>12</v>
      </c>
      <c r="D547">
        <v>30</v>
      </c>
      <c r="E547">
        <v>51</v>
      </c>
      <c r="F547">
        <v>12</v>
      </c>
      <c r="G547">
        <v>51</v>
      </c>
      <c r="H547">
        <v>30</v>
      </c>
      <c r="I547" t="s">
        <v>8</v>
      </c>
      <c r="J547">
        <f>IF(Tabela4[[#This Row],[4Income]]="&lt;=50K",Tabela4[[#This Row],[4Age]],NA())</f>
        <v>51</v>
      </c>
      <c r="K547">
        <f>IF(Tabela4[[#This Row],[4Income]]="&lt;=50K",Tabela4[[#This Row],[4hours-per-week]],NA())</f>
        <v>30</v>
      </c>
      <c r="L547" t="e">
        <f>IF(Tabela4[[#This Row],[4Income]]="&gt;50K",Tabela4[[#This Row],[4Age]],NA())</f>
        <v>#N/A</v>
      </c>
      <c r="M547" t="e">
        <f>IF(Tabela4[[#This Row],[4Income]]="&gt;50K",Tabela4[[#This Row],[4hours-per-week]],NA())</f>
        <v>#N/A</v>
      </c>
    </row>
    <row r="548" spans="1:13">
      <c r="A548">
        <v>27</v>
      </c>
      <c r="B548">
        <v>60</v>
      </c>
      <c r="C548">
        <v>13</v>
      </c>
      <c r="D548">
        <v>60</v>
      </c>
      <c r="E548">
        <v>27</v>
      </c>
      <c r="F548">
        <v>13</v>
      </c>
      <c r="G548">
        <v>27</v>
      </c>
      <c r="H548">
        <v>60</v>
      </c>
      <c r="I548" t="s">
        <v>8</v>
      </c>
      <c r="J548">
        <f>IF(Tabela4[[#This Row],[4Income]]="&lt;=50K",Tabela4[[#This Row],[4Age]],NA())</f>
        <v>27</v>
      </c>
      <c r="K548">
        <f>IF(Tabela4[[#This Row],[4Income]]="&lt;=50K",Tabela4[[#This Row],[4hours-per-week]],NA())</f>
        <v>60</v>
      </c>
      <c r="L548" t="e">
        <f>IF(Tabela4[[#This Row],[4Income]]="&gt;50K",Tabela4[[#This Row],[4Age]],NA())</f>
        <v>#N/A</v>
      </c>
      <c r="M548" t="e">
        <f>IF(Tabela4[[#This Row],[4Income]]="&gt;50K",Tabela4[[#This Row],[4hours-per-week]],NA())</f>
        <v>#N/A</v>
      </c>
    </row>
    <row r="549" spans="1:13">
      <c r="A549">
        <v>47</v>
      </c>
      <c r="B549">
        <v>33</v>
      </c>
      <c r="C549">
        <v>10</v>
      </c>
      <c r="D549">
        <v>33</v>
      </c>
      <c r="E549">
        <v>47</v>
      </c>
      <c r="F549">
        <v>10</v>
      </c>
      <c r="G549">
        <v>47</v>
      </c>
      <c r="H549">
        <v>33</v>
      </c>
      <c r="I549" t="s">
        <v>8</v>
      </c>
      <c r="J549">
        <f>IF(Tabela4[[#This Row],[4Income]]="&lt;=50K",Tabela4[[#This Row],[4Age]],NA())</f>
        <v>47</v>
      </c>
      <c r="K549">
        <f>IF(Tabela4[[#This Row],[4Income]]="&lt;=50K",Tabela4[[#This Row],[4hours-per-week]],NA())</f>
        <v>33</v>
      </c>
      <c r="L549" t="e">
        <f>IF(Tabela4[[#This Row],[4Income]]="&gt;50K",Tabela4[[#This Row],[4Age]],NA())</f>
        <v>#N/A</v>
      </c>
      <c r="M549" t="e">
        <f>IF(Tabela4[[#This Row],[4Income]]="&gt;50K",Tabela4[[#This Row],[4hours-per-week]],NA())</f>
        <v>#N/A</v>
      </c>
    </row>
    <row r="550" spans="1:13">
      <c r="A550">
        <v>26</v>
      </c>
      <c r="B550">
        <v>45</v>
      </c>
      <c r="C550">
        <v>9</v>
      </c>
      <c r="D550">
        <v>45</v>
      </c>
      <c r="E550">
        <v>26</v>
      </c>
      <c r="F550">
        <v>9</v>
      </c>
      <c r="G550">
        <v>26</v>
      </c>
      <c r="H550">
        <v>45</v>
      </c>
      <c r="I550" t="s">
        <v>8</v>
      </c>
      <c r="J550">
        <f>IF(Tabela4[[#This Row],[4Income]]="&lt;=50K",Tabela4[[#This Row],[4Age]],NA())</f>
        <v>26</v>
      </c>
      <c r="K550">
        <f>IF(Tabela4[[#This Row],[4Income]]="&lt;=50K",Tabela4[[#This Row],[4hours-per-week]],NA())</f>
        <v>45</v>
      </c>
      <c r="L550" t="e">
        <f>IF(Tabela4[[#This Row],[4Income]]="&gt;50K",Tabela4[[#This Row],[4Age]],NA())</f>
        <v>#N/A</v>
      </c>
      <c r="M550" t="e">
        <f>IF(Tabela4[[#This Row],[4Income]]="&gt;50K",Tabela4[[#This Row],[4hours-per-week]],NA())</f>
        <v>#N/A</v>
      </c>
    </row>
    <row r="551" spans="1:13">
      <c r="A551">
        <v>49</v>
      </c>
      <c r="B551">
        <v>40</v>
      </c>
      <c r="C551">
        <v>9</v>
      </c>
      <c r="D551">
        <v>40</v>
      </c>
      <c r="E551">
        <v>49</v>
      </c>
      <c r="F551">
        <v>9</v>
      </c>
      <c r="G551">
        <v>49</v>
      </c>
      <c r="H551">
        <v>40</v>
      </c>
      <c r="I551" t="s">
        <v>19</v>
      </c>
      <c r="J551" t="e">
        <f>IF(Tabela4[[#This Row],[4Income]]="&lt;=50K",Tabela4[[#This Row],[4Age]],NA())</f>
        <v>#N/A</v>
      </c>
      <c r="K551" t="e">
        <f>IF(Tabela4[[#This Row],[4Income]]="&lt;=50K",Tabela4[[#This Row],[4hours-per-week]],NA())</f>
        <v>#N/A</v>
      </c>
      <c r="L551">
        <f>IF(Tabela4[[#This Row],[4Income]]="&gt;50K",Tabela4[[#This Row],[4Age]],NA())</f>
        <v>49</v>
      </c>
      <c r="M551">
        <f>IF(Tabela4[[#This Row],[4Income]]="&gt;50K",Tabela4[[#This Row],[4hours-per-week]],NA())</f>
        <v>40</v>
      </c>
    </row>
    <row r="552" spans="1:13">
      <c r="A552">
        <v>25</v>
      </c>
      <c r="B552">
        <v>40</v>
      </c>
      <c r="C552">
        <v>9</v>
      </c>
      <c r="D552">
        <v>40</v>
      </c>
      <c r="E552">
        <v>25</v>
      </c>
      <c r="F552">
        <v>9</v>
      </c>
      <c r="G552">
        <v>25</v>
      </c>
      <c r="H552">
        <v>40</v>
      </c>
      <c r="I552" t="s">
        <v>8</v>
      </c>
      <c r="J552">
        <f>IF(Tabela4[[#This Row],[4Income]]="&lt;=50K",Tabela4[[#This Row],[4Age]],NA())</f>
        <v>25</v>
      </c>
      <c r="K552">
        <f>IF(Tabela4[[#This Row],[4Income]]="&lt;=50K",Tabela4[[#This Row],[4hours-per-week]],NA())</f>
        <v>40</v>
      </c>
      <c r="L552" t="e">
        <f>IF(Tabela4[[#This Row],[4Income]]="&gt;50K",Tabela4[[#This Row],[4Age]],NA())</f>
        <v>#N/A</v>
      </c>
      <c r="M552" t="e">
        <f>IF(Tabela4[[#This Row],[4Income]]="&gt;50K",Tabela4[[#This Row],[4hours-per-week]],NA())</f>
        <v>#N/A</v>
      </c>
    </row>
    <row r="553" spans="1:13">
      <c r="A553">
        <v>62</v>
      </c>
      <c r="B553">
        <v>40</v>
      </c>
      <c r="C553">
        <v>13</v>
      </c>
      <c r="D553">
        <v>40</v>
      </c>
      <c r="E553">
        <v>62</v>
      </c>
      <c r="F553">
        <v>13</v>
      </c>
      <c r="G553">
        <v>62</v>
      </c>
      <c r="H553">
        <v>40</v>
      </c>
      <c r="I553" t="s">
        <v>19</v>
      </c>
      <c r="J553" t="e">
        <f>IF(Tabela4[[#This Row],[4Income]]="&lt;=50K",Tabela4[[#This Row],[4Age]],NA())</f>
        <v>#N/A</v>
      </c>
      <c r="K553" t="e">
        <f>IF(Tabela4[[#This Row],[4Income]]="&lt;=50K",Tabela4[[#This Row],[4hours-per-week]],NA())</f>
        <v>#N/A</v>
      </c>
      <c r="L553">
        <f>IF(Tabela4[[#This Row],[4Income]]="&gt;50K",Tabela4[[#This Row],[4Age]],NA())</f>
        <v>62</v>
      </c>
      <c r="M553">
        <f>IF(Tabela4[[#This Row],[4Income]]="&gt;50K",Tabela4[[#This Row],[4hours-per-week]],NA())</f>
        <v>40</v>
      </c>
    </row>
    <row r="554" spans="1:13">
      <c r="A554">
        <v>59</v>
      </c>
      <c r="B554">
        <v>40</v>
      </c>
      <c r="C554">
        <v>10</v>
      </c>
      <c r="D554">
        <v>40</v>
      </c>
      <c r="E554">
        <v>59</v>
      </c>
      <c r="F554">
        <v>10</v>
      </c>
      <c r="G554">
        <v>59</v>
      </c>
      <c r="H554">
        <v>40</v>
      </c>
      <c r="I554" t="s">
        <v>8</v>
      </c>
      <c r="J554">
        <f>IF(Tabela4[[#This Row],[4Income]]="&lt;=50K",Tabela4[[#This Row],[4Age]],NA())</f>
        <v>59</v>
      </c>
      <c r="K554">
        <f>IF(Tabela4[[#This Row],[4Income]]="&lt;=50K",Tabela4[[#This Row],[4hours-per-week]],NA())</f>
        <v>40</v>
      </c>
      <c r="L554" t="e">
        <f>IF(Tabela4[[#This Row],[4Income]]="&gt;50K",Tabela4[[#This Row],[4Age]],NA())</f>
        <v>#N/A</v>
      </c>
      <c r="M554" t="e">
        <f>IF(Tabela4[[#This Row],[4Income]]="&gt;50K",Tabela4[[#This Row],[4hours-per-week]],NA())</f>
        <v>#N/A</v>
      </c>
    </row>
    <row r="555" spans="1:13">
      <c r="A555">
        <v>45</v>
      </c>
      <c r="B555">
        <v>40</v>
      </c>
      <c r="C555">
        <v>13</v>
      </c>
      <c r="D555">
        <v>40</v>
      </c>
      <c r="E555">
        <v>45</v>
      </c>
      <c r="F555">
        <v>13</v>
      </c>
      <c r="G555">
        <v>45</v>
      </c>
      <c r="H555">
        <v>40</v>
      </c>
      <c r="I555" t="s">
        <v>8</v>
      </c>
      <c r="J555">
        <f>IF(Tabela4[[#This Row],[4Income]]="&lt;=50K",Tabela4[[#This Row],[4Age]],NA())</f>
        <v>45</v>
      </c>
      <c r="K555">
        <f>IF(Tabela4[[#This Row],[4Income]]="&lt;=50K",Tabela4[[#This Row],[4hours-per-week]],NA())</f>
        <v>40</v>
      </c>
      <c r="L555" t="e">
        <f>IF(Tabela4[[#This Row],[4Income]]="&gt;50K",Tabela4[[#This Row],[4Age]],NA())</f>
        <v>#N/A</v>
      </c>
      <c r="M555" t="e">
        <f>IF(Tabela4[[#This Row],[4Income]]="&gt;50K",Tabela4[[#This Row],[4hours-per-week]],NA())</f>
        <v>#N/A</v>
      </c>
    </row>
    <row r="556" spans="1:13">
      <c r="A556">
        <v>43</v>
      </c>
      <c r="B556">
        <v>50</v>
      </c>
      <c r="C556">
        <v>13</v>
      </c>
      <c r="D556">
        <v>50</v>
      </c>
      <c r="E556">
        <v>43</v>
      </c>
      <c r="F556">
        <v>13</v>
      </c>
      <c r="G556">
        <v>43</v>
      </c>
      <c r="H556">
        <v>50</v>
      </c>
      <c r="I556" t="s">
        <v>19</v>
      </c>
      <c r="J556" t="e">
        <f>IF(Tabela4[[#This Row],[4Income]]="&lt;=50K",Tabela4[[#This Row],[4Age]],NA())</f>
        <v>#N/A</v>
      </c>
      <c r="K556" t="e">
        <f>IF(Tabela4[[#This Row],[4Income]]="&lt;=50K",Tabela4[[#This Row],[4hours-per-week]],NA())</f>
        <v>#N/A</v>
      </c>
      <c r="L556">
        <f>IF(Tabela4[[#This Row],[4Income]]="&gt;50K",Tabela4[[#This Row],[4Age]],NA())</f>
        <v>43</v>
      </c>
      <c r="M556">
        <f>IF(Tabela4[[#This Row],[4Income]]="&gt;50K",Tabela4[[#This Row],[4hours-per-week]],NA())</f>
        <v>50</v>
      </c>
    </row>
    <row r="557" spans="1:13">
      <c r="A557">
        <v>36</v>
      </c>
      <c r="B557">
        <v>55</v>
      </c>
      <c r="C557">
        <v>13</v>
      </c>
      <c r="D557">
        <v>55</v>
      </c>
      <c r="E557">
        <v>36</v>
      </c>
      <c r="F557">
        <v>13</v>
      </c>
      <c r="G557">
        <v>36</v>
      </c>
      <c r="H557">
        <v>55</v>
      </c>
      <c r="I557" t="s">
        <v>19</v>
      </c>
      <c r="J557" t="e">
        <f>IF(Tabela4[[#This Row],[4Income]]="&lt;=50K",Tabela4[[#This Row],[4Age]],NA())</f>
        <v>#N/A</v>
      </c>
      <c r="K557" t="e">
        <f>IF(Tabela4[[#This Row],[4Income]]="&lt;=50K",Tabela4[[#This Row],[4hours-per-week]],NA())</f>
        <v>#N/A</v>
      </c>
      <c r="L557">
        <f>IF(Tabela4[[#This Row],[4Income]]="&gt;50K",Tabela4[[#This Row],[4Age]],NA())</f>
        <v>36</v>
      </c>
      <c r="M557">
        <f>IF(Tabela4[[#This Row],[4Income]]="&gt;50K",Tabela4[[#This Row],[4hours-per-week]],NA())</f>
        <v>55</v>
      </c>
    </row>
    <row r="558" spans="1:13">
      <c r="A558">
        <v>49</v>
      </c>
      <c r="B558">
        <v>70</v>
      </c>
      <c r="C558">
        <v>4</v>
      </c>
      <c r="D558">
        <v>70</v>
      </c>
      <c r="E558">
        <v>49</v>
      </c>
      <c r="F558">
        <v>4</v>
      </c>
      <c r="G558">
        <v>49</v>
      </c>
      <c r="H558">
        <v>70</v>
      </c>
      <c r="I558" t="s">
        <v>8</v>
      </c>
      <c r="J558">
        <f>IF(Tabela4[[#This Row],[4Income]]="&lt;=50K",Tabela4[[#This Row],[4Age]],NA())</f>
        <v>49</v>
      </c>
      <c r="K558">
        <f>IF(Tabela4[[#This Row],[4Income]]="&lt;=50K",Tabela4[[#This Row],[4hours-per-week]],NA())</f>
        <v>70</v>
      </c>
      <c r="L558" t="e">
        <f>IF(Tabela4[[#This Row],[4Income]]="&gt;50K",Tabela4[[#This Row],[4Age]],NA())</f>
        <v>#N/A</v>
      </c>
      <c r="M558" t="e">
        <f>IF(Tabela4[[#This Row],[4Income]]="&gt;50K",Tabela4[[#This Row],[4hours-per-week]],NA())</f>
        <v>#N/A</v>
      </c>
    </row>
    <row r="559" spans="1:13">
      <c r="A559">
        <v>61</v>
      </c>
      <c r="B559">
        <v>45</v>
      </c>
      <c r="C559">
        <v>13</v>
      </c>
      <c r="D559">
        <v>45</v>
      </c>
      <c r="E559">
        <v>61</v>
      </c>
      <c r="F559">
        <v>13</v>
      </c>
      <c r="G559">
        <v>61</v>
      </c>
      <c r="H559">
        <v>45</v>
      </c>
      <c r="I559" t="s">
        <v>8</v>
      </c>
      <c r="J559">
        <f>IF(Tabela4[[#This Row],[4Income]]="&lt;=50K",Tabela4[[#This Row],[4Age]],NA())</f>
        <v>61</v>
      </c>
      <c r="K559">
        <f>IF(Tabela4[[#This Row],[4Income]]="&lt;=50K",Tabela4[[#This Row],[4hours-per-week]],NA())</f>
        <v>45</v>
      </c>
      <c r="L559" t="e">
        <f>IF(Tabela4[[#This Row],[4Income]]="&gt;50K",Tabela4[[#This Row],[4Age]],NA())</f>
        <v>#N/A</v>
      </c>
      <c r="M559" t="e">
        <f>IF(Tabela4[[#This Row],[4Income]]="&gt;50K",Tabela4[[#This Row],[4hours-per-week]],NA())</f>
        <v>#N/A</v>
      </c>
    </row>
    <row r="560" spans="1:13">
      <c r="A560">
        <v>32</v>
      </c>
      <c r="B560">
        <v>56</v>
      </c>
      <c r="C560">
        <v>12</v>
      </c>
      <c r="D560">
        <v>56</v>
      </c>
      <c r="E560">
        <v>32</v>
      </c>
      <c r="F560">
        <v>12</v>
      </c>
      <c r="G560">
        <v>32</v>
      </c>
      <c r="H560">
        <v>56</v>
      </c>
      <c r="I560" t="s">
        <v>19</v>
      </c>
      <c r="J560" t="e">
        <f>IF(Tabela4[[#This Row],[4Income]]="&lt;=50K",Tabela4[[#This Row],[4Age]],NA())</f>
        <v>#N/A</v>
      </c>
      <c r="K560" t="e">
        <f>IF(Tabela4[[#This Row],[4Income]]="&lt;=50K",Tabela4[[#This Row],[4hours-per-week]],NA())</f>
        <v>#N/A</v>
      </c>
      <c r="L560">
        <f>IF(Tabela4[[#This Row],[4Income]]="&gt;50K",Tabela4[[#This Row],[4Age]],NA())</f>
        <v>32</v>
      </c>
      <c r="M560">
        <f>IF(Tabela4[[#This Row],[4Income]]="&gt;50K",Tabela4[[#This Row],[4hours-per-week]],NA())</f>
        <v>56</v>
      </c>
    </row>
    <row r="561" spans="1:13">
      <c r="A561">
        <v>30</v>
      </c>
      <c r="B561">
        <v>25</v>
      </c>
      <c r="C561">
        <v>12</v>
      </c>
      <c r="D561">
        <v>25</v>
      </c>
      <c r="E561">
        <v>30</v>
      </c>
      <c r="F561">
        <v>12</v>
      </c>
      <c r="G561">
        <v>30</v>
      </c>
      <c r="H561">
        <v>25</v>
      </c>
      <c r="I561" t="s">
        <v>8</v>
      </c>
      <c r="J561">
        <f>IF(Tabela4[[#This Row],[4Income]]="&lt;=50K",Tabela4[[#This Row],[4Age]],NA())</f>
        <v>30</v>
      </c>
      <c r="K561">
        <f>IF(Tabela4[[#This Row],[4Income]]="&lt;=50K",Tabela4[[#This Row],[4hours-per-week]],NA())</f>
        <v>25</v>
      </c>
      <c r="L561" t="e">
        <f>IF(Tabela4[[#This Row],[4Income]]="&gt;50K",Tabela4[[#This Row],[4Age]],NA())</f>
        <v>#N/A</v>
      </c>
      <c r="M561" t="e">
        <f>IF(Tabela4[[#This Row],[4Income]]="&gt;50K",Tabela4[[#This Row],[4hours-per-week]],NA())</f>
        <v>#N/A</v>
      </c>
    </row>
    <row r="562" spans="1:13">
      <c r="A562">
        <v>22</v>
      </c>
      <c r="B562">
        <v>40</v>
      </c>
      <c r="C562">
        <v>9</v>
      </c>
      <c r="D562">
        <v>40</v>
      </c>
      <c r="E562">
        <v>22</v>
      </c>
      <c r="F562">
        <v>9</v>
      </c>
      <c r="G562">
        <v>22</v>
      </c>
      <c r="H562">
        <v>40</v>
      </c>
      <c r="I562" t="s">
        <v>8</v>
      </c>
      <c r="J562">
        <f>IF(Tabela4[[#This Row],[4Income]]="&lt;=50K",Tabela4[[#This Row],[4Age]],NA())</f>
        <v>22</v>
      </c>
      <c r="K562">
        <f>IF(Tabela4[[#This Row],[4Income]]="&lt;=50K",Tabela4[[#This Row],[4hours-per-week]],NA())</f>
        <v>40</v>
      </c>
      <c r="L562" t="e">
        <f>IF(Tabela4[[#This Row],[4Income]]="&gt;50K",Tabela4[[#This Row],[4Age]],NA())</f>
        <v>#N/A</v>
      </c>
      <c r="M562" t="e">
        <f>IF(Tabela4[[#This Row],[4Income]]="&gt;50K",Tabela4[[#This Row],[4hours-per-week]],NA())</f>
        <v>#N/A</v>
      </c>
    </row>
    <row r="563" spans="1:13">
      <c r="A563">
        <v>41</v>
      </c>
      <c r="B563">
        <v>38</v>
      </c>
      <c r="C563">
        <v>15</v>
      </c>
      <c r="D563">
        <v>38</v>
      </c>
      <c r="E563">
        <v>41</v>
      </c>
      <c r="F563">
        <v>15</v>
      </c>
      <c r="G563">
        <v>41</v>
      </c>
      <c r="H563">
        <v>38</v>
      </c>
      <c r="I563" t="s">
        <v>8</v>
      </c>
      <c r="J563">
        <f>IF(Tabela4[[#This Row],[4Income]]="&lt;=50K",Tabela4[[#This Row],[4Age]],NA())</f>
        <v>41</v>
      </c>
      <c r="K563">
        <f>IF(Tabela4[[#This Row],[4Income]]="&lt;=50K",Tabela4[[#This Row],[4hours-per-week]],NA())</f>
        <v>38</v>
      </c>
      <c r="L563" t="e">
        <f>IF(Tabela4[[#This Row],[4Income]]="&gt;50K",Tabela4[[#This Row],[4Age]],NA())</f>
        <v>#N/A</v>
      </c>
      <c r="M563" t="e">
        <f>IF(Tabela4[[#This Row],[4Income]]="&gt;50K",Tabela4[[#This Row],[4hours-per-week]],NA())</f>
        <v>#N/A</v>
      </c>
    </row>
    <row r="564" spans="1:13">
      <c r="A564">
        <v>60</v>
      </c>
      <c r="B564">
        <v>40</v>
      </c>
      <c r="C564">
        <v>4</v>
      </c>
      <c r="D564">
        <v>40</v>
      </c>
      <c r="E564">
        <v>60</v>
      </c>
      <c r="F564">
        <v>4</v>
      </c>
      <c r="G564">
        <v>60</v>
      </c>
      <c r="H564">
        <v>40</v>
      </c>
      <c r="I564" t="s">
        <v>8</v>
      </c>
      <c r="J564">
        <f>IF(Tabela4[[#This Row],[4Income]]="&lt;=50K",Tabela4[[#This Row],[4Age]],NA())</f>
        <v>60</v>
      </c>
      <c r="K564">
        <f>IF(Tabela4[[#This Row],[4Income]]="&lt;=50K",Tabela4[[#This Row],[4hours-per-week]],NA())</f>
        <v>40</v>
      </c>
      <c r="L564" t="e">
        <f>IF(Tabela4[[#This Row],[4Income]]="&gt;50K",Tabela4[[#This Row],[4Age]],NA())</f>
        <v>#N/A</v>
      </c>
      <c r="M564" t="e">
        <f>IF(Tabela4[[#This Row],[4Income]]="&gt;50K",Tabela4[[#This Row],[4hours-per-week]],NA())</f>
        <v>#N/A</v>
      </c>
    </row>
    <row r="565" spans="1:13">
      <c r="A565">
        <v>28</v>
      </c>
      <c r="B565">
        <v>40</v>
      </c>
      <c r="C565">
        <v>9</v>
      </c>
      <c r="D565">
        <v>40</v>
      </c>
      <c r="E565">
        <v>28</v>
      </c>
      <c r="F565">
        <v>9</v>
      </c>
      <c r="G565">
        <v>28</v>
      </c>
      <c r="H565">
        <v>40</v>
      </c>
      <c r="I565" t="s">
        <v>8</v>
      </c>
      <c r="J565">
        <f>IF(Tabela4[[#This Row],[4Income]]="&lt;=50K",Tabela4[[#This Row],[4Age]],NA())</f>
        <v>28</v>
      </c>
      <c r="K565">
        <f>IF(Tabela4[[#This Row],[4Income]]="&lt;=50K",Tabela4[[#This Row],[4hours-per-week]],NA())</f>
        <v>40</v>
      </c>
      <c r="L565" t="e">
        <f>IF(Tabela4[[#This Row],[4Income]]="&gt;50K",Tabela4[[#This Row],[4Age]],NA())</f>
        <v>#N/A</v>
      </c>
      <c r="M565" t="e">
        <f>IF(Tabela4[[#This Row],[4Income]]="&gt;50K",Tabela4[[#This Row],[4hours-per-week]],NA())</f>
        <v>#N/A</v>
      </c>
    </row>
    <row r="566" spans="1:13">
      <c r="A566">
        <v>66</v>
      </c>
      <c r="B566">
        <v>40</v>
      </c>
      <c r="C566">
        <v>5</v>
      </c>
      <c r="D566">
        <v>40</v>
      </c>
      <c r="E566">
        <v>66</v>
      </c>
      <c r="F566">
        <v>5</v>
      </c>
      <c r="G566">
        <v>66</v>
      </c>
      <c r="H566">
        <v>40</v>
      </c>
      <c r="I566" t="s">
        <v>8</v>
      </c>
      <c r="J566">
        <f>IF(Tabela4[[#This Row],[4Income]]="&lt;=50K",Tabela4[[#This Row],[4Age]],NA())</f>
        <v>66</v>
      </c>
      <c r="K566">
        <f>IF(Tabela4[[#This Row],[4Income]]="&lt;=50K",Tabela4[[#This Row],[4hours-per-week]],NA())</f>
        <v>40</v>
      </c>
      <c r="L566" t="e">
        <f>IF(Tabela4[[#This Row],[4Income]]="&gt;50K",Tabela4[[#This Row],[4Age]],NA())</f>
        <v>#N/A</v>
      </c>
      <c r="M566" t="e">
        <f>IF(Tabela4[[#This Row],[4Income]]="&gt;50K",Tabela4[[#This Row],[4hours-per-week]],NA())</f>
        <v>#N/A</v>
      </c>
    </row>
    <row r="567" spans="1:13">
      <c r="A567">
        <v>51</v>
      </c>
      <c r="B567">
        <v>40</v>
      </c>
      <c r="C567">
        <v>10</v>
      </c>
      <c r="D567">
        <v>40</v>
      </c>
      <c r="E567">
        <v>51</v>
      </c>
      <c r="F567">
        <v>10</v>
      </c>
      <c r="G567">
        <v>51</v>
      </c>
      <c r="H567">
        <v>40</v>
      </c>
      <c r="I567" t="s">
        <v>8</v>
      </c>
      <c r="J567">
        <f>IF(Tabela4[[#This Row],[4Income]]="&lt;=50K",Tabela4[[#This Row],[4Age]],NA())</f>
        <v>51</v>
      </c>
      <c r="K567">
        <f>IF(Tabela4[[#This Row],[4Income]]="&lt;=50K",Tabela4[[#This Row],[4hours-per-week]],NA())</f>
        <v>40</v>
      </c>
      <c r="L567" t="e">
        <f>IF(Tabela4[[#This Row],[4Income]]="&gt;50K",Tabela4[[#This Row],[4Age]],NA())</f>
        <v>#N/A</v>
      </c>
      <c r="M567" t="e">
        <f>IF(Tabela4[[#This Row],[4Income]]="&gt;50K",Tabela4[[#This Row],[4hours-per-week]],NA())</f>
        <v>#N/A</v>
      </c>
    </row>
    <row r="568" spans="1:13">
      <c r="A568">
        <v>46</v>
      </c>
      <c r="B568">
        <v>40</v>
      </c>
      <c r="C568">
        <v>11</v>
      </c>
      <c r="D568">
        <v>40</v>
      </c>
      <c r="E568">
        <v>46</v>
      </c>
      <c r="F568">
        <v>11</v>
      </c>
      <c r="G568">
        <v>46</v>
      </c>
      <c r="H568">
        <v>40</v>
      </c>
      <c r="I568" t="s">
        <v>8</v>
      </c>
      <c r="J568">
        <f>IF(Tabela4[[#This Row],[4Income]]="&lt;=50K",Tabela4[[#This Row],[4Age]],NA())</f>
        <v>46</v>
      </c>
      <c r="K568">
        <f>IF(Tabela4[[#This Row],[4Income]]="&lt;=50K",Tabela4[[#This Row],[4hours-per-week]],NA())</f>
        <v>40</v>
      </c>
      <c r="L568" t="e">
        <f>IF(Tabela4[[#This Row],[4Income]]="&gt;50K",Tabela4[[#This Row],[4Age]],NA())</f>
        <v>#N/A</v>
      </c>
      <c r="M568" t="e">
        <f>IF(Tabela4[[#This Row],[4Income]]="&gt;50K",Tabela4[[#This Row],[4hours-per-week]],NA())</f>
        <v>#N/A</v>
      </c>
    </row>
    <row r="569" spans="1:13">
      <c r="A569">
        <v>29</v>
      </c>
      <c r="B569">
        <v>40</v>
      </c>
      <c r="C569">
        <v>9</v>
      </c>
      <c r="D569">
        <v>40</v>
      </c>
      <c r="E569">
        <v>29</v>
      </c>
      <c r="F569">
        <v>9</v>
      </c>
      <c r="G569">
        <v>29</v>
      </c>
      <c r="H569">
        <v>40</v>
      </c>
      <c r="I569" t="s">
        <v>8</v>
      </c>
      <c r="J569">
        <f>IF(Tabela4[[#This Row],[4Income]]="&lt;=50K",Tabela4[[#This Row],[4Age]],NA())</f>
        <v>29</v>
      </c>
      <c r="K569">
        <f>IF(Tabela4[[#This Row],[4Income]]="&lt;=50K",Tabela4[[#This Row],[4hours-per-week]],NA())</f>
        <v>40</v>
      </c>
      <c r="L569" t="e">
        <f>IF(Tabela4[[#This Row],[4Income]]="&gt;50K",Tabela4[[#This Row],[4Age]],NA())</f>
        <v>#N/A</v>
      </c>
      <c r="M569" t="e">
        <f>IF(Tabela4[[#This Row],[4Income]]="&gt;50K",Tabela4[[#This Row],[4hours-per-week]],NA())</f>
        <v>#N/A</v>
      </c>
    </row>
    <row r="570" spans="1:13">
      <c r="A570">
        <v>32</v>
      </c>
      <c r="B570">
        <v>35</v>
      </c>
      <c r="C570">
        <v>9</v>
      </c>
      <c r="D570">
        <v>35</v>
      </c>
      <c r="E570">
        <v>32</v>
      </c>
      <c r="F570">
        <v>9</v>
      </c>
      <c r="G570">
        <v>32</v>
      </c>
      <c r="H570">
        <v>35</v>
      </c>
      <c r="I570" t="s">
        <v>8</v>
      </c>
      <c r="J570">
        <f>IF(Tabela4[[#This Row],[4Income]]="&lt;=50K",Tabela4[[#This Row],[4Age]],NA())</f>
        <v>32</v>
      </c>
      <c r="K570">
        <f>IF(Tabela4[[#This Row],[4Income]]="&lt;=50K",Tabela4[[#This Row],[4hours-per-week]],NA())</f>
        <v>35</v>
      </c>
      <c r="L570" t="e">
        <f>IF(Tabela4[[#This Row],[4Income]]="&gt;50K",Tabela4[[#This Row],[4Age]],NA())</f>
        <v>#N/A</v>
      </c>
      <c r="M570" t="e">
        <f>IF(Tabela4[[#This Row],[4Income]]="&gt;50K",Tabela4[[#This Row],[4hours-per-week]],NA())</f>
        <v>#N/A</v>
      </c>
    </row>
    <row r="571" spans="1:13">
      <c r="A571">
        <v>25</v>
      </c>
      <c r="B571">
        <v>50</v>
      </c>
      <c r="C571">
        <v>10</v>
      </c>
      <c r="D571">
        <v>50</v>
      </c>
      <c r="E571">
        <v>25</v>
      </c>
      <c r="F571">
        <v>10</v>
      </c>
      <c r="G571">
        <v>25</v>
      </c>
      <c r="H571">
        <v>50</v>
      </c>
      <c r="I571" t="s">
        <v>8</v>
      </c>
      <c r="J571">
        <f>IF(Tabela4[[#This Row],[4Income]]="&lt;=50K",Tabela4[[#This Row],[4Age]],NA())</f>
        <v>25</v>
      </c>
      <c r="K571">
        <f>IF(Tabela4[[#This Row],[4Income]]="&lt;=50K",Tabela4[[#This Row],[4hours-per-week]],NA())</f>
        <v>50</v>
      </c>
      <c r="L571" t="e">
        <f>IF(Tabela4[[#This Row],[4Income]]="&gt;50K",Tabela4[[#This Row],[4Age]],NA())</f>
        <v>#N/A</v>
      </c>
      <c r="M571" t="e">
        <f>IF(Tabela4[[#This Row],[4Income]]="&gt;50K",Tabela4[[#This Row],[4hours-per-week]],NA())</f>
        <v>#N/A</v>
      </c>
    </row>
    <row r="572" spans="1:13">
      <c r="A572">
        <v>27</v>
      </c>
      <c r="B572">
        <v>35</v>
      </c>
      <c r="C572">
        <v>13</v>
      </c>
      <c r="D572">
        <v>35</v>
      </c>
      <c r="E572">
        <v>27</v>
      </c>
      <c r="F572">
        <v>13</v>
      </c>
      <c r="G572">
        <v>27</v>
      </c>
      <c r="H572">
        <v>35</v>
      </c>
      <c r="I572" t="s">
        <v>8</v>
      </c>
      <c r="J572">
        <f>IF(Tabela4[[#This Row],[4Income]]="&lt;=50K",Tabela4[[#This Row],[4Age]],NA())</f>
        <v>27</v>
      </c>
      <c r="K572">
        <f>IF(Tabela4[[#This Row],[4Income]]="&lt;=50K",Tabela4[[#This Row],[4hours-per-week]],NA())</f>
        <v>35</v>
      </c>
      <c r="L572" t="e">
        <f>IF(Tabela4[[#This Row],[4Income]]="&gt;50K",Tabela4[[#This Row],[4Age]],NA())</f>
        <v>#N/A</v>
      </c>
      <c r="M572" t="e">
        <f>IF(Tabela4[[#This Row],[4Income]]="&gt;50K",Tabela4[[#This Row],[4hours-per-week]],NA())</f>
        <v>#N/A</v>
      </c>
    </row>
    <row r="573" spans="1:13">
      <c r="A573">
        <v>24</v>
      </c>
      <c r="B573">
        <v>30</v>
      </c>
      <c r="C573">
        <v>13</v>
      </c>
      <c r="D573">
        <v>30</v>
      </c>
      <c r="E573">
        <v>24</v>
      </c>
      <c r="F573">
        <v>13</v>
      </c>
      <c r="G573">
        <v>24</v>
      </c>
      <c r="H573">
        <v>30</v>
      </c>
      <c r="I573" t="s">
        <v>8</v>
      </c>
      <c r="J573">
        <f>IF(Tabela4[[#This Row],[4Income]]="&lt;=50K",Tabela4[[#This Row],[4Age]],NA())</f>
        <v>24</v>
      </c>
      <c r="K573">
        <f>IF(Tabela4[[#This Row],[4Income]]="&lt;=50K",Tabela4[[#This Row],[4hours-per-week]],NA())</f>
        <v>30</v>
      </c>
      <c r="L573" t="e">
        <f>IF(Tabela4[[#This Row],[4Income]]="&gt;50K",Tabela4[[#This Row],[4Age]],NA())</f>
        <v>#N/A</v>
      </c>
      <c r="M573" t="e">
        <f>IF(Tabela4[[#This Row],[4Income]]="&gt;50K",Tabela4[[#This Row],[4hours-per-week]],NA())</f>
        <v>#N/A</v>
      </c>
    </row>
    <row r="574" spans="1:13">
      <c r="A574">
        <v>51</v>
      </c>
      <c r="B574">
        <v>30</v>
      </c>
      <c r="C574">
        <v>7</v>
      </c>
      <c r="D574">
        <v>30</v>
      </c>
      <c r="E574">
        <v>51</v>
      </c>
      <c r="F574">
        <v>7</v>
      </c>
      <c r="G574">
        <v>51</v>
      </c>
      <c r="H574">
        <v>30</v>
      </c>
      <c r="I574" t="s">
        <v>8</v>
      </c>
      <c r="J574">
        <f>IF(Tabela4[[#This Row],[4Income]]="&lt;=50K",Tabela4[[#This Row],[4Age]],NA())</f>
        <v>51</v>
      </c>
      <c r="K574">
        <f>IF(Tabela4[[#This Row],[4Income]]="&lt;=50K",Tabela4[[#This Row],[4hours-per-week]],NA())</f>
        <v>30</v>
      </c>
      <c r="L574" t="e">
        <f>IF(Tabela4[[#This Row],[4Income]]="&gt;50K",Tabela4[[#This Row],[4Age]],NA())</f>
        <v>#N/A</v>
      </c>
      <c r="M574" t="e">
        <f>IF(Tabela4[[#This Row],[4Income]]="&gt;50K",Tabela4[[#This Row],[4hours-per-week]],NA())</f>
        <v>#N/A</v>
      </c>
    </row>
    <row r="575" spans="1:13">
      <c r="A575">
        <v>22</v>
      </c>
      <c r="B575">
        <v>20</v>
      </c>
      <c r="C575">
        <v>10</v>
      </c>
      <c r="D575">
        <v>20</v>
      </c>
      <c r="E575">
        <v>22</v>
      </c>
      <c r="F575">
        <v>10</v>
      </c>
      <c r="G575">
        <v>22</v>
      </c>
      <c r="H575">
        <v>20</v>
      </c>
      <c r="I575" t="s">
        <v>8</v>
      </c>
      <c r="J575">
        <f>IF(Tabela4[[#This Row],[4Income]]="&lt;=50K",Tabela4[[#This Row],[4Age]],NA())</f>
        <v>22</v>
      </c>
      <c r="K575">
        <f>IF(Tabela4[[#This Row],[4Income]]="&lt;=50K",Tabela4[[#This Row],[4hours-per-week]],NA())</f>
        <v>20</v>
      </c>
      <c r="L575" t="e">
        <f>IF(Tabela4[[#This Row],[4Income]]="&gt;50K",Tabela4[[#This Row],[4Age]],NA())</f>
        <v>#N/A</v>
      </c>
      <c r="M575" t="e">
        <f>IF(Tabela4[[#This Row],[4Income]]="&gt;50K",Tabela4[[#This Row],[4hours-per-week]],NA())</f>
        <v>#N/A</v>
      </c>
    </row>
    <row r="576" spans="1:13">
      <c r="A576">
        <v>60</v>
      </c>
      <c r="B576">
        <v>40</v>
      </c>
      <c r="C576">
        <v>11</v>
      </c>
      <c r="D576">
        <v>40</v>
      </c>
      <c r="E576">
        <v>60</v>
      </c>
      <c r="F576">
        <v>11</v>
      </c>
      <c r="G576">
        <v>60</v>
      </c>
      <c r="H576">
        <v>40</v>
      </c>
      <c r="I576" t="s">
        <v>19</v>
      </c>
      <c r="J576" t="e">
        <f>IF(Tabela4[[#This Row],[4Income]]="&lt;=50K",Tabela4[[#This Row],[4Age]],NA())</f>
        <v>#N/A</v>
      </c>
      <c r="K576" t="e">
        <f>IF(Tabela4[[#This Row],[4Income]]="&lt;=50K",Tabela4[[#This Row],[4hours-per-week]],NA())</f>
        <v>#N/A</v>
      </c>
      <c r="L576">
        <f>IF(Tabela4[[#This Row],[4Income]]="&gt;50K",Tabela4[[#This Row],[4Age]],NA())</f>
        <v>60</v>
      </c>
      <c r="M576">
        <f>IF(Tabela4[[#This Row],[4Income]]="&gt;50K",Tabela4[[#This Row],[4hours-per-week]],NA())</f>
        <v>40</v>
      </c>
    </row>
    <row r="577" spans="1:13">
      <c r="A577">
        <v>38</v>
      </c>
      <c r="B577">
        <v>60</v>
      </c>
      <c r="C577">
        <v>10</v>
      </c>
      <c r="D577">
        <v>60</v>
      </c>
      <c r="E577">
        <v>38</v>
      </c>
      <c r="F577">
        <v>10</v>
      </c>
      <c r="G577">
        <v>38</v>
      </c>
      <c r="H577">
        <v>60</v>
      </c>
      <c r="I577" t="s">
        <v>19</v>
      </c>
      <c r="J577" t="e">
        <f>IF(Tabela4[[#This Row],[4Income]]="&lt;=50K",Tabela4[[#This Row],[4Age]],NA())</f>
        <v>#N/A</v>
      </c>
      <c r="K577" t="e">
        <f>IF(Tabela4[[#This Row],[4Income]]="&lt;=50K",Tabela4[[#This Row],[4hours-per-week]],NA())</f>
        <v>#N/A</v>
      </c>
      <c r="L577">
        <f>IF(Tabela4[[#This Row],[4Income]]="&gt;50K",Tabela4[[#This Row],[4Age]],NA())</f>
        <v>38</v>
      </c>
      <c r="M577">
        <f>IF(Tabela4[[#This Row],[4Income]]="&gt;50K",Tabela4[[#This Row],[4hours-per-week]],NA())</f>
        <v>60</v>
      </c>
    </row>
    <row r="578" spans="1:13">
      <c r="A578">
        <v>49</v>
      </c>
      <c r="B578">
        <v>46</v>
      </c>
      <c r="C578">
        <v>9</v>
      </c>
      <c r="D578">
        <v>46</v>
      </c>
      <c r="E578">
        <v>49</v>
      </c>
      <c r="F578">
        <v>9</v>
      </c>
      <c r="G578">
        <v>49</v>
      </c>
      <c r="H578">
        <v>46</v>
      </c>
      <c r="I578" t="s">
        <v>8</v>
      </c>
      <c r="J578">
        <f>IF(Tabela4[[#This Row],[4Income]]="&lt;=50K",Tabela4[[#This Row],[4Age]],NA())</f>
        <v>49</v>
      </c>
      <c r="K578">
        <f>IF(Tabela4[[#This Row],[4Income]]="&lt;=50K",Tabela4[[#This Row],[4hours-per-week]],NA())</f>
        <v>46</v>
      </c>
      <c r="L578" t="e">
        <f>IF(Tabela4[[#This Row],[4Income]]="&gt;50K",Tabela4[[#This Row],[4Age]],NA())</f>
        <v>#N/A</v>
      </c>
      <c r="M578" t="e">
        <f>IF(Tabela4[[#This Row],[4Income]]="&gt;50K",Tabela4[[#This Row],[4hours-per-week]],NA())</f>
        <v>#N/A</v>
      </c>
    </row>
    <row r="579" spans="1:13">
      <c r="A579">
        <v>50</v>
      </c>
      <c r="B579">
        <v>30</v>
      </c>
      <c r="C579">
        <v>15</v>
      </c>
      <c r="D579">
        <v>30</v>
      </c>
      <c r="E579">
        <v>50</v>
      </c>
      <c r="F579">
        <v>15</v>
      </c>
      <c r="G579">
        <v>50</v>
      </c>
      <c r="H579">
        <v>30</v>
      </c>
      <c r="I579" t="s">
        <v>19</v>
      </c>
      <c r="J579" t="e">
        <f>IF(Tabela4[[#This Row],[4Income]]="&lt;=50K",Tabela4[[#This Row],[4Age]],NA())</f>
        <v>#N/A</v>
      </c>
      <c r="K579" t="e">
        <f>IF(Tabela4[[#This Row],[4Income]]="&lt;=50K",Tabela4[[#This Row],[4hours-per-week]],NA())</f>
        <v>#N/A</v>
      </c>
      <c r="L579">
        <f>IF(Tabela4[[#This Row],[4Income]]="&gt;50K",Tabela4[[#This Row],[4Age]],NA())</f>
        <v>50</v>
      </c>
      <c r="M579">
        <f>IF(Tabela4[[#This Row],[4Income]]="&gt;50K",Tabela4[[#This Row],[4hours-per-week]],NA())</f>
        <v>30</v>
      </c>
    </row>
    <row r="580" spans="1:13">
      <c r="A580">
        <v>47</v>
      </c>
      <c r="B580">
        <v>40</v>
      </c>
      <c r="C580">
        <v>9</v>
      </c>
      <c r="D580">
        <v>40</v>
      </c>
      <c r="E580">
        <v>47</v>
      </c>
      <c r="F580">
        <v>9</v>
      </c>
      <c r="G580">
        <v>47</v>
      </c>
      <c r="H580">
        <v>40</v>
      </c>
      <c r="I580" t="s">
        <v>8</v>
      </c>
      <c r="J580">
        <f>IF(Tabela4[[#This Row],[4Income]]="&lt;=50K",Tabela4[[#This Row],[4Age]],NA())</f>
        <v>47</v>
      </c>
      <c r="K580">
        <f>IF(Tabela4[[#This Row],[4Income]]="&lt;=50K",Tabela4[[#This Row],[4hours-per-week]],NA())</f>
        <v>40</v>
      </c>
      <c r="L580" t="e">
        <f>IF(Tabela4[[#This Row],[4Income]]="&gt;50K",Tabela4[[#This Row],[4Age]],NA())</f>
        <v>#N/A</v>
      </c>
      <c r="M580" t="e">
        <f>IF(Tabela4[[#This Row],[4Income]]="&gt;50K",Tabela4[[#This Row],[4hours-per-week]],NA())</f>
        <v>#N/A</v>
      </c>
    </row>
    <row r="581" spans="1:13">
      <c r="A581">
        <v>80</v>
      </c>
      <c r="B581">
        <v>40</v>
      </c>
      <c r="C581">
        <v>9</v>
      </c>
      <c r="D581">
        <v>40</v>
      </c>
      <c r="E581">
        <v>80</v>
      </c>
      <c r="F581">
        <v>9</v>
      </c>
      <c r="G581">
        <v>80</v>
      </c>
      <c r="H581">
        <v>40</v>
      </c>
      <c r="I581" t="s">
        <v>8</v>
      </c>
      <c r="J581">
        <f>IF(Tabela4[[#This Row],[4Income]]="&lt;=50K",Tabela4[[#This Row],[4Age]],NA())</f>
        <v>80</v>
      </c>
      <c r="K581">
        <f>IF(Tabela4[[#This Row],[4Income]]="&lt;=50K",Tabela4[[#This Row],[4hours-per-week]],NA())</f>
        <v>40</v>
      </c>
      <c r="L581" t="e">
        <f>IF(Tabela4[[#This Row],[4Income]]="&gt;50K",Tabela4[[#This Row],[4Age]],NA())</f>
        <v>#N/A</v>
      </c>
      <c r="M581" t="e">
        <f>IF(Tabela4[[#This Row],[4Income]]="&gt;50K",Tabela4[[#This Row],[4hours-per-week]],NA())</f>
        <v>#N/A</v>
      </c>
    </row>
    <row r="582" spans="1:13">
      <c r="A582">
        <v>45</v>
      </c>
      <c r="B582">
        <v>55</v>
      </c>
      <c r="C582">
        <v>11</v>
      </c>
      <c r="D582">
        <v>55</v>
      </c>
      <c r="E582">
        <v>45</v>
      </c>
      <c r="F582">
        <v>11</v>
      </c>
      <c r="G582">
        <v>45</v>
      </c>
      <c r="H582">
        <v>55</v>
      </c>
      <c r="I582" t="s">
        <v>19</v>
      </c>
      <c r="J582" t="e">
        <f>IF(Tabela4[[#This Row],[4Income]]="&lt;=50K",Tabela4[[#This Row],[4Age]],NA())</f>
        <v>#N/A</v>
      </c>
      <c r="K582" t="e">
        <f>IF(Tabela4[[#This Row],[4Income]]="&lt;=50K",Tabela4[[#This Row],[4hours-per-week]],NA())</f>
        <v>#N/A</v>
      </c>
      <c r="L582">
        <f>IF(Tabela4[[#This Row],[4Income]]="&gt;50K",Tabela4[[#This Row],[4Age]],NA())</f>
        <v>45</v>
      </c>
      <c r="M582">
        <f>IF(Tabela4[[#This Row],[4Income]]="&gt;50K",Tabela4[[#This Row],[4hours-per-week]],NA())</f>
        <v>55</v>
      </c>
    </row>
    <row r="583" spans="1:13">
      <c r="A583">
        <v>29</v>
      </c>
      <c r="B583">
        <v>50</v>
      </c>
      <c r="C583">
        <v>9</v>
      </c>
      <c r="D583">
        <v>50</v>
      </c>
      <c r="E583">
        <v>29</v>
      </c>
      <c r="F583">
        <v>9</v>
      </c>
      <c r="G583">
        <v>29</v>
      </c>
      <c r="H583">
        <v>50</v>
      </c>
      <c r="I583" t="s">
        <v>8</v>
      </c>
      <c r="J583">
        <f>IF(Tabela4[[#This Row],[4Income]]="&lt;=50K",Tabela4[[#This Row],[4Age]],NA())</f>
        <v>29</v>
      </c>
      <c r="K583">
        <f>IF(Tabela4[[#This Row],[4Income]]="&lt;=50K",Tabela4[[#This Row],[4hours-per-week]],NA())</f>
        <v>50</v>
      </c>
      <c r="L583" t="e">
        <f>IF(Tabela4[[#This Row],[4Income]]="&gt;50K",Tabela4[[#This Row],[4Age]],NA())</f>
        <v>#N/A</v>
      </c>
      <c r="M583" t="e">
        <f>IF(Tabela4[[#This Row],[4Income]]="&gt;50K",Tabela4[[#This Row],[4hours-per-week]],NA())</f>
        <v>#N/A</v>
      </c>
    </row>
    <row r="584" spans="1:13">
      <c r="A584">
        <v>20</v>
      </c>
      <c r="B584">
        <v>15</v>
      </c>
      <c r="C584">
        <v>10</v>
      </c>
      <c r="D584">
        <v>15</v>
      </c>
      <c r="E584">
        <v>20</v>
      </c>
      <c r="F584">
        <v>10</v>
      </c>
      <c r="G584">
        <v>20</v>
      </c>
      <c r="H584">
        <v>15</v>
      </c>
      <c r="I584" t="s">
        <v>8</v>
      </c>
      <c r="J584">
        <f>IF(Tabela4[[#This Row],[4Income]]="&lt;=50K",Tabela4[[#This Row],[4Age]],NA())</f>
        <v>20</v>
      </c>
      <c r="K584">
        <f>IF(Tabela4[[#This Row],[4Income]]="&lt;=50K",Tabela4[[#This Row],[4hours-per-week]],NA())</f>
        <v>15</v>
      </c>
      <c r="L584" t="e">
        <f>IF(Tabela4[[#This Row],[4Income]]="&gt;50K",Tabela4[[#This Row],[4Age]],NA())</f>
        <v>#N/A</v>
      </c>
      <c r="M584" t="e">
        <f>IF(Tabela4[[#This Row],[4Income]]="&gt;50K",Tabela4[[#This Row],[4hours-per-week]],NA())</f>
        <v>#N/A</v>
      </c>
    </row>
    <row r="585" spans="1:13">
      <c r="A585">
        <v>39</v>
      </c>
      <c r="B585">
        <v>40</v>
      </c>
      <c r="C585">
        <v>10</v>
      </c>
      <c r="D585">
        <v>40</v>
      </c>
      <c r="E585">
        <v>39</v>
      </c>
      <c r="F585">
        <v>10</v>
      </c>
      <c r="G585">
        <v>39</v>
      </c>
      <c r="H585">
        <v>40</v>
      </c>
      <c r="I585" t="s">
        <v>19</v>
      </c>
      <c r="J585" t="e">
        <f>IF(Tabela4[[#This Row],[4Income]]="&lt;=50K",Tabela4[[#This Row],[4Age]],NA())</f>
        <v>#N/A</v>
      </c>
      <c r="K585" t="e">
        <f>IF(Tabela4[[#This Row],[4Income]]="&lt;=50K",Tabela4[[#This Row],[4hours-per-week]],NA())</f>
        <v>#N/A</v>
      </c>
      <c r="L585">
        <f>IF(Tabela4[[#This Row],[4Income]]="&gt;50K",Tabela4[[#This Row],[4Age]],NA())</f>
        <v>39</v>
      </c>
      <c r="M585">
        <f>IF(Tabela4[[#This Row],[4Income]]="&gt;50K",Tabela4[[#This Row],[4hours-per-week]],NA())</f>
        <v>40</v>
      </c>
    </row>
    <row r="586" spans="1:13">
      <c r="A586">
        <v>28</v>
      </c>
      <c r="B586">
        <v>50</v>
      </c>
      <c r="C586">
        <v>9</v>
      </c>
      <c r="D586">
        <v>50</v>
      </c>
      <c r="E586">
        <v>28</v>
      </c>
      <c r="F586">
        <v>9</v>
      </c>
      <c r="G586">
        <v>28</v>
      </c>
      <c r="H586">
        <v>50</v>
      </c>
      <c r="I586" t="s">
        <v>8</v>
      </c>
      <c r="J586">
        <f>IF(Tabela4[[#This Row],[4Income]]="&lt;=50K",Tabela4[[#This Row],[4Age]],NA())</f>
        <v>28</v>
      </c>
      <c r="K586">
        <f>IF(Tabela4[[#This Row],[4Income]]="&lt;=50K",Tabela4[[#This Row],[4hours-per-week]],NA())</f>
        <v>50</v>
      </c>
      <c r="L586" t="e">
        <f>IF(Tabela4[[#This Row],[4Income]]="&gt;50K",Tabela4[[#This Row],[4Age]],NA())</f>
        <v>#N/A</v>
      </c>
      <c r="M586" t="e">
        <f>IF(Tabela4[[#This Row],[4Income]]="&gt;50K",Tabela4[[#This Row],[4hours-per-week]],NA())</f>
        <v>#N/A</v>
      </c>
    </row>
    <row r="587" spans="1:13">
      <c r="A587">
        <v>32</v>
      </c>
      <c r="B587">
        <v>32</v>
      </c>
      <c r="C587">
        <v>10</v>
      </c>
      <c r="D587">
        <v>32</v>
      </c>
      <c r="E587">
        <v>32</v>
      </c>
      <c r="F587">
        <v>10</v>
      </c>
      <c r="G587">
        <v>32</v>
      </c>
      <c r="H587">
        <v>32</v>
      </c>
      <c r="I587" t="s">
        <v>19</v>
      </c>
      <c r="J587" t="e">
        <f>IF(Tabela4[[#This Row],[4Income]]="&lt;=50K",Tabela4[[#This Row],[4Age]],NA())</f>
        <v>#N/A</v>
      </c>
      <c r="K587" t="e">
        <f>IF(Tabela4[[#This Row],[4Income]]="&lt;=50K",Tabela4[[#This Row],[4hours-per-week]],NA())</f>
        <v>#N/A</v>
      </c>
      <c r="L587">
        <f>IF(Tabela4[[#This Row],[4Income]]="&gt;50K",Tabela4[[#This Row],[4Age]],NA())</f>
        <v>32</v>
      </c>
      <c r="M587">
        <f>IF(Tabela4[[#This Row],[4Income]]="&gt;50K",Tabela4[[#This Row],[4hours-per-week]],NA())</f>
        <v>32</v>
      </c>
    </row>
    <row r="588" spans="1:13">
      <c r="A588">
        <v>41</v>
      </c>
      <c r="B588">
        <v>38</v>
      </c>
      <c r="C588">
        <v>9</v>
      </c>
      <c r="D588">
        <v>38</v>
      </c>
      <c r="E588">
        <v>41</v>
      </c>
      <c r="F588">
        <v>9</v>
      </c>
      <c r="G588">
        <v>41</v>
      </c>
      <c r="H588">
        <v>38</v>
      </c>
      <c r="I588" t="s">
        <v>19</v>
      </c>
      <c r="J588" t="e">
        <f>IF(Tabela4[[#This Row],[4Income]]="&lt;=50K",Tabela4[[#This Row],[4Age]],NA())</f>
        <v>#N/A</v>
      </c>
      <c r="K588" t="e">
        <f>IF(Tabela4[[#This Row],[4Income]]="&lt;=50K",Tabela4[[#This Row],[4hours-per-week]],NA())</f>
        <v>#N/A</v>
      </c>
      <c r="L588">
        <f>IF(Tabela4[[#This Row],[4Income]]="&gt;50K",Tabela4[[#This Row],[4Age]],NA())</f>
        <v>41</v>
      </c>
      <c r="M588">
        <f>IF(Tabela4[[#This Row],[4Income]]="&gt;50K",Tabela4[[#This Row],[4hours-per-week]],NA())</f>
        <v>38</v>
      </c>
    </row>
    <row r="589" spans="1:13">
      <c r="A589">
        <v>22</v>
      </c>
      <c r="B589">
        <v>20</v>
      </c>
      <c r="C589">
        <v>10</v>
      </c>
      <c r="D589">
        <v>20</v>
      </c>
      <c r="E589">
        <v>22</v>
      </c>
      <c r="F589">
        <v>10</v>
      </c>
      <c r="G589">
        <v>22</v>
      </c>
      <c r="H589">
        <v>20</v>
      </c>
      <c r="I589" t="s">
        <v>8</v>
      </c>
      <c r="J589">
        <f>IF(Tabela4[[#This Row],[4Income]]="&lt;=50K",Tabela4[[#This Row],[4Age]],NA())</f>
        <v>22</v>
      </c>
      <c r="K589">
        <f>IF(Tabela4[[#This Row],[4Income]]="&lt;=50K",Tabela4[[#This Row],[4hours-per-week]],NA())</f>
        <v>20</v>
      </c>
      <c r="L589" t="e">
        <f>IF(Tabela4[[#This Row],[4Income]]="&gt;50K",Tabela4[[#This Row],[4Age]],NA())</f>
        <v>#N/A</v>
      </c>
      <c r="M589" t="e">
        <f>IF(Tabela4[[#This Row],[4Income]]="&gt;50K",Tabela4[[#This Row],[4hours-per-week]],NA())</f>
        <v>#N/A</v>
      </c>
    </row>
    <row r="590" spans="1:13">
      <c r="A590">
        <v>36</v>
      </c>
      <c r="B590">
        <v>40</v>
      </c>
      <c r="C590">
        <v>9</v>
      </c>
      <c r="D590">
        <v>40</v>
      </c>
      <c r="E590">
        <v>36</v>
      </c>
      <c r="F590">
        <v>9</v>
      </c>
      <c r="G590">
        <v>36</v>
      </c>
      <c r="H590">
        <v>40</v>
      </c>
      <c r="I590" t="s">
        <v>8</v>
      </c>
      <c r="J590">
        <f>IF(Tabela4[[#This Row],[4Income]]="&lt;=50K",Tabela4[[#This Row],[4Age]],NA())</f>
        <v>36</v>
      </c>
      <c r="K590">
        <f>IF(Tabela4[[#This Row],[4Income]]="&lt;=50K",Tabela4[[#This Row],[4hours-per-week]],NA())</f>
        <v>40</v>
      </c>
      <c r="L590" t="e">
        <f>IF(Tabela4[[#This Row],[4Income]]="&gt;50K",Tabela4[[#This Row],[4Age]],NA())</f>
        <v>#N/A</v>
      </c>
      <c r="M590" t="e">
        <f>IF(Tabela4[[#This Row],[4Income]]="&gt;50K",Tabela4[[#This Row],[4hours-per-week]],NA())</f>
        <v>#N/A</v>
      </c>
    </row>
    <row r="591" spans="1:13">
      <c r="A591">
        <v>19</v>
      </c>
      <c r="B591">
        <v>25</v>
      </c>
      <c r="C591">
        <v>5</v>
      </c>
      <c r="D591">
        <v>25</v>
      </c>
      <c r="E591">
        <v>19</v>
      </c>
      <c r="F591">
        <v>5</v>
      </c>
      <c r="G591">
        <v>19</v>
      </c>
      <c r="H591">
        <v>25</v>
      </c>
      <c r="I591" t="s">
        <v>8</v>
      </c>
      <c r="J591">
        <f>IF(Tabela4[[#This Row],[4Income]]="&lt;=50K",Tabela4[[#This Row],[4Age]],NA())</f>
        <v>19</v>
      </c>
      <c r="K591">
        <f>IF(Tabela4[[#This Row],[4Income]]="&lt;=50K",Tabela4[[#This Row],[4hours-per-week]],NA())</f>
        <v>25</v>
      </c>
      <c r="L591" t="e">
        <f>IF(Tabela4[[#This Row],[4Income]]="&gt;50K",Tabela4[[#This Row],[4Age]],NA())</f>
        <v>#N/A</v>
      </c>
      <c r="M591" t="e">
        <f>IF(Tabela4[[#This Row],[4Income]]="&gt;50K",Tabela4[[#This Row],[4hours-per-week]],NA())</f>
        <v>#N/A</v>
      </c>
    </row>
    <row r="592" spans="1:13">
      <c r="A592">
        <v>31</v>
      </c>
      <c r="B592">
        <v>60</v>
      </c>
      <c r="C592">
        <v>10</v>
      </c>
      <c r="D592">
        <v>60</v>
      </c>
      <c r="E592">
        <v>31</v>
      </c>
      <c r="F592">
        <v>10</v>
      </c>
      <c r="G592">
        <v>31</v>
      </c>
      <c r="H592">
        <v>60</v>
      </c>
      <c r="I592" t="s">
        <v>8</v>
      </c>
      <c r="J592">
        <f>IF(Tabela4[[#This Row],[4Income]]="&lt;=50K",Tabela4[[#This Row],[4Age]],NA())</f>
        <v>31</v>
      </c>
      <c r="K592">
        <f>IF(Tabela4[[#This Row],[4Income]]="&lt;=50K",Tabela4[[#This Row],[4hours-per-week]],NA())</f>
        <v>60</v>
      </c>
      <c r="L592" t="e">
        <f>IF(Tabela4[[#This Row],[4Income]]="&gt;50K",Tabela4[[#This Row],[4Age]],NA())</f>
        <v>#N/A</v>
      </c>
      <c r="M592" t="e">
        <f>IF(Tabela4[[#This Row],[4Income]]="&gt;50K",Tabela4[[#This Row],[4hours-per-week]],NA())</f>
        <v>#N/A</v>
      </c>
    </row>
    <row r="593" spans="1:13">
      <c r="A593">
        <v>33</v>
      </c>
      <c r="B593">
        <v>55</v>
      </c>
      <c r="C593">
        <v>10</v>
      </c>
      <c r="D593">
        <v>55</v>
      </c>
      <c r="E593">
        <v>33</v>
      </c>
      <c r="F593">
        <v>10</v>
      </c>
      <c r="G593">
        <v>33</v>
      </c>
      <c r="H593">
        <v>55</v>
      </c>
      <c r="I593" t="s">
        <v>8</v>
      </c>
      <c r="J593">
        <f>IF(Tabela4[[#This Row],[4Income]]="&lt;=50K",Tabela4[[#This Row],[4Age]],NA())</f>
        <v>33</v>
      </c>
      <c r="K593">
        <f>IF(Tabela4[[#This Row],[4Income]]="&lt;=50K",Tabela4[[#This Row],[4hours-per-week]],NA())</f>
        <v>55</v>
      </c>
      <c r="L593" t="e">
        <f>IF(Tabela4[[#This Row],[4Income]]="&gt;50K",Tabela4[[#This Row],[4Age]],NA())</f>
        <v>#N/A</v>
      </c>
      <c r="M593" t="e">
        <f>IF(Tabela4[[#This Row],[4Income]]="&gt;50K",Tabela4[[#This Row],[4hours-per-week]],NA())</f>
        <v>#N/A</v>
      </c>
    </row>
    <row r="594" spans="1:13">
      <c r="A594">
        <v>32</v>
      </c>
      <c r="B594">
        <v>50</v>
      </c>
      <c r="C594">
        <v>9</v>
      </c>
      <c r="D594">
        <v>50</v>
      </c>
      <c r="E594">
        <v>32</v>
      </c>
      <c r="F594">
        <v>9</v>
      </c>
      <c r="G594">
        <v>32</v>
      </c>
      <c r="H594">
        <v>50</v>
      </c>
      <c r="I594" t="s">
        <v>8</v>
      </c>
      <c r="J594">
        <f>IF(Tabela4[[#This Row],[4Income]]="&lt;=50K",Tabela4[[#This Row],[4Age]],NA())</f>
        <v>32</v>
      </c>
      <c r="K594">
        <f>IF(Tabela4[[#This Row],[4Income]]="&lt;=50K",Tabela4[[#This Row],[4hours-per-week]],NA())</f>
        <v>50</v>
      </c>
      <c r="L594" t="e">
        <f>IF(Tabela4[[#This Row],[4Income]]="&gt;50K",Tabela4[[#This Row],[4Age]],NA())</f>
        <v>#N/A</v>
      </c>
      <c r="M594" t="e">
        <f>IF(Tabela4[[#This Row],[4Income]]="&gt;50K",Tabela4[[#This Row],[4hours-per-week]],NA())</f>
        <v>#N/A</v>
      </c>
    </row>
    <row r="595" spans="1:13">
      <c r="A595">
        <v>25</v>
      </c>
      <c r="B595">
        <v>40</v>
      </c>
      <c r="C595">
        <v>9</v>
      </c>
      <c r="D595">
        <v>40</v>
      </c>
      <c r="E595">
        <v>25</v>
      </c>
      <c r="F595">
        <v>9</v>
      </c>
      <c r="G595">
        <v>25</v>
      </c>
      <c r="H595">
        <v>40</v>
      </c>
      <c r="I595" t="s">
        <v>8</v>
      </c>
      <c r="J595">
        <f>IF(Tabela4[[#This Row],[4Income]]="&lt;=50K",Tabela4[[#This Row],[4Age]],NA())</f>
        <v>25</v>
      </c>
      <c r="K595">
        <f>IF(Tabela4[[#This Row],[4Income]]="&lt;=50K",Tabela4[[#This Row],[4hours-per-week]],NA())</f>
        <v>40</v>
      </c>
      <c r="L595" t="e">
        <f>IF(Tabela4[[#This Row],[4Income]]="&gt;50K",Tabela4[[#This Row],[4Age]],NA())</f>
        <v>#N/A</v>
      </c>
      <c r="M595" t="e">
        <f>IF(Tabela4[[#This Row],[4Income]]="&gt;50K",Tabela4[[#This Row],[4hours-per-week]],NA())</f>
        <v>#N/A</v>
      </c>
    </row>
    <row r="596" spans="1:13">
      <c r="A596">
        <v>60</v>
      </c>
      <c r="B596">
        <v>40</v>
      </c>
      <c r="C596">
        <v>3</v>
      </c>
      <c r="D596">
        <v>40</v>
      </c>
      <c r="E596">
        <v>60</v>
      </c>
      <c r="F596">
        <v>3</v>
      </c>
      <c r="G596">
        <v>60</v>
      </c>
      <c r="H596">
        <v>40</v>
      </c>
      <c r="I596" t="s">
        <v>19</v>
      </c>
      <c r="J596" t="e">
        <f>IF(Tabela4[[#This Row],[4Income]]="&lt;=50K",Tabela4[[#This Row],[4Age]],NA())</f>
        <v>#N/A</v>
      </c>
      <c r="K596" t="e">
        <f>IF(Tabela4[[#This Row],[4Income]]="&lt;=50K",Tabela4[[#This Row],[4hours-per-week]],NA())</f>
        <v>#N/A</v>
      </c>
      <c r="L596">
        <f>IF(Tabela4[[#This Row],[4Income]]="&gt;50K",Tabela4[[#This Row],[4Age]],NA())</f>
        <v>60</v>
      </c>
      <c r="M596">
        <f>IF(Tabela4[[#This Row],[4Income]]="&gt;50K",Tabela4[[#This Row],[4hours-per-week]],NA())</f>
        <v>40</v>
      </c>
    </row>
    <row r="597" spans="1:13">
      <c r="A597">
        <v>45</v>
      </c>
      <c r="B597">
        <v>40</v>
      </c>
      <c r="C597">
        <v>13</v>
      </c>
      <c r="D597">
        <v>40</v>
      </c>
      <c r="E597">
        <v>45</v>
      </c>
      <c r="F597">
        <v>13</v>
      </c>
      <c r="G597">
        <v>45</v>
      </c>
      <c r="H597">
        <v>40</v>
      </c>
      <c r="I597" t="s">
        <v>19</v>
      </c>
      <c r="J597" t="e">
        <f>IF(Tabela4[[#This Row],[4Income]]="&lt;=50K",Tabela4[[#This Row],[4Age]],NA())</f>
        <v>#N/A</v>
      </c>
      <c r="K597" t="e">
        <f>IF(Tabela4[[#This Row],[4Income]]="&lt;=50K",Tabela4[[#This Row],[4hours-per-week]],NA())</f>
        <v>#N/A</v>
      </c>
      <c r="L597">
        <f>IF(Tabela4[[#This Row],[4Income]]="&gt;50K",Tabela4[[#This Row],[4Age]],NA())</f>
        <v>45</v>
      </c>
      <c r="M597">
        <f>IF(Tabela4[[#This Row],[4Income]]="&gt;50K",Tabela4[[#This Row],[4hours-per-week]],NA())</f>
        <v>40</v>
      </c>
    </row>
    <row r="598" spans="1:13">
      <c r="A598">
        <v>34</v>
      </c>
      <c r="B598">
        <v>40</v>
      </c>
      <c r="C598">
        <v>10</v>
      </c>
      <c r="D598">
        <v>40</v>
      </c>
      <c r="E598">
        <v>34</v>
      </c>
      <c r="F598">
        <v>10</v>
      </c>
      <c r="G598">
        <v>34</v>
      </c>
      <c r="H598">
        <v>40</v>
      </c>
      <c r="I598" t="s">
        <v>8</v>
      </c>
      <c r="J598">
        <f>IF(Tabela4[[#This Row],[4Income]]="&lt;=50K",Tabela4[[#This Row],[4Age]],NA())</f>
        <v>34</v>
      </c>
      <c r="K598">
        <f>IF(Tabela4[[#This Row],[4Income]]="&lt;=50K",Tabela4[[#This Row],[4hours-per-week]],NA())</f>
        <v>40</v>
      </c>
      <c r="L598" t="e">
        <f>IF(Tabela4[[#This Row],[4Income]]="&gt;50K",Tabela4[[#This Row],[4Age]],NA())</f>
        <v>#N/A</v>
      </c>
      <c r="M598" t="e">
        <f>IF(Tabela4[[#This Row],[4Income]]="&gt;50K",Tabela4[[#This Row],[4hours-per-week]],NA())</f>
        <v>#N/A</v>
      </c>
    </row>
    <row r="599" spans="1:13">
      <c r="A599">
        <v>81</v>
      </c>
      <c r="B599">
        <v>24</v>
      </c>
      <c r="C599">
        <v>15</v>
      </c>
      <c r="D599">
        <v>24</v>
      </c>
      <c r="E599">
        <v>81</v>
      </c>
      <c r="F599">
        <v>15</v>
      </c>
      <c r="G599">
        <v>81</v>
      </c>
      <c r="H599">
        <v>24</v>
      </c>
      <c r="I599" t="s">
        <v>19</v>
      </c>
      <c r="J599" t="e">
        <f>IF(Tabela4[[#This Row],[4Income]]="&lt;=50K",Tabela4[[#This Row],[4Age]],NA())</f>
        <v>#N/A</v>
      </c>
      <c r="K599" t="e">
        <f>IF(Tabela4[[#This Row],[4Income]]="&lt;=50K",Tabela4[[#This Row],[4hours-per-week]],NA())</f>
        <v>#N/A</v>
      </c>
      <c r="L599">
        <f>IF(Tabela4[[#This Row],[4Income]]="&gt;50K",Tabela4[[#This Row],[4Age]],NA())</f>
        <v>81</v>
      </c>
      <c r="M599">
        <f>IF(Tabela4[[#This Row],[4Income]]="&gt;50K",Tabela4[[#This Row],[4hours-per-week]],NA())</f>
        <v>24</v>
      </c>
    </row>
    <row r="600" spans="1:13">
      <c r="A600">
        <v>29</v>
      </c>
      <c r="B600">
        <v>40</v>
      </c>
      <c r="C600">
        <v>9</v>
      </c>
      <c r="D600">
        <v>40</v>
      </c>
      <c r="E600">
        <v>29</v>
      </c>
      <c r="F600">
        <v>9</v>
      </c>
      <c r="G600">
        <v>29</v>
      </c>
      <c r="H600">
        <v>40</v>
      </c>
      <c r="I600" t="s">
        <v>8</v>
      </c>
      <c r="J600">
        <f>IF(Tabela4[[#This Row],[4Income]]="&lt;=50K",Tabela4[[#This Row],[4Age]],NA())</f>
        <v>29</v>
      </c>
      <c r="K600">
        <f>IF(Tabela4[[#This Row],[4Income]]="&lt;=50K",Tabela4[[#This Row],[4hours-per-week]],NA())</f>
        <v>40</v>
      </c>
      <c r="L600" t="e">
        <f>IF(Tabela4[[#This Row],[4Income]]="&gt;50K",Tabela4[[#This Row],[4Age]],NA())</f>
        <v>#N/A</v>
      </c>
      <c r="M600" t="e">
        <f>IF(Tabela4[[#This Row],[4Income]]="&gt;50K",Tabela4[[#This Row],[4hours-per-week]],NA())</f>
        <v>#N/A</v>
      </c>
    </row>
    <row r="601" spans="1:13">
      <c r="A601">
        <v>38</v>
      </c>
      <c r="B601">
        <v>35</v>
      </c>
      <c r="C601">
        <v>14</v>
      </c>
      <c r="D601">
        <v>35</v>
      </c>
      <c r="E601">
        <v>38</v>
      </c>
      <c r="F601">
        <v>14</v>
      </c>
      <c r="G601">
        <v>38</v>
      </c>
      <c r="H601">
        <v>35</v>
      </c>
      <c r="I601" t="s">
        <v>8</v>
      </c>
      <c r="J601">
        <f>IF(Tabela4[[#This Row],[4Income]]="&lt;=50K",Tabela4[[#This Row],[4Age]],NA())</f>
        <v>38</v>
      </c>
      <c r="K601">
        <f>IF(Tabela4[[#This Row],[4Income]]="&lt;=50K",Tabela4[[#This Row],[4hours-per-week]],NA())</f>
        <v>35</v>
      </c>
      <c r="L601" t="e">
        <f>IF(Tabela4[[#This Row],[4Income]]="&gt;50K",Tabela4[[#This Row],[4Age]],NA())</f>
        <v>#N/A</v>
      </c>
      <c r="M601" t="e">
        <f>IF(Tabela4[[#This Row],[4Income]]="&gt;50K",Tabela4[[#This Row],[4hours-per-week]],NA())</f>
        <v>#N/A</v>
      </c>
    </row>
    <row r="602" spans="1:13">
      <c r="A602">
        <v>32</v>
      </c>
      <c r="B602">
        <v>50</v>
      </c>
      <c r="C602">
        <v>13</v>
      </c>
      <c r="D602">
        <v>50</v>
      </c>
      <c r="E602">
        <v>32</v>
      </c>
      <c r="F602">
        <v>13</v>
      </c>
      <c r="G602">
        <v>32</v>
      </c>
      <c r="H602">
        <v>50</v>
      </c>
      <c r="I602" t="s">
        <v>8</v>
      </c>
      <c r="J602">
        <f>IF(Tabela4[[#This Row],[4Income]]="&lt;=50K",Tabela4[[#This Row],[4Age]],NA())</f>
        <v>32</v>
      </c>
      <c r="K602">
        <f>IF(Tabela4[[#This Row],[4Income]]="&lt;=50K",Tabela4[[#This Row],[4hours-per-week]],NA())</f>
        <v>50</v>
      </c>
      <c r="L602" t="e">
        <f>IF(Tabela4[[#This Row],[4Income]]="&gt;50K",Tabela4[[#This Row],[4Age]],NA())</f>
        <v>#N/A</v>
      </c>
      <c r="M602" t="e">
        <f>IF(Tabela4[[#This Row],[4Income]]="&gt;50K",Tabela4[[#This Row],[4hours-per-week]],NA())</f>
        <v>#N/A</v>
      </c>
    </row>
    <row r="603" spans="1:13">
      <c r="A603">
        <v>33</v>
      </c>
      <c r="B603">
        <v>40</v>
      </c>
      <c r="C603">
        <v>13</v>
      </c>
      <c r="D603">
        <v>40</v>
      </c>
      <c r="E603">
        <v>33</v>
      </c>
      <c r="F603">
        <v>13</v>
      </c>
      <c r="G603">
        <v>33</v>
      </c>
      <c r="H603">
        <v>40</v>
      </c>
      <c r="I603" t="s">
        <v>8</v>
      </c>
      <c r="J603">
        <f>IF(Tabela4[[#This Row],[4Income]]="&lt;=50K",Tabela4[[#This Row],[4Age]],NA())</f>
        <v>33</v>
      </c>
      <c r="K603">
        <f>IF(Tabela4[[#This Row],[4Income]]="&lt;=50K",Tabela4[[#This Row],[4hours-per-week]],NA())</f>
        <v>40</v>
      </c>
      <c r="L603" t="e">
        <f>IF(Tabela4[[#This Row],[4Income]]="&gt;50K",Tabela4[[#This Row],[4Age]],NA())</f>
        <v>#N/A</v>
      </c>
      <c r="M603" t="e">
        <f>IF(Tabela4[[#This Row],[4Income]]="&gt;50K",Tabela4[[#This Row],[4hours-per-week]],NA())</f>
        <v>#N/A</v>
      </c>
    </row>
    <row r="604" spans="1:13">
      <c r="A604">
        <v>33</v>
      </c>
      <c r="B604">
        <v>40</v>
      </c>
      <c r="C604">
        <v>14</v>
      </c>
      <c r="D604">
        <v>40</v>
      </c>
      <c r="E604">
        <v>33</v>
      </c>
      <c r="F604">
        <v>14</v>
      </c>
      <c r="G604">
        <v>33</v>
      </c>
      <c r="H604">
        <v>40</v>
      </c>
      <c r="I604" t="s">
        <v>8</v>
      </c>
      <c r="J604">
        <f>IF(Tabela4[[#This Row],[4Income]]="&lt;=50K",Tabela4[[#This Row],[4Age]],NA())</f>
        <v>33</v>
      </c>
      <c r="K604">
        <f>IF(Tabela4[[#This Row],[4Income]]="&lt;=50K",Tabela4[[#This Row],[4hours-per-week]],NA())</f>
        <v>40</v>
      </c>
      <c r="L604" t="e">
        <f>IF(Tabela4[[#This Row],[4Income]]="&gt;50K",Tabela4[[#This Row],[4Age]],NA())</f>
        <v>#N/A</v>
      </c>
      <c r="M604" t="e">
        <f>IF(Tabela4[[#This Row],[4Income]]="&gt;50K",Tabela4[[#This Row],[4hours-per-week]],NA())</f>
        <v>#N/A</v>
      </c>
    </row>
    <row r="605" spans="1:13">
      <c r="A605">
        <v>34</v>
      </c>
      <c r="B605">
        <v>40</v>
      </c>
      <c r="C605">
        <v>11</v>
      </c>
      <c r="D605">
        <v>40</v>
      </c>
      <c r="E605">
        <v>34</v>
      </c>
      <c r="F605">
        <v>11</v>
      </c>
      <c r="G605">
        <v>34</v>
      </c>
      <c r="H605">
        <v>40</v>
      </c>
      <c r="I605" t="s">
        <v>8</v>
      </c>
      <c r="J605">
        <f>IF(Tabela4[[#This Row],[4Income]]="&lt;=50K",Tabela4[[#This Row],[4Age]],NA())</f>
        <v>34</v>
      </c>
      <c r="K605">
        <f>IF(Tabela4[[#This Row],[4Income]]="&lt;=50K",Tabela4[[#This Row],[4hours-per-week]],NA())</f>
        <v>40</v>
      </c>
      <c r="L605" t="e">
        <f>IF(Tabela4[[#This Row],[4Income]]="&gt;50K",Tabela4[[#This Row],[4Age]],NA())</f>
        <v>#N/A</v>
      </c>
      <c r="M605" t="e">
        <f>IF(Tabela4[[#This Row],[4Income]]="&gt;50K",Tabela4[[#This Row],[4hours-per-week]],NA())</f>
        <v>#N/A</v>
      </c>
    </row>
    <row r="606" spans="1:13">
      <c r="A606">
        <v>26</v>
      </c>
      <c r="B606">
        <v>20</v>
      </c>
      <c r="C606">
        <v>9</v>
      </c>
      <c r="D606">
        <v>20</v>
      </c>
      <c r="E606">
        <v>26</v>
      </c>
      <c r="F606">
        <v>9</v>
      </c>
      <c r="G606">
        <v>26</v>
      </c>
      <c r="H606">
        <v>20</v>
      </c>
      <c r="I606" t="s">
        <v>8</v>
      </c>
      <c r="J606">
        <f>IF(Tabela4[[#This Row],[4Income]]="&lt;=50K",Tabela4[[#This Row],[4Age]],NA())</f>
        <v>26</v>
      </c>
      <c r="K606">
        <f>IF(Tabela4[[#This Row],[4Income]]="&lt;=50K",Tabela4[[#This Row],[4hours-per-week]],NA())</f>
        <v>20</v>
      </c>
      <c r="L606" t="e">
        <f>IF(Tabela4[[#This Row],[4Income]]="&gt;50K",Tabela4[[#This Row],[4Age]],NA())</f>
        <v>#N/A</v>
      </c>
      <c r="M606" t="e">
        <f>IF(Tabela4[[#This Row],[4Income]]="&gt;50K",Tabela4[[#This Row],[4hours-per-week]],NA())</f>
        <v>#N/A</v>
      </c>
    </row>
    <row r="607" spans="1:13">
      <c r="A607">
        <v>30</v>
      </c>
      <c r="B607">
        <v>40</v>
      </c>
      <c r="C607">
        <v>9</v>
      </c>
      <c r="D607">
        <v>40</v>
      </c>
      <c r="E607">
        <v>30</v>
      </c>
      <c r="F607">
        <v>9</v>
      </c>
      <c r="G607">
        <v>30</v>
      </c>
      <c r="H607">
        <v>40</v>
      </c>
      <c r="I607" t="s">
        <v>8</v>
      </c>
      <c r="J607">
        <f>IF(Tabela4[[#This Row],[4Income]]="&lt;=50K",Tabela4[[#This Row],[4Age]],NA())</f>
        <v>30</v>
      </c>
      <c r="K607">
        <f>IF(Tabela4[[#This Row],[4Income]]="&lt;=50K",Tabela4[[#This Row],[4hours-per-week]],NA())</f>
        <v>40</v>
      </c>
      <c r="L607" t="e">
        <f>IF(Tabela4[[#This Row],[4Income]]="&gt;50K",Tabela4[[#This Row],[4Age]],NA())</f>
        <v>#N/A</v>
      </c>
      <c r="M607" t="e">
        <f>IF(Tabela4[[#This Row],[4Income]]="&gt;50K",Tabela4[[#This Row],[4hours-per-week]],NA())</f>
        <v>#N/A</v>
      </c>
    </row>
    <row r="608" spans="1:13">
      <c r="A608">
        <v>33</v>
      </c>
      <c r="B608">
        <v>20</v>
      </c>
      <c r="C608">
        <v>9</v>
      </c>
      <c r="D608">
        <v>20</v>
      </c>
      <c r="E608">
        <v>33</v>
      </c>
      <c r="F608">
        <v>9</v>
      </c>
      <c r="G608">
        <v>33</v>
      </c>
      <c r="H608">
        <v>20</v>
      </c>
      <c r="I608" t="s">
        <v>8</v>
      </c>
      <c r="J608">
        <f>IF(Tabela4[[#This Row],[4Income]]="&lt;=50K",Tabela4[[#This Row],[4Age]],NA())</f>
        <v>33</v>
      </c>
      <c r="K608">
        <f>IF(Tabela4[[#This Row],[4Income]]="&lt;=50K",Tabela4[[#This Row],[4hours-per-week]],NA())</f>
        <v>20</v>
      </c>
      <c r="L608" t="e">
        <f>IF(Tabela4[[#This Row],[4Income]]="&gt;50K",Tabela4[[#This Row],[4Age]],NA())</f>
        <v>#N/A</v>
      </c>
      <c r="M608" t="e">
        <f>IF(Tabela4[[#This Row],[4Income]]="&gt;50K",Tabela4[[#This Row],[4hours-per-week]],NA())</f>
        <v>#N/A</v>
      </c>
    </row>
    <row r="609" spans="1:13">
      <c r="A609">
        <v>37</v>
      </c>
      <c r="B609">
        <v>40</v>
      </c>
      <c r="C609">
        <v>9</v>
      </c>
      <c r="D609">
        <v>40</v>
      </c>
      <c r="E609">
        <v>37</v>
      </c>
      <c r="F609">
        <v>9</v>
      </c>
      <c r="G609">
        <v>37</v>
      </c>
      <c r="H609">
        <v>40</v>
      </c>
      <c r="I609" t="s">
        <v>8</v>
      </c>
      <c r="J609">
        <f>IF(Tabela4[[#This Row],[4Income]]="&lt;=50K",Tabela4[[#This Row],[4Age]],NA())</f>
        <v>37</v>
      </c>
      <c r="K609">
        <f>IF(Tabela4[[#This Row],[4Income]]="&lt;=50K",Tabela4[[#This Row],[4hours-per-week]],NA())</f>
        <v>40</v>
      </c>
      <c r="L609" t="e">
        <f>IF(Tabela4[[#This Row],[4Income]]="&gt;50K",Tabela4[[#This Row],[4Age]],NA())</f>
        <v>#N/A</v>
      </c>
      <c r="M609" t="e">
        <f>IF(Tabela4[[#This Row],[4Income]]="&gt;50K",Tabela4[[#This Row],[4hours-per-week]],NA())</f>
        <v>#N/A</v>
      </c>
    </row>
    <row r="610" spans="1:13">
      <c r="A610">
        <v>37</v>
      </c>
      <c r="B610">
        <v>40</v>
      </c>
      <c r="C610">
        <v>12</v>
      </c>
      <c r="D610">
        <v>40</v>
      </c>
      <c r="E610">
        <v>37</v>
      </c>
      <c r="F610">
        <v>12</v>
      </c>
      <c r="G610">
        <v>37</v>
      </c>
      <c r="H610">
        <v>40</v>
      </c>
      <c r="I610" t="s">
        <v>19</v>
      </c>
      <c r="J610" t="e">
        <f>IF(Tabela4[[#This Row],[4Income]]="&lt;=50K",Tabela4[[#This Row],[4Age]],NA())</f>
        <v>#N/A</v>
      </c>
      <c r="K610" t="e">
        <f>IF(Tabela4[[#This Row],[4Income]]="&lt;=50K",Tabela4[[#This Row],[4hours-per-week]],NA())</f>
        <v>#N/A</v>
      </c>
      <c r="L610">
        <f>IF(Tabela4[[#This Row],[4Income]]="&gt;50K",Tabela4[[#This Row],[4Age]],NA())</f>
        <v>37</v>
      </c>
      <c r="M610">
        <f>IF(Tabela4[[#This Row],[4Income]]="&gt;50K",Tabela4[[#This Row],[4hours-per-week]],NA())</f>
        <v>40</v>
      </c>
    </row>
    <row r="611" spans="1:13">
      <c r="A611">
        <v>38</v>
      </c>
      <c r="B611">
        <v>40</v>
      </c>
      <c r="C611">
        <v>9</v>
      </c>
      <c r="D611">
        <v>40</v>
      </c>
      <c r="E611">
        <v>38</v>
      </c>
      <c r="F611">
        <v>9</v>
      </c>
      <c r="G611">
        <v>38</v>
      </c>
      <c r="H611">
        <v>40</v>
      </c>
      <c r="I611" t="s">
        <v>8</v>
      </c>
      <c r="J611">
        <f>IF(Tabela4[[#This Row],[4Income]]="&lt;=50K",Tabela4[[#This Row],[4Age]],NA())</f>
        <v>38</v>
      </c>
      <c r="K611">
        <f>IF(Tabela4[[#This Row],[4Income]]="&lt;=50K",Tabela4[[#This Row],[4hours-per-week]],NA())</f>
        <v>40</v>
      </c>
      <c r="L611" t="e">
        <f>IF(Tabela4[[#This Row],[4Income]]="&gt;50K",Tabela4[[#This Row],[4Age]],NA())</f>
        <v>#N/A</v>
      </c>
      <c r="M611" t="e">
        <f>IF(Tabela4[[#This Row],[4Income]]="&gt;50K",Tabela4[[#This Row],[4hours-per-week]],NA())</f>
        <v>#N/A</v>
      </c>
    </row>
    <row r="612" spans="1:13">
      <c r="A612">
        <v>21</v>
      </c>
      <c r="B612">
        <v>30</v>
      </c>
      <c r="C612">
        <v>9</v>
      </c>
      <c r="D612">
        <v>30</v>
      </c>
      <c r="E612">
        <v>21</v>
      </c>
      <c r="F612">
        <v>9</v>
      </c>
      <c r="G612">
        <v>21</v>
      </c>
      <c r="H612">
        <v>30</v>
      </c>
      <c r="I612" t="s">
        <v>8</v>
      </c>
      <c r="J612">
        <f>IF(Tabela4[[#This Row],[4Income]]="&lt;=50K",Tabela4[[#This Row],[4Age]],NA())</f>
        <v>21</v>
      </c>
      <c r="K612">
        <f>IF(Tabela4[[#This Row],[4Income]]="&lt;=50K",Tabela4[[#This Row],[4hours-per-week]],NA())</f>
        <v>30</v>
      </c>
      <c r="L612" t="e">
        <f>IF(Tabela4[[#This Row],[4Income]]="&gt;50K",Tabela4[[#This Row],[4Age]],NA())</f>
        <v>#N/A</v>
      </c>
      <c r="M612" t="e">
        <f>IF(Tabela4[[#This Row],[4Income]]="&gt;50K",Tabela4[[#This Row],[4hours-per-week]],NA())</f>
        <v>#N/A</v>
      </c>
    </row>
    <row r="613" spans="1:13">
      <c r="A613">
        <v>62</v>
      </c>
      <c r="B613">
        <v>40</v>
      </c>
      <c r="C613">
        <v>9</v>
      </c>
      <c r="D613">
        <v>40</v>
      </c>
      <c r="E613">
        <v>62</v>
      </c>
      <c r="F613">
        <v>9</v>
      </c>
      <c r="G613">
        <v>62</v>
      </c>
      <c r="H613">
        <v>40</v>
      </c>
      <c r="I613" t="s">
        <v>8</v>
      </c>
      <c r="J613">
        <f>IF(Tabela4[[#This Row],[4Income]]="&lt;=50K",Tabela4[[#This Row],[4Age]],NA())</f>
        <v>62</v>
      </c>
      <c r="K613">
        <f>IF(Tabela4[[#This Row],[4Income]]="&lt;=50K",Tabela4[[#This Row],[4hours-per-week]],NA())</f>
        <v>40</v>
      </c>
      <c r="L613" t="e">
        <f>IF(Tabela4[[#This Row],[4Income]]="&gt;50K",Tabela4[[#This Row],[4Age]],NA())</f>
        <v>#N/A</v>
      </c>
      <c r="M613" t="e">
        <f>IF(Tabela4[[#This Row],[4Income]]="&gt;50K",Tabela4[[#This Row],[4hours-per-week]],NA())</f>
        <v>#N/A</v>
      </c>
    </row>
    <row r="614" spans="1:13">
      <c r="A614">
        <v>46</v>
      </c>
      <c r="B614">
        <v>60</v>
      </c>
      <c r="C614">
        <v>10</v>
      </c>
      <c r="D614">
        <v>60</v>
      </c>
      <c r="E614">
        <v>46</v>
      </c>
      <c r="F614">
        <v>10</v>
      </c>
      <c r="G614">
        <v>46</v>
      </c>
      <c r="H614">
        <v>60</v>
      </c>
      <c r="I614" t="s">
        <v>19</v>
      </c>
      <c r="J614" t="e">
        <f>IF(Tabela4[[#This Row],[4Income]]="&lt;=50K",Tabela4[[#This Row],[4Age]],NA())</f>
        <v>#N/A</v>
      </c>
      <c r="K614" t="e">
        <f>IF(Tabela4[[#This Row],[4Income]]="&lt;=50K",Tabela4[[#This Row],[4hours-per-week]],NA())</f>
        <v>#N/A</v>
      </c>
      <c r="L614">
        <f>IF(Tabela4[[#This Row],[4Income]]="&gt;50K",Tabela4[[#This Row],[4Age]],NA())</f>
        <v>46</v>
      </c>
      <c r="M614">
        <f>IF(Tabela4[[#This Row],[4Income]]="&gt;50K",Tabela4[[#This Row],[4hours-per-week]],NA())</f>
        <v>60</v>
      </c>
    </row>
    <row r="615" spans="1:13">
      <c r="A615">
        <v>38</v>
      </c>
      <c r="B615">
        <v>15</v>
      </c>
      <c r="C615">
        <v>11</v>
      </c>
      <c r="D615">
        <v>15</v>
      </c>
      <c r="E615">
        <v>38</v>
      </c>
      <c r="F615">
        <v>11</v>
      </c>
      <c r="G615">
        <v>38</v>
      </c>
      <c r="H615">
        <v>15</v>
      </c>
      <c r="I615" t="s">
        <v>8</v>
      </c>
      <c r="J615">
        <f>IF(Tabela4[[#This Row],[4Income]]="&lt;=50K",Tabela4[[#This Row],[4Age]],NA())</f>
        <v>38</v>
      </c>
      <c r="K615">
        <f>IF(Tabela4[[#This Row],[4Income]]="&lt;=50K",Tabela4[[#This Row],[4hours-per-week]],NA())</f>
        <v>15</v>
      </c>
      <c r="L615" t="e">
        <f>IF(Tabela4[[#This Row],[4Income]]="&gt;50K",Tabela4[[#This Row],[4Age]],NA())</f>
        <v>#N/A</v>
      </c>
      <c r="M615" t="e">
        <f>IF(Tabela4[[#This Row],[4Income]]="&gt;50K",Tabela4[[#This Row],[4hours-per-week]],NA())</f>
        <v>#N/A</v>
      </c>
    </row>
    <row r="616" spans="1:13">
      <c r="A616">
        <v>21</v>
      </c>
      <c r="B616">
        <v>40</v>
      </c>
      <c r="C616">
        <v>9</v>
      </c>
      <c r="D616">
        <v>40</v>
      </c>
      <c r="E616">
        <v>21</v>
      </c>
      <c r="F616">
        <v>9</v>
      </c>
      <c r="G616">
        <v>21</v>
      </c>
      <c r="H616">
        <v>40</v>
      </c>
      <c r="I616" t="s">
        <v>8</v>
      </c>
      <c r="J616">
        <f>IF(Tabela4[[#This Row],[4Income]]="&lt;=50K",Tabela4[[#This Row],[4Age]],NA())</f>
        <v>21</v>
      </c>
      <c r="K616">
        <f>IF(Tabela4[[#This Row],[4Income]]="&lt;=50K",Tabela4[[#This Row],[4hours-per-week]],NA())</f>
        <v>40</v>
      </c>
      <c r="L616" t="e">
        <f>IF(Tabela4[[#This Row],[4Income]]="&gt;50K",Tabela4[[#This Row],[4Age]],NA())</f>
        <v>#N/A</v>
      </c>
      <c r="M616" t="e">
        <f>IF(Tabela4[[#This Row],[4Income]]="&gt;50K",Tabela4[[#This Row],[4hours-per-week]],NA())</f>
        <v>#N/A</v>
      </c>
    </row>
    <row r="617" spans="1:13">
      <c r="A617">
        <v>23</v>
      </c>
      <c r="B617">
        <v>10</v>
      </c>
      <c r="C617">
        <v>10</v>
      </c>
      <c r="D617">
        <v>10</v>
      </c>
      <c r="E617">
        <v>23</v>
      </c>
      <c r="F617">
        <v>10</v>
      </c>
      <c r="G617">
        <v>23</v>
      </c>
      <c r="H617">
        <v>10</v>
      </c>
      <c r="I617" t="s">
        <v>8</v>
      </c>
      <c r="J617">
        <f>IF(Tabela4[[#This Row],[4Income]]="&lt;=50K",Tabela4[[#This Row],[4Age]],NA())</f>
        <v>23</v>
      </c>
      <c r="K617">
        <f>IF(Tabela4[[#This Row],[4Income]]="&lt;=50K",Tabela4[[#This Row],[4hours-per-week]],NA())</f>
        <v>10</v>
      </c>
      <c r="L617" t="e">
        <f>IF(Tabela4[[#This Row],[4Income]]="&gt;50K",Tabela4[[#This Row],[4Age]],NA())</f>
        <v>#N/A</v>
      </c>
      <c r="M617" t="e">
        <f>IF(Tabela4[[#This Row],[4Income]]="&gt;50K",Tabela4[[#This Row],[4hours-per-week]],NA())</f>
        <v>#N/A</v>
      </c>
    </row>
    <row r="618" spans="1:13">
      <c r="A618">
        <v>41</v>
      </c>
      <c r="B618">
        <v>70</v>
      </c>
      <c r="C618">
        <v>13</v>
      </c>
      <c r="D618">
        <v>70</v>
      </c>
      <c r="E618">
        <v>41</v>
      </c>
      <c r="F618">
        <v>13</v>
      </c>
      <c r="G618">
        <v>41</v>
      </c>
      <c r="H618">
        <v>70</v>
      </c>
      <c r="I618" t="s">
        <v>19</v>
      </c>
      <c r="J618" t="e">
        <f>IF(Tabela4[[#This Row],[4Income]]="&lt;=50K",Tabela4[[#This Row],[4Age]],NA())</f>
        <v>#N/A</v>
      </c>
      <c r="K618" t="e">
        <f>IF(Tabela4[[#This Row],[4Income]]="&lt;=50K",Tabela4[[#This Row],[4hours-per-week]],NA())</f>
        <v>#N/A</v>
      </c>
      <c r="L618">
        <f>IF(Tabela4[[#This Row],[4Income]]="&gt;50K",Tabela4[[#This Row],[4Age]],NA())</f>
        <v>41</v>
      </c>
      <c r="M618">
        <f>IF(Tabela4[[#This Row],[4Income]]="&gt;50K",Tabela4[[#This Row],[4hours-per-week]],NA())</f>
        <v>70</v>
      </c>
    </row>
    <row r="619" spans="1:13">
      <c r="A619">
        <v>28</v>
      </c>
      <c r="B619">
        <v>40</v>
      </c>
      <c r="C619">
        <v>13</v>
      </c>
      <c r="D619">
        <v>40</v>
      </c>
      <c r="E619">
        <v>28</v>
      </c>
      <c r="F619">
        <v>13</v>
      </c>
      <c r="G619">
        <v>28</v>
      </c>
      <c r="H619">
        <v>40</v>
      </c>
      <c r="I619" t="s">
        <v>8</v>
      </c>
      <c r="J619">
        <f>IF(Tabela4[[#This Row],[4Income]]="&lt;=50K",Tabela4[[#This Row],[4Age]],NA())</f>
        <v>28</v>
      </c>
      <c r="K619">
        <f>IF(Tabela4[[#This Row],[4Income]]="&lt;=50K",Tabela4[[#This Row],[4hours-per-week]],NA())</f>
        <v>40</v>
      </c>
      <c r="L619" t="e">
        <f>IF(Tabela4[[#This Row],[4Income]]="&gt;50K",Tabela4[[#This Row],[4Age]],NA())</f>
        <v>#N/A</v>
      </c>
      <c r="M619" t="e">
        <f>IF(Tabela4[[#This Row],[4Income]]="&gt;50K",Tabela4[[#This Row],[4hours-per-week]],NA())</f>
        <v>#N/A</v>
      </c>
    </row>
    <row r="620" spans="1:13">
      <c r="A620">
        <v>39</v>
      </c>
      <c r="B620">
        <v>45</v>
      </c>
      <c r="C620">
        <v>12</v>
      </c>
      <c r="D620">
        <v>45</v>
      </c>
      <c r="E620">
        <v>39</v>
      </c>
      <c r="F620">
        <v>12</v>
      </c>
      <c r="G620">
        <v>39</v>
      </c>
      <c r="H620">
        <v>45</v>
      </c>
      <c r="I620" t="s">
        <v>19</v>
      </c>
      <c r="J620" t="e">
        <f>IF(Tabela4[[#This Row],[4Income]]="&lt;=50K",Tabela4[[#This Row],[4Age]],NA())</f>
        <v>#N/A</v>
      </c>
      <c r="K620" t="e">
        <f>IF(Tabela4[[#This Row],[4Income]]="&lt;=50K",Tabela4[[#This Row],[4hours-per-week]],NA())</f>
        <v>#N/A</v>
      </c>
      <c r="L620">
        <f>IF(Tabela4[[#This Row],[4Income]]="&gt;50K",Tabela4[[#This Row],[4Age]],NA())</f>
        <v>39</v>
      </c>
      <c r="M620">
        <f>IF(Tabela4[[#This Row],[4Income]]="&gt;50K",Tabela4[[#This Row],[4hours-per-week]],NA())</f>
        <v>45</v>
      </c>
    </row>
    <row r="621" spans="1:13">
      <c r="A621">
        <v>43</v>
      </c>
      <c r="B621">
        <v>40</v>
      </c>
      <c r="C621">
        <v>14</v>
      </c>
      <c r="D621">
        <v>40</v>
      </c>
      <c r="E621">
        <v>43</v>
      </c>
      <c r="F621">
        <v>14</v>
      </c>
      <c r="G621">
        <v>43</v>
      </c>
      <c r="H621">
        <v>40</v>
      </c>
      <c r="I621" t="s">
        <v>8</v>
      </c>
      <c r="J621">
        <f>IF(Tabela4[[#This Row],[4Income]]="&lt;=50K",Tabela4[[#This Row],[4Age]],NA())</f>
        <v>43</v>
      </c>
      <c r="K621">
        <f>IF(Tabela4[[#This Row],[4Income]]="&lt;=50K",Tabela4[[#This Row],[4hours-per-week]],NA())</f>
        <v>40</v>
      </c>
      <c r="L621" t="e">
        <f>IF(Tabela4[[#This Row],[4Income]]="&gt;50K",Tabela4[[#This Row],[4Age]],NA())</f>
        <v>#N/A</v>
      </c>
      <c r="M621" t="e">
        <f>IF(Tabela4[[#This Row],[4Income]]="&gt;50K",Tabela4[[#This Row],[4hours-per-week]],NA())</f>
        <v>#N/A</v>
      </c>
    </row>
    <row r="622" spans="1:13">
      <c r="A622">
        <v>37</v>
      </c>
      <c r="B622">
        <v>35</v>
      </c>
      <c r="C622">
        <v>10</v>
      </c>
      <c r="D622">
        <v>35</v>
      </c>
      <c r="E622">
        <v>37</v>
      </c>
      <c r="F622">
        <v>10</v>
      </c>
      <c r="G622">
        <v>37</v>
      </c>
      <c r="H622">
        <v>35</v>
      </c>
      <c r="I622" t="s">
        <v>19</v>
      </c>
      <c r="J622" t="e">
        <f>IF(Tabela4[[#This Row],[4Income]]="&lt;=50K",Tabela4[[#This Row],[4Age]],NA())</f>
        <v>#N/A</v>
      </c>
      <c r="K622" t="e">
        <f>IF(Tabela4[[#This Row],[4Income]]="&lt;=50K",Tabela4[[#This Row],[4hours-per-week]],NA())</f>
        <v>#N/A</v>
      </c>
      <c r="L622">
        <f>IF(Tabela4[[#This Row],[4Income]]="&gt;50K",Tabela4[[#This Row],[4Age]],NA())</f>
        <v>37</v>
      </c>
      <c r="M622">
        <f>IF(Tabela4[[#This Row],[4Income]]="&gt;50K",Tabela4[[#This Row],[4hours-per-week]],NA())</f>
        <v>35</v>
      </c>
    </row>
    <row r="623" spans="1:13">
      <c r="A623">
        <v>25</v>
      </c>
      <c r="B623">
        <v>50</v>
      </c>
      <c r="C623">
        <v>6</v>
      </c>
      <c r="D623">
        <v>50</v>
      </c>
      <c r="E623">
        <v>25</v>
      </c>
      <c r="F623">
        <v>6</v>
      </c>
      <c r="G623">
        <v>25</v>
      </c>
      <c r="H623">
        <v>50</v>
      </c>
      <c r="I623" t="s">
        <v>8</v>
      </c>
      <c r="J623">
        <f>IF(Tabela4[[#This Row],[4Income]]="&lt;=50K",Tabela4[[#This Row],[4Age]],NA())</f>
        <v>25</v>
      </c>
      <c r="K623">
        <f>IF(Tabela4[[#This Row],[4Income]]="&lt;=50K",Tabela4[[#This Row],[4hours-per-week]],NA())</f>
        <v>50</v>
      </c>
      <c r="L623" t="e">
        <f>IF(Tabela4[[#This Row],[4Income]]="&gt;50K",Tabela4[[#This Row],[4Age]],NA())</f>
        <v>#N/A</v>
      </c>
      <c r="M623" t="e">
        <f>IF(Tabela4[[#This Row],[4Income]]="&gt;50K",Tabela4[[#This Row],[4hours-per-week]],NA())</f>
        <v>#N/A</v>
      </c>
    </row>
    <row r="624" spans="1:13">
      <c r="A624">
        <v>41</v>
      </c>
      <c r="B624">
        <v>20</v>
      </c>
      <c r="C624">
        <v>10</v>
      </c>
      <c r="D624">
        <v>20</v>
      </c>
      <c r="E624">
        <v>41</v>
      </c>
      <c r="F624">
        <v>10</v>
      </c>
      <c r="G624">
        <v>41</v>
      </c>
      <c r="H624">
        <v>20</v>
      </c>
      <c r="I624" t="s">
        <v>8</v>
      </c>
      <c r="J624">
        <f>IF(Tabela4[[#This Row],[4Income]]="&lt;=50K",Tabela4[[#This Row],[4Age]],NA())</f>
        <v>41</v>
      </c>
      <c r="K624">
        <f>IF(Tabela4[[#This Row],[4Income]]="&lt;=50K",Tabela4[[#This Row],[4hours-per-week]],NA())</f>
        <v>20</v>
      </c>
      <c r="L624" t="e">
        <f>IF(Tabela4[[#This Row],[4Income]]="&gt;50K",Tabela4[[#This Row],[4Age]],NA())</f>
        <v>#N/A</v>
      </c>
      <c r="M624" t="e">
        <f>IF(Tabela4[[#This Row],[4Income]]="&gt;50K",Tabela4[[#This Row],[4hours-per-week]],NA())</f>
        <v>#N/A</v>
      </c>
    </row>
    <row r="625" spans="1:13">
      <c r="A625">
        <v>48</v>
      </c>
      <c r="B625">
        <v>50</v>
      </c>
      <c r="C625">
        <v>9</v>
      </c>
      <c r="D625">
        <v>50</v>
      </c>
      <c r="E625">
        <v>48</v>
      </c>
      <c r="F625">
        <v>9</v>
      </c>
      <c r="G625">
        <v>48</v>
      </c>
      <c r="H625">
        <v>50</v>
      </c>
      <c r="I625" t="s">
        <v>8</v>
      </c>
      <c r="J625">
        <f>IF(Tabela4[[#This Row],[4Income]]="&lt;=50K",Tabela4[[#This Row],[4Age]],NA())</f>
        <v>48</v>
      </c>
      <c r="K625">
        <f>IF(Tabela4[[#This Row],[4Income]]="&lt;=50K",Tabela4[[#This Row],[4hours-per-week]],NA())</f>
        <v>50</v>
      </c>
      <c r="L625" t="e">
        <f>IF(Tabela4[[#This Row],[4Income]]="&gt;50K",Tabela4[[#This Row],[4Age]],NA())</f>
        <v>#N/A</v>
      </c>
      <c r="M625" t="e">
        <f>IF(Tabela4[[#This Row],[4Income]]="&gt;50K",Tabela4[[#This Row],[4hours-per-week]],NA())</f>
        <v>#N/A</v>
      </c>
    </row>
    <row r="626" spans="1:13">
      <c r="A626">
        <v>28</v>
      </c>
      <c r="B626">
        <v>20</v>
      </c>
      <c r="C626">
        <v>9</v>
      </c>
      <c r="D626">
        <v>20</v>
      </c>
      <c r="E626">
        <v>28</v>
      </c>
      <c r="F626">
        <v>9</v>
      </c>
      <c r="G626">
        <v>28</v>
      </c>
      <c r="H626">
        <v>20</v>
      </c>
      <c r="I626" t="s">
        <v>8</v>
      </c>
      <c r="J626">
        <f>IF(Tabela4[[#This Row],[4Income]]="&lt;=50K",Tabela4[[#This Row],[4Age]],NA())</f>
        <v>28</v>
      </c>
      <c r="K626">
        <f>IF(Tabela4[[#This Row],[4Income]]="&lt;=50K",Tabela4[[#This Row],[4hours-per-week]],NA())</f>
        <v>20</v>
      </c>
      <c r="L626" t="e">
        <f>IF(Tabela4[[#This Row],[4Income]]="&gt;50K",Tabela4[[#This Row],[4Age]],NA())</f>
        <v>#N/A</v>
      </c>
      <c r="M626" t="e">
        <f>IF(Tabela4[[#This Row],[4Income]]="&gt;50K",Tabela4[[#This Row],[4hours-per-week]],NA())</f>
        <v>#N/A</v>
      </c>
    </row>
    <row r="627" spans="1:13">
      <c r="A627">
        <v>42</v>
      </c>
      <c r="B627">
        <v>40</v>
      </c>
      <c r="C627">
        <v>9</v>
      </c>
      <c r="D627">
        <v>40</v>
      </c>
      <c r="E627">
        <v>42</v>
      </c>
      <c r="F627">
        <v>9</v>
      </c>
      <c r="G627">
        <v>42</v>
      </c>
      <c r="H627">
        <v>40</v>
      </c>
      <c r="I627" t="s">
        <v>8</v>
      </c>
      <c r="J627">
        <f>IF(Tabela4[[#This Row],[4Income]]="&lt;=50K",Tabela4[[#This Row],[4Age]],NA())</f>
        <v>42</v>
      </c>
      <c r="K627">
        <f>IF(Tabela4[[#This Row],[4Income]]="&lt;=50K",Tabela4[[#This Row],[4hours-per-week]],NA())</f>
        <v>40</v>
      </c>
      <c r="L627" t="e">
        <f>IF(Tabela4[[#This Row],[4Income]]="&gt;50K",Tabela4[[#This Row],[4Age]],NA())</f>
        <v>#N/A</v>
      </c>
      <c r="M627" t="e">
        <f>IF(Tabela4[[#This Row],[4Income]]="&gt;50K",Tabela4[[#This Row],[4hours-per-week]],NA())</f>
        <v>#N/A</v>
      </c>
    </row>
    <row r="628" spans="1:13">
      <c r="A628">
        <v>42</v>
      </c>
      <c r="B628">
        <v>40</v>
      </c>
      <c r="C628">
        <v>10</v>
      </c>
      <c r="D628">
        <v>40</v>
      </c>
      <c r="E628">
        <v>42</v>
      </c>
      <c r="F628">
        <v>10</v>
      </c>
      <c r="G628">
        <v>42</v>
      </c>
      <c r="H628">
        <v>40</v>
      </c>
      <c r="I628" t="s">
        <v>19</v>
      </c>
      <c r="J628" t="e">
        <f>IF(Tabela4[[#This Row],[4Income]]="&lt;=50K",Tabela4[[#This Row],[4Age]],NA())</f>
        <v>#N/A</v>
      </c>
      <c r="K628" t="e">
        <f>IF(Tabela4[[#This Row],[4Income]]="&lt;=50K",Tabela4[[#This Row],[4hours-per-week]],NA())</f>
        <v>#N/A</v>
      </c>
      <c r="L628">
        <f>IF(Tabela4[[#This Row],[4Income]]="&gt;50K",Tabela4[[#This Row],[4Age]],NA())</f>
        <v>42</v>
      </c>
      <c r="M628">
        <f>IF(Tabela4[[#This Row],[4Income]]="&gt;50K",Tabela4[[#This Row],[4hours-per-week]],NA())</f>
        <v>40</v>
      </c>
    </row>
    <row r="629" spans="1:13">
      <c r="A629">
        <v>57</v>
      </c>
      <c r="B629">
        <v>40</v>
      </c>
      <c r="C629">
        <v>16</v>
      </c>
      <c r="D629">
        <v>40</v>
      </c>
      <c r="E629">
        <v>57</v>
      </c>
      <c r="F629">
        <v>16</v>
      </c>
      <c r="G629">
        <v>57</v>
      </c>
      <c r="H629">
        <v>40</v>
      </c>
      <c r="I629" t="s">
        <v>19</v>
      </c>
      <c r="J629" t="e">
        <f>IF(Tabela4[[#This Row],[4Income]]="&lt;=50K",Tabela4[[#This Row],[4Age]],NA())</f>
        <v>#N/A</v>
      </c>
      <c r="K629" t="e">
        <f>IF(Tabela4[[#This Row],[4Income]]="&lt;=50K",Tabela4[[#This Row],[4hours-per-week]],NA())</f>
        <v>#N/A</v>
      </c>
      <c r="L629">
        <f>IF(Tabela4[[#This Row],[4Income]]="&gt;50K",Tabela4[[#This Row],[4Age]],NA())</f>
        <v>57</v>
      </c>
      <c r="M629">
        <f>IF(Tabela4[[#This Row],[4Income]]="&gt;50K",Tabela4[[#This Row],[4hours-per-week]],NA())</f>
        <v>40</v>
      </c>
    </row>
    <row r="630" spans="1:13">
      <c r="A630">
        <v>36</v>
      </c>
      <c r="B630">
        <v>40</v>
      </c>
      <c r="C630">
        <v>11</v>
      </c>
      <c r="D630">
        <v>40</v>
      </c>
      <c r="E630">
        <v>36</v>
      </c>
      <c r="F630">
        <v>11</v>
      </c>
      <c r="G630">
        <v>36</v>
      </c>
      <c r="H630">
        <v>40</v>
      </c>
      <c r="I630" t="s">
        <v>8</v>
      </c>
      <c r="J630">
        <f>IF(Tabela4[[#This Row],[4Income]]="&lt;=50K",Tabela4[[#This Row],[4Age]],NA())</f>
        <v>36</v>
      </c>
      <c r="K630">
        <f>IF(Tabela4[[#This Row],[4Income]]="&lt;=50K",Tabela4[[#This Row],[4hours-per-week]],NA())</f>
        <v>40</v>
      </c>
      <c r="L630" t="e">
        <f>IF(Tabela4[[#This Row],[4Income]]="&gt;50K",Tabela4[[#This Row],[4Age]],NA())</f>
        <v>#N/A</v>
      </c>
      <c r="M630" t="e">
        <f>IF(Tabela4[[#This Row],[4Income]]="&gt;50K",Tabela4[[#This Row],[4hours-per-week]],NA())</f>
        <v>#N/A</v>
      </c>
    </row>
    <row r="631" spans="1:13">
      <c r="A631">
        <v>34</v>
      </c>
      <c r="B631">
        <v>60</v>
      </c>
      <c r="C631">
        <v>13</v>
      </c>
      <c r="D631">
        <v>60</v>
      </c>
      <c r="E631">
        <v>34</v>
      </c>
      <c r="F631">
        <v>13</v>
      </c>
      <c r="G631">
        <v>34</v>
      </c>
      <c r="H631">
        <v>60</v>
      </c>
      <c r="I631" t="s">
        <v>8</v>
      </c>
      <c r="J631">
        <f>IF(Tabela4[[#This Row],[4Income]]="&lt;=50K",Tabela4[[#This Row],[4Age]],NA())</f>
        <v>34</v>
      </c>
      <c r="K631">
        <f>IF(Tabela4[[#This Row],[4Income]]="&lt;=50K",Tabela4[[#This Row],[4hours-per-week]],NA())</f>
        <v>60</v>
      </c>
      <c r="L631" t="e">
        <f>IF(Tabela4[[#This Row],[4Income]]="&gt;50K",Tabela4[[#This Row],[4Age]],NA())</f>
        <v>#N/A</v>
      </c>
      <c r="M631" t="e">
        <f>IF(Tabela4[[#This Row],[4Income]]="&gt;50K",Tabela4[[#This Row],[4hours-per-week]],NA())</f>
        <v>#N/A</v>
      </c>
    </row>
    <row r="632" spans="1:13">
      <c r="A632">
        <v>18</v>
      </c>
      <c r="B632">
        <v>60</v>
      </c>
      <c r="C632">
        <v>9</v>
      </c>
      <c r="D632">
        <v>60</v>
      </c>
      <c r="E632">
        <v>18</v>
      </c>
      <c r="F632">
        <v>9</v>
      </c>
      <c r="G632">
        <v>18</v>
      </c>
      <c r="H632">
        <v>60</v>
      </c>
      <c r="I632" t="s">
        <v>8</v>
      </c>
      <c r="J632">
        <f>IF(Tabela4[[#This Row],[4Income]]="&lt;=50K",Tabela4[[#This Row],[4Age]],NA())</f>
        <v>18</v>
      </c>
      <c r="K632">
        <f>IF(Tabela4[[#This Row],[4Income]]="&lt;=50K",Tabela4[[#This Row],[4hours-per-week]],NA())</f>
        <v>60</v>
      </c>
      <c r="L632" t="e">
        <f>IF(Tabela4[[#This Row],[4Income]]="&gt;50K",Tabela4[[#This Row],[4Age]],NA())</f>
        <v>#N/A</v>
      </c>
      <c r="M632" t="e">
        <f>IF(Tabela4[[#This Row],[4Income]]="&gt;50K",Tabela4[[#This Row],[4hours-per-week]],NA())</f>
        <v>#N/A</v>
      </c>
    </row>
    <row r="633" spans="1:13">
      <c r="A633">
        <v>17</v>
      </c>
      <c r="B633">
        <v>24</v>
      </c>
      <c r="C633">
        <v>6</v>
      </c>
      <c r="D633">
        <v>24</v>
      </c>
      <c r="E633">
        <v>17</v>
      </c>
      <c r="F633">
        <v>6</v>
      </c>
      <c r="G633">
        <v>17</v>
      </c>
      <c r="H633">
        <v>24</v>
      </c>
      <c r="I633" t="s">
        <v>8</v>
      </c>
      <c r="J633">
        <f>IF(Tabela4[[#This Row],[4Income]]="&lt;=50K",Tabela4[[#This Row],[4Age]],NA())</f>
        <v>17</v>
      </c>
      <c r="K633">
        <f>IF(Tabela4[[#This Row],[4Income]]="&lt;=50K",Tabela4[[#This Row],[4hours-per-week]],NA())</f>
        <v>24</v>
      </c>
      <c r="L633" t="e">
        <f>IF(Tabela4[[#This Row],[4Income]]="&gt;50K",Tabela4[[#This Row],[4Age]],NA())</f>
        <v>#N/A</v>
      </c>
      <c r="M633" t="e">
        <f>IF(Tabela4[[#This Row],[4Income]]="&gt;50K",Tabela4[[#This Row],[4hours-per-week]],NA())</f>
        <v>#N/A</v>
      </c>
    </row>
    <row r="634" spans="1:13">
      <c r="A634">
        <v>34</v>
      </c>
      <c r="B634">
        <v>55</v>
      </c>
      <c r="C634">
        <v>9</v>
      </c>
      <c r="D634">
        <v>55</v>
      </c>
      <c r="E634">
        <v>34</v>
      </c>
      <c r="F634">
        <v>9</v>
      </c>
      <c r="G634">
        <v>34</v>
      </c>
      <c r="H634">
        <v>55</v>
      </c>
      <c r="I634" t="s">
        <v>8</v>
      </c>
      <c r="J634">
        <f>IF(Tabela4[[#This Row],[4Income]]="&lt;=50K",Tabela4[[#This Row],[4Age]],NA())</f>
        <v>34</v>
      </c>
      <c r="K634">
        <f>IF(Tabela4[[#This Row],[4Income]]="&lt;=50K",Tabela4[[#This Row],[4hours-per-week]],NA())</f>
        <v>55</v>
      </c>
      <c r="L634" t="e">
        <f>IF(Tabela4[[#This Row],[4Income]]="&gt;50K",Tabela4[[#This Row],[4Age]],NA())</f>
        <v>#N/A</v>
      </c>
      <c r="M634" t="e">
        <f>IF(Tabela4[[#This Row],[4Income]]="&gt;50K",Tabela4[[#This Row],[4hours-per-week]],NA())</f>
        <v>#N/A</v>
      </c>
    </row>
    <row r="635" spans="1:13">
      <c r="A635">
        <v>40</v>
      </c>
      <c r="B635">
        <v>50</v>
      </c>
      <c r="C635">
        <v>10</v>
      </c>
      <c r="D635">
        <v>50</v>
      </c>
      <c r="E635">
        <v>40</v>
      </c>
      <c r="F635">
        <v>10</v>
      </c>
      <c r="G635">
        <v>40</v>
      </c>
      <c r="H635">
        <v>50</v>
      </c>
      <c r="I635" t="s">
        <v>8</v>
      </c>
      <c r="J635">
        <f>IF(Tabela4[[#This Row],[4Income]]="&lt;=50K",Tabela4[[#This Row],[4Age]],NA())</f>
        <v>40</v>
      </c>
      <c r="K635">
        <f>IF(Tabela4[[#This Row],[4Income]]="&lt;=50K",Tabela4[[#This Row],[4hours-per-week]],NA())</f>
        <v>50</v>
      </c>
      <c r="L635" t="e">
        <f>IF(Tabela4[[#This Row],[4Income]]="&gt;50K",Tabela4[[#This Row],[4Age]],NA())</f>
        <v>#N/A</v>
      </c>
      <c r="M635" t="e">
        <f>IF(Tabela4[[#This Row],[4Income]]="&gt;50K",Tabela4[[#This Row],[4hours-per-week]],NA())</f>
        <v>#N/A</v>
      </c>
    </row>
    <row r="636" spans="1:13">
      <c r="A636">
        <v>26</v>
      </c>
      <c r="B636">
        <v>25</v>
      </c>
      <c r="C636">
        <v>9</v>
      </c>
      <c r="D636">
        <v>25</v>
      </c>
      <c r="E636">
        <v>26</v>
      </c>
      <c r="F636">
        <v>9</v>
      </c>
      <c r="G636">
        <v>26</v>
      </c>
      <c r="H636">
        <v>25</v>
      </c>
      <c r="I636" t="s">
        <v>8</v>
      </c>
      <c r="J636">
        <f>IF(Tabela4[[#This Row],[4Income]]="&lt;=50K",Tabela4[[#This Row],[4Age]],NA())</f>
        <v>26</v>
      </c>
      <c r="K636">
        <f>IF(Tabela4[[#This Row],[4Income]]="&lt;=50K",Tabela4[[#This Row],[4hours-per-week]],NA())</f>
        <v>25</v>
      </c>
      <c r="L636" t="e">
        <f>IF(Tabela4[[#This Row],[4Income]]="&gt;50K",Tabela4[[#This Row],[4Age]],NA())</f>
        <v>#N/A</v>
      </c>
      <c r="M636" t="e">
        <f>IF(Tabela4[[#This Row],[4Income]]="&gt;50K",Tabela4[[#This Row],[4hours-per-week]],NA())</f>
        <v>#N/A</v>
      </c>
    </row>
    <row r="637" spans="1:13">
      <c r="A637">
        <v>66</v>
      </c>
      <c r="B637">
        <v>55</v>
      </c>
      <c r="C637">
        <v>13</v>
      </c>
      <c r="D637">
        <v>55</v>
      </c>
      <c r="E637">
        <v>66</v>
      </c>
      <c r="F637">
        <v>13</v>
      </c>
      <c r="G637">
        <v>66</v>
      </c>
      <c r="H637">
        <v>55</v>
      </c>
      <c r="I637" t="s">
        <v>19</v>
      </c>
      <c r="J637" t="e">
        <f>IF(Tabela4[[#This Row],[4Income]]="&lt;=50K",Tabela4[[#This Row],[4Age]],NA())</f>
        <v>#N/A</v>
      </c>
      <c r="K637" t="e">
        <f>IF(Tabela4[[#This Row],[4Income]]="&lt;=50K",Tabela4[[#This Row],[4hours-per-week]],NA())</f>
        <v>#N/A</v>
      </c>
      <c r="L637">
        <f>IF(Tabela4[[#This Row],[4Income]]="&gt;50K",Tabela4[[#This Row],[4Age]],NA())</f>
        <v>66</v>
      </c>
      <c r="M637">
        <f>IF(Tabela4[[#This Row],[4Income]]="&gt;50K",Tabela4[[#This Row],[4hours-per-week]],NA())</f>
        <v>55</v>
      </c>
    </row>
    <row r="638" spans="1:13">
      <c r="A638">
        <v>37</v>
      </c>
      <c r="B638">
        <v>40</v>
      </c>
      <c r="C638">
        <v>9</v>
      </c>
      <c r="D638">
        <v>40</v>
      </c>
      <c r="E638">
        <v>37</v>
      </c>
      <c r="F638">
        <v>9</v>
      </c>
      <c r="G638">
        <v>37</v>
      </c>
      <c r="H638">
        <v>40</v>
      </c>
      <c r="I638" t="s">
        <v>8</v>
      </c>
      <c r="J638">
        <f>IF(Tabela4[[#This Row],[4Income]]="&lt;=50K",Tabela4[[#This Row],[4Age]],NA())</f>
        <v>37</v>
      </c>
      <c r="K638">
        <f>IF(Tabela4[[#This Row],[4Income]]="&lt;=50K",Tabela4[[#This Row],[4hours-per-week]],NA())</f>
        <v>40</v>
      </c>
      <c r="L638" t="e">
        <f>IF(Tabela4[[#This Row],[4Income]]="&gt;50K",Tabela4[[#This Row],[4Age]],NA())</f>
        <v>#N/A</v>
      </c>
      <c r="M638" t="e">
        <f>IF(Tabela4[[#This Row],[4Income]]="&gt;50K",Tabela4[[#This Row],[4hours-per-week]],NA())</f>
        <v>#N/A</v>
      </c>
    </row>
    <row r="639" spans="1:13">
      <c r="A639">
        <v>41</v>
      </c>
      <c r="B639">
        <v>48</v>
      </c>
      <c r="C639">
        <v>10</v>
      </c>
      <c r="D639">
        <v>48</v>
      </c>
      <c r="E639">
        <v>41</v>
      </c>
      <c r="F639">
        <v>10</v>
      </c>
      <c r="G639">
        <v>41</v>
      </c>
      <c r="H639">
        <v>48</v>
      </c>
      <c r="I639" t="s">
        <v>19</v>
      </c>
      <c r="J639" t="e">
        <f>IF(Tabela4[[#This Row],[4Income]]="&lt;=50K",Tabela4[[#This Row],[4Age]],NA())</f>
        <v>#N/A</v>
      </c>
      <c r="K639" t="e">
        <f>IF(Tabela4[[#This Row],[4Income]]="&lt;=50K",Tabela4[[#This Row],[4hours-per-week]],NA())</f>
        <v>#N/A</v>
      </c>
      <c r="L639">
        <f>IF(Tabela4[[#This Row],[4Income]]="&gt;50K",Tabela4[[#This Row],[4Age]],NA())</f>
        <v>41</v>
      </c>
      <c r="M639">
        <f>IF(Tabela4[[#This Row],[4Income]]="&gt;50K",Tabela4[[#This Row],[4hours-per-week]],NA())</f>
        <v>48</v>
      </c>
    </row>
    <row r="640" spans="1:13">
      <c r="A640">
        <v>65</v>
      </c>
      <c r="B640">
        <v>40</v>
      </c>
      <c r="C640">
        <v>4</v>
      </c>
      <c r="D640">
        <v>40</v>
      </c>
      <c r="E640">
        <v>65</v>
      </c>
      <c r="F640">
        <v>4</v>
      </c>
      <c r="G640">
        <v>65</v>
      </c>
      <c r="H640">
        <v>40</v>
      </c>
      <c r="I640" t="s">
        <v>8</v>
      </c>
      <c r="J640">
        <f>IF(Tabela4[[#This Row],[4Income]]="&lt;=50K",Tabela4[[#This Row],[4Age]],NA())</f>
        <v>65</v>
      </c>
      <c r="K640">
        <f>IF(Tabela4[[#This Row],[4Income]]="&lt;=50K",Tabela4[[#This Row],[4hours-per-week]],NA())</f>
        <v>40</v>
      </c>
      <c r="L640" t="e">
        <f>IF(Tabela4[[#This Row],[4Income]]="&gt;50K",Tabela4[[#This Row],[4Age]],NA())</f>
        <v>#N/A</v>
      </c>
      <c r="M640" t="e">
        <f>IF(Tabela4[[#This Row],[4Income]]="&gt;50K",Tabela4[[#This Row],[4hours-per-week]],NA())</f>
        <v>#N/A</v>
      </c>
    </row>
    <row r="641" spans="1:13">
      <c r="A641">
        <v>54</v>
      </c>
      <c r="B641">
        <v>40</v>
      </c>
      <c r="C641">
        <v>14</v>
      </c>
      <c r="D641">
        <v>40</v>
      </c>
      <c r="E641">
        <v>54</v>
      </c>
      <c r="F641">
        <v>14</v>
      </c>
      <c r="G641">
        <v>54</v>
      </c>
      <c r="H641">
        <v>40</v>
      </c>
      <c r="I641" t="s">
        <v>19</v>
      </c>
      <c r="J641" t="e">
        <f>IF(Tabela4[[#This Row],[4Income]]="&lt;=50K",Tabela4[[#This Row],[4Age]],NA())</f>
        <v>#N/A</v>
      </c>
      <c r="K641" t="e">
        <f>IF(Tabela4[[#This Row],[4Income]]="&lt;=50K",Tabela4[[#This Row],[4hours-per-week]],NA())</f>
        <v>#N/A</v>
      </c>
      <c r="L641">
        <f>IF(Tabela4[[#This Row],[4Income]]="&gt;50K",Tabela4[[#This Row],[4Age]],NA())</f>
        <v>54</v>
      </c>
      <c r="M641">
        <f>IF(Tabela4[[#This Row],[4Income]]="&gt;50K",Tabela4[[#This Row],[4hours-per-week]],NA())</f>
        <v>40</v>
      </c>
    </row>
    <row r="642" spans="1:13">
      <c r="A642">
        <v>42</v>
      </c>
      <c r="B642">
        <v>40</v>
      </c>
      <c r="C642">
        <v>9</v>
      </c>
      <c r="D642">
        <v>40</v>
      </c>
      <c r="E642">
        <v>42</v>
      </c>
      <c r="F642">
        <v>9</v>
      </c>
      <c r="G642">
        <v>42</v>
      </c>
      <c r="H642">
        <v>40</v>
      </c>
      <c r="I642" t="s">
        <v>8</v>
      </c>
      <c r="J642">
        <f>IF(Tabela4[[#This Row],[4Income]]="&lt;=50K",Tabela4[[#This Row],[4Age]],NA())</f>
        <v>42</v>
      </c>
      <c r="K642">
        <f>IF(Tabela4[[#This Row],[4Income]]="&lt;=50K",Tabela4[[#This Row],[4hours-per-week]],NA())</f>
        <v>40</v>
      </c>
      <c r="L642" t="e">
        <f>IF(Tabela4[[#This Row],[4Income]]="&gt;50K",Tabela4[[#This Row],[4Age]],NA())</f>
        <v>#N/A</v>
      </c>
      <c r="M642" t="e">
        <f>IF(Tabela4[[#This Row],[4Income]]="&gt;50K",Tabela4[[#This Row],[4hours-per-week]],NA())</f>
        <v>#N/A</v>
      </c>
    </row>
    <row r="643" spans="1:13">
      <c r="A643">
        <v>30</v>
      </c>
      <c r="B643">
        <v>60</v>
      </c>
      <c r="C643">
        <v>10</v>
      </c>
      <c r="D643">
        <v>60</v>
      </c>
      <c r="E643">
        <v>30</v>
      </c>
      <c r="F643">
        <v>10</v>
      </c>
      <c r="G643">
        <v>30</v>
      </c>
      <c r="H643">
        <v>60</v>
      </c>
      <c r="I643" t="s">
        <v>19</v>
      </c>
      <c r="J643" t="e">
        <f>IF(Tabela4[[#This Row],[4Income]]="&lt;=50K",Tabela4[[#This Row],[4Age]],NA())</f>
        <v>#N/A</v>
      </c>
      <c r="K643" t="e">
        <f>IF(Tabela4[[#This Row],[4Income]]="&lt;=50K",Tabela4[[#This Row],[4hours-per-week]],NA())</f>
        <v>#N/A</v>
      </c>
      <c r="L643">
        <f>IF(Tabela4[[#This Row],[4Income]]="&gt;50K",Tabela4[[#This Row],[4Age]],NA())</f>
        <v>30</v>
      </c>
      <c r="M643">
        <f>IF(Tabela4[[#This Row],[4Income]]="&gt;50K",Tabela4[[#This Row],[4hours-per-week]],NA())</f>
        <v>60</v>
      </c>
    </row>
    <row r="644" spans="1:13">
      <c r="A644">
        <v>30</v>
      </c>
      <c r="B644">
        <v>99</v>
      </c>
      <c r="C644">
        <v>13</v>
      </c>
      <c r="D644">
        <v>99</v>
      </c>
      <c r="E644">
        <v>30</v>
      </c>
      <c r="F644">
        <v>13</v>
      </c>
      <c r="G644">
        <v>30</v>
      </c>
      <c r="H644">
        <v>99</v>
      </c>
      <c r="I644" t="s">
        <v>8</v>
      </c>
      <c r="J644">
        <f>IF(Tabela4[[#This Row],[4Income]]="&lt;=50K",Tabela4[[#This Row],[4Age]],NA())</f>
        <v>30</v>
      </c>
      <c r="K644">
        <f>IF(Tabela4[[#This Row],[4Income]]="&lt;=50K",Tabela4[[#This Row],[4hours-per-week]],NA())</f>
        <v>99</v>
      </c>
      <c r="L644" t="e">
        <f>IF(Tabela4[[#This Row],[4Income]]="&gt;50K",Tabela4[[#This Row],[4Age]],NA())</f>
        <v>#N/A</v>
      </c>
      <c r="M644" t="e">
        <f>IF(Tabela4[[#This Row],[4Income]]="&gt;50K",Tabela4[[#This Row],[4hours-per-week]],NA())</f>
        <v>#N/A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A647D-FDC9-48DD-84D5-E482AC139337}">
  <dimension ref="A1:B102"/>
  <sheetViews>
    <sheetView workbookViewId="0">
      <selection activeCell="M4" sqref="M4"/>
    </sheetView>
  </sheetViews>
  <sheetFormatPr defaultRowHeight="14.25"/>
  <cols>
    <col min="1" max="1" width="10.125" customWidth="1"/>
  </cols>
  <sheetData>
    <row r="1" spans="1:2">
      <c r="A1" t="s">
        <v>760</v>
      </c>
      <c r="B1" t="s">
        <v>761</v>
      </c>
    </row>
    <row r="2" spans="1:2">
      <c r="A2">
        <v>6.2350530716379852E-4</v>
      </c>
      <c r="B2">
        <v>0</v>
      </c>
    </row>
    <row r="3" spans="1:2">
      <c r="A3">
        <v>7.583041210660952E-4</v>
      </c>
      <c r="B3">
        <v>1</v>
      </c>
    </row>
    <row r="4" spans="1:2">
      <c r="A4">
        <v>9.1751847838662565E-4</v>
      </c>
      <c r="B4">
        <v>2</v>
      </c>
    </row>
    <row r="5" spans="1:2">
      <c r="A5">
        <v>1.1044711201028878E-3</v>
      </c>
      <c r="B5">
        <v>3</v>
      </c>
    </row>
    <row r="6" spans="1:2">
      <c r="A6">
        <v>1.3227021234662524E-3</v>
      </c>
      <c r="B6">
        <v>4</v>
      </c>
    </row>
    <row r="7" spans="1:2">
      <c r="A7">
        <v>1.5759334681047855E-3</v>
      </c>
      <c r="B7">
        <v>5</v>
      </c>
    </row>
    <row r="8" spans="1:2">
      <c r="A8">
        <v>1.8680214046298133E-3</v>
      </c>
      <c r="B8">
        <v>6</v>
      </c>
    </row>
    <row r="9" spans="1:2">
      <c r="A9">
        <v>2.2028958225335528E-3</v>
      </c>
      <c r="B9">
        <v>7</v>
      </c>
    </row>
    <row r="10" spans="1:2">
      <c r="A10">
        <v>2.5844861668458305E-3</v>
      </c>
      <c r="B10">
        <v>8</v>
      </c>
    </row>
    <row r="11" spans="1:2">
      <c r="A11">
        <v>3.0166338930591456E-3</v>
      </c>
      <c r="B11">
        <v>9</v>
      </c>
    </row>
    <row r="12" spans="1:2">
      <c r="A12">
        <v>3.5029919715941688E-3</v>
      </c>
      <c r="B12">
        <v>10</v>
      </c>
    </row>
    <row r="13" spans="1:2">
      <c r="A13">
        <v>4.0469125453490244E-3</v>
      </c>
      <c r="B13">
        <v>11</v>
      </c>
    </row>
    <row r="14" spans="1:2">
      <c r="A14">
        <v>4.6513244895372763E-3</v>
      </c>
      <c r="B14">
        <v>12</v>
      </c>
    </row>
    <row r="15" spans="1:2">
      <c r="A15">
        <v>5.318603299055303E-3</v>
      </c>
      <c r="B15">
        <v>13</v>
      </c>
    </row>
    <row r="16" spans="1:2">
      <c r="A16">
        <v>6.0504364065100688E-3</v>
      </c>
      <c r="B16">
        <v>14</v>
      </c>
    </row>
    <row r="17" spans="1:2">
      <c r="A17">
        <v>6.847687680584324E-3</v>
      </c>
      <c r="B17">
        <v>15</v>
      </c>
    </row>
    <row r="18" spans="1:2">
      <c r="A18">
        <v>7.7102654330056209E-3</v>
      </c>
      <c r="B18">
        <v>16</v>
      </c>
    </row>
    <row r="19" spans="1:2">
      <c r="A19">
        <v>8.6369987346742103E-3</v>
      </c>
      <c r="B19">
        <v>17</v>
      </c>
    </row>
    <row r="20" spans="1:2">
      <c r="A20">
        <v>9.625527169466094E-3</v>
      </c>
      <c r="B20">
        <v>18</v>
      </c>
    </row>
    <row r="21" spans="1:2">
      <c r="A21">
        <v>1.0672209302468733E-2</v>
      </c>
      <c r="B21">
        <v>19</v>
      </c>
    </row>
    <row r="22" spans="1:2">
      <c r="A22">
        <v>1.1772055077634904E-2</v>
      </c>
      <c r="B22">
        <v>20</v>
      </c>
    </row>
    <row r="23" spans="1:2">
      <c r="A23">
        <v>1.2918687065316719E-2</v>
      </c>
      <c r="B23">
        <v>21</v>
      </c>
    </row>
    <row r="24" spans="1:2">
      <c r="A24">
        <v>1.4104334939958406E-2</v>
      </c>
      <c r="B24">
        <v>22</v>
      </c>
    </row>
    <row r="25" spans="1:2">
      <c r="A25">
        <v>1.5319866781215259E-2</v>
      </c>
      <c r="B25">
        <v>23</v>
      </c>
    </row>
    <row r="26" spans="1:2">
      <c r="A26">
        <v>1.6554859769873614E-2</v>
      </c>
      <c r="B26">
        <v>24</v>
      </c>
    </row>
    <row r="27" spans="1:2">
      <c r="A27">
        <v>1.7797711618910864E-2</v>
      </c>
      <c r="B27">
        <v>25</v>
      </c>
    </row>
    <row r="28" spans="1:2">
      <c r="A28">
        <v>1.9035792679250006E-2</v>
      </c>
      <c r="B28">
        <v>26</v>
      </c>
    </row>
    <row r="29" spans="1:2">
      <c r="A29">
        <v>2.0255637141258827E-2</v>
      </c>
      <c r="B29">
        <v>27</v>
      </c>
    </row>
    <row r="30" spans="1:2">
      <c r="A30">
        <v>2.1443170179561405E-2</v>
      </c>
      <c r="B30">
        <v>28</v>
      </c>
    </row>
    <row r="31" spans="1:2">
      <c r="A31">
        <v>2.2583966330957574E-2</v>
      </c>
      <c r="B31">
        <v>29</v>
      </c>
    </row>
    <row r="32" spans="1:2">
      <c r="A32">
        <v>2.3663532928326819E-2</v>
      </c>
      <c r="B32">
        <v>30</v>
      </c>
    </row>
    <row r="33" spans="1:2">
      <c r="A33">
        <v>2.4667611112886834E-2</v>
      </c>
      <c r="B33">
        <v>31</v>
      </c>
    </row>
    <row r="34" spans="1:2">
      <c r="A34">
        <v>2.5582485884722023E-2</v>
      </c>
      <c r="B34">
        <v>32</v>
      </c>
    </row>
    <row r="35" spans="1:2">
      <c r="A35">
        <v>2.639529589043808E-2</v>
      </c>
      <c r="B35">
        <v>33</v>
      </c>
    </row>
    <row r="36" spans="1:2">
      <c r="A36">
        <v>2.7094333238081764E-2</v>
      </c>
      <c r="B36">
        <v>34</v>
      </c>
    </row>
    <row r="37" spans="1:2">
      <c r="A37">
        <v>2.7669323608092069E-2</v>
      </c>
      <c r="B37">
        <v>35</v>
      </c>
    </row>
    <row r="38" spans="1:2">
      <c r="A38">
        <v>2.8111677311359041E-2</v>
      </c>
      <c r="B38">
        <v>36</v>
      </c>
    </row>
    <row r="39" spans="1:2">
      <c r="A39">
        <v>2.8414702727463912E-2</v>
      </c>
      <c r="B39">
        <v>37</v>
      </c>
    </row>
    <row r="40" spans="1:2">
      <c r="A40">
        <v>2.8573774713060843E-2</v>
      </c>
      <c r="B40">
        <v>38</v>
      </c>
    </row>
    <row r="41" spans="1:2">
      <c r="A41">
        <v>2.8586452057338757E-2</v>
      </c>
      <c r="B41">
        <v>39</v>
      </c>
    </row>
    <row r="42" spans="1:2">
      <c r="A42">
        <v>2.8452539815839461E-2</v>
      </c>
      <c r="B42">
        <v>40</v>
      </c>
    </row>
    <row r="43" spans="1:2">
      <c r="A43">
        <v>2.8174094298149141E-2</v>
      </c>
      <c r="B43">
        <v>41</v>
      </c>
    </row>
    <row r="44" spans="1:2">
      <c r="A44">
        <v>2.7755370531112673E-2</v>
      </c>
      <c r="B44">
        <v>42</v>
      </c>
    </row>
    <row r="45" spans="1:2">
      <c r="A45">
        <v>2.7202714073538331E-2</v>
      </c>
      <c r="B45">
        <v>43</v>
      </c>
    </row>
    <row r="46" spans="1:2">
      <c r="A46">
        <v>2.6524401026699698E-2</v>
      </c>
      <c r="B46">
        <v>44</v>
      </c>
    </row>
    <row r="47" spans="1:2">
      <c r="A47">
        <v>2.5730431877945902E-2</v>
      </c>
      <c r="B47">
        <v>45</v>
      </c>
    </row>
    <row r="48" spans="1:2">
      <c r="A48">
        <v>2.4832286352801235E-2</v>
      </c>
      <c r="B48">
        <v>46</v>
      </c>
    </row>
    <row r="49" spans="1:2">
      <c r="A49">
        <v>2.3842647668537571E-2</v>
      </c>
      <c r="B49">
        <v>47</v>
      </c>
    </row>
    <row r="50" spans="1:2">
      <c r="A50">
        <v>2.2775105431263768E-2</v>
      </c>
      <c r="B50">
        <v>48</v>
      </c>
    </row>
    <row r="51" spans="1:2">
      <c r="A51">
        <v>2.1643846870750445E-2</v>
      </c>
      <c r="B51">
        <v>49</v>
      </c>
    </row>
    <row r="52" spans="1:2">
      <c r="A52">
        <v>2.0463346154908725E-2</v>
      </c>
      <c r="B52">
        <v>50</v>
      </c>
    </row>
    <row r="53" spans="1:2">
      <c r="A53">
        <v>1.9248061181982835E-2</v>
      </c>
      <c r="B53">
        <v>51</v>
      </c>
    </row>
    <row r="54" spans="1:2">
      <c r="A54">
        <v>1.8012146545047267E-2</v>
      </c>
      <c r="B54">
        <v>52</v>
      </c>
    </row>
    <row r="55" spans="1:2">
      <c r="A55">
        <v>1.6769190348745876E-2</v>
      </c>
      <c r="B55">
        <v>53</v>
      </c>
    </row>
    <row r="56" spans="1:2">
      <c r="A56">
        <v>1.5531981293859151E-2</v>
      </c>
      <c r="B56">
        <v>54</v>
      </c>
    </row>
    <row r="57" spans="1:2">
      <c r="A57">
        <v>1.4312311001751274E-2</v>
      </c>
      <c r="B57">
        <v>55</v>
      </c>
    </row>
    <row r="58" spans="1:2">
      <c r="A58">
        <v>1.3120815003228694E-2</v>
      </c>
      <c r="B58">
        <v>56</v>
      </c>
    </row>
    <row r="59" spans="1:2">
      <c r="A59">
        <v>1.1966854240351108E-2</v>
      </c>
      <c r="B59">
        <v>57</v>
      </c>
    </row>
    <row r="60" spans="1:2">
      <c r="A60">
        <v>1.0858437396998268E-2</v>
      </c>
      <c r="B60">
        <v>58</v>
      </c>
    </row>
    <row r="61" spans="1:2">
      <c r="A61">
        <v>9.8021829488457828E-3</v>
      </c>
      <c r="B61">
        <v>59</v>
      </c>
    </row>
    <row r="62" spans="1:2">
      <c r="A62">
        <v>8.8033185598798153E-3</v>
      </c>
      <c r="B62">
        <v>60</v>
      </c>
    </row>
    <row r="63" spans="1:2">
      <c r="A63">
        <v>7.8657143923580759E-3</v>
      </c>
      <c r="B63">
        <v>61</v>
      </c>
    </row>
    <row r="64" spans="1:2">
      <c r="A64">
        <v>6.9919460683325468E-3</v>
      </c>
      <c r="B64">
        <v>62</v>
      </c>
    </row>
    <row r="65" spans="1:2">
      <c r="A65">
        <v>6.1833824377877777E-3</v>
      </c>
      <c r="B65">
        <v>63</v>
      </c>
    </row>
    <row r="66" spans="1:2">
      <c r="A66">
        <v>5.4402929721332162E-3</v>
      </c>
      <c r="B66">
        <v>64</v>
      </c>
    </row>
    <row r="67" spans="1:2">
      <c r="A67">
        <v>4.76196950121348E-3</v>
      </c>
      <c r="B67">
        <v>65</v>
      </c>
    </row>
    <row r="68" spans="1:2">
      <c r="A68">
        <v>4.146857125970729E-3</v>
      </c>
      <c r="B68">
        <v>66</v>
      </c>
    </row>
    <row r="69" spans="1:2">
      <c r="A69">
        <v>3.5926894382466283E-3</v>
      </c>
      <c r="B69">
        <v>67</v>
      </c>
    </row>
    <row r="70" spans="1:2">
      <c r="A70">
        <v>3.0966236292580898E-3</v>
      </c>
      <c r="B70">
        <v>68</v>
      </c>
    </row>
    <row r="71" spans="1:2">
      <c r="A71">
        <v>2.655371631277006E-3</v>
      </c>
      <c r="B71">
        <v>69</v>
      </c>
    </row>
    <row r="72" spans="1:2">
      <c r="A72">
        <v>2.2653240745456609E-3</v>
      </c>
      <c r="B72">
        <v>70</v>
      </c>
    </row>
    <row r="73" spans="1:2">
      <c r="A73">
        <v>1.9226645164236921E-3</v>
      </c>
      <c r="B73">
        <v>71</v>
      </c>
    </row>
    <row r="74" spans="1:2">
      <c r="A74">
        <v>1.6234720782984386E-3</v>
      </c>
      <c r="B74">
        <v>72</v>
      </c>
    </row>
    <row r="75" spans="1:2">
      <c r="A75">
        <v>1.3638112785004583E-3</v>
      </c>
      <c r="B75">
        <v>73</v>
      </c>
    </row>
    <row r="76" spans="1:2">
      <c r="A76">
        <v>1.1398084523428777E-3</v>
      </c>
      <c r="B76">
        <v>74</v>
      </c>
    </row>
    <row r="77" spans="1:2">
      <c r="A77">
        <v>9.4771468530111729E-4</v>
      </c>
      <c r="B77">
        <v>75</v>
      </c>
    </row>
    <row r="78" spans="1:2">
      <c r="A78">
        <v>7.8395564005009216E-4</v>
      </c>
      <c r="B78">
        <v>76</v>
      </c>
    </row>
    <row r="79" spans="1:2">
      <c r="A79">
        <v>6.4516902601445504E-4</v>
      </c>
      <c r="B79">
        <v>77</v>
      </c>
    </row>
    <row r="80" spans="1:2">
      <c r="A80">
        <v>5.2823073980123154E-4</v>
      </c>
      <c r="B80">
        <v>78</v>
      </c>
    </row>
    <row r="81" spans="1:2">
      <c r="A81">
        <v>4.3027089926535593E-4</v>
      </c>
      <c r="B81">
        <v>79</v>
      </c>
    </row>
    <row r="82" spans="1:2">
      <c r="A82">
        <v>3.4868110938349878E-4</v>
      </c>
      <c r="B82">
        <v>80</v>
      </c>
    </row>
    <row r="83" spans="1:2">
      <c r="A83">
        <v>2.8111434352360583E-4</v>
      </c>
      <c r="B83">
        <v>81</v>
      </c>
    </row>
    <row r="84" spans="1:2">
      <c r="A84">
        <v>2.254788097043542E-4</v>
      </c>
      <c r="B84">
        <v>82</v>
      </c>
    </row>
    <row r="85" spans="1:2">
      <c r="A85">
        <v>1.7992710947582844E-4</v>
      </c>
      <c r="B85">
        <v>83</v>
      </c>
    </row>
    <row r="86" spans="1:2">
      <c r="A86">
        <v>1.4284189865329292E-4</v>
      </c>
      <c r="B86">
        <v>84</v>
      </c>
    </row>
    <row r="87" spans="1:2">
      <c r="A87">
        <v>1.128191353286525E-4</v>
      </c>
      <c r="B87">
        <v>85</v>
      </c>
    </row>
    <row r="88" spans="1:2">
      <c r="A88">
        <v>8.8649861433756316E-5</v>
      </c>
      <c r="B88">
        <v>86</v>
      </c>
    </row>
    <row r="89" spans="1:2">
      <c r="A89">
        <v>6.930131841790945E-5</v>
      </c>
      <c r="B89">
        <v>87</v>
      </c>
    </row>
    <row r="90" spans="1:2">
      <c r="A90">
        <v>5.3898052642694672E-5</v>
      </c>
      <c r="B90">
        <v>88</v>
      </c>
    </row>
    <row r="91" spans="1:2">
      <c r="A91">
        <v>4.1703527668256159E-5</v>
      </c>
      <c r="B91">
        <v>89</v>
      </c>
    </row>
    <row r="92" spans="1:2">
      <c r="A92">
        <v>3.2102632978188431E-5</v>
      </c>
      <c r="B92">
        <v>90</v>
      </c>
    </row>
    <row r="93" spans="1:2">
      <c r="A93">
        <v>2.4585364735968823E-5</v>
      </c>
      <c r="B93">
        <v>91</v>
      </c>
    </row>
    <row r="94" spans="1:2">
      <c r="A94">
        <v>1.8731855513491508E-5</v>
      </c>
      <c r="B94">
        <v>92</v>
      </c>
    </row>
    <row r="95" spans="1:2">
      <c r="A95">
        <v>1.4198847160587881E-5</v>
      </c>
      <c r="B95">
        <v>93</v>
      </c>
    </row>
    <row r="96" spans="1:2">
      <c r="A96">
        <v>1.0707633828003728E-5</v>
      </c>
      <c r="B96">
        <v>94</v>
      </c>
    </row>
    <row r="97" spans="1:2">
      <c r="A97">
        <v>8.0334497104662342E-6</v>
      </c>
      <c r="B97">
        <v>95</v>
      </c>
    </row>
    <row r="98" spans="1:2">
      <c r="A98">
        <v>5.9962369895782911E-6</v>
      </c>
      <c r="B98">
        <v>96</v>
      </c>
    </row>
    <row r="99" spans="1:2">
      <c r="A99">
        <v>4.4527021012570928E-6</v>
      </c>
      <c r="B99">
        <v>97</v>
      </c>
    </row>
    <row r="100" spans="1:2">
      <c r="A100">
        <v>3.2895510723043552E-6</v>
      </c>
      <c r="B100">
        <v>98</v>
      </c>
    </row>
    <row r="101" spans="1:2">
      <c r="A101">
        <v>2.4177854959831808E-6</v>
      </c>
      <c r="B101">
        <v>99</v>
      </c>
    </row>
    <row r="102" spans="1:2">
      <c r="A102">
        <v>1.7679380545486139E-6</v>
      </c>
      <c r="B102">
        <v>100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8</vt:i4>
      </vt:variant>
    </vt:vector>
  </HeadingPairs>
  <TitlesOfParts>
    <vt:vector size="8" baseType="lpstr">
      <vt:lpstr>1b_histogram</vt:lpstr>
      <vt:lpstr>6_3Sigma</vt:lpstr>
      <vt:lpstr>9_tabela</vt:lpstr>
      <vt:lpstr>10_korelacja</vt:lpstr>
      <vt:lpstr>11_regresja</vt:lpstr>
      <vt:lpstr>Data</vt:lpstr>
      <vt:lpstr>Scatter</vt:lpstr>
      <vt:lpstr>Gestosc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regulski</dc:creator>
  <cp:lastModifiedBy>Jakub Świerczyński</cp:lastModifiedBy>
  <dcterms:created xsi:type="dcterms:W3CDTF">2014-03-12T09:36:50Z</dcterms:created>
  <dcterms:modified xsi:type="dcterms:W3CDTF">2026-03-23T13:30:18Z</dcterms:modified>
</cp:coreProperties>
</file>